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D:\development\2021\202111_prj_MCS_U2B_SPIDCTL\docs\PRM\"/>
    </mc:Choice>
  </mc:AlternateContent>
  <xr:revisionPtr revIDLastSave="0" documentId="13_ncr:1_{5CAB667A-D2F7-40D8-A158-C64064719A8A}" xr6:coauthVersionLast="46" xr6:coauthVersionMax="46" xr10:uidLastSave="{00000000-0000-0000-0000-000000000000}"/>
  <bookViews>
    <workbookView xWindow="-120" yWindow="-120" windowWidth="29040" windowHeight="15840" xr2:uid="{00000000-000D-0000-FFFF-FFFF00000000}"/>
  </bookViews>
  <sheets>
    <sheet name="Peer Review Minutes" sheetId="18" r:id="rId1"/>
    <sheet name="DEV Checklist" sheetId="17" r:id="rId2"/>
    <sheet name="REL-SEPG-PRM20190507"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18" l="1"/>
  <c r="U26" i="18"/>
  <c r="Z1" i="18"/>
  <c r="Y35" i="18"/>
  <c r="Y29" i="18" s="1"/>
  <c r="AA54" i="18"/>
  <c r="AA53" i="18"/>
  <c r="AA52" i="18"/>
  <c r="AA51" i="18"/>
  <c r="AA50" i="18"/>
  <c r="AA49" i="18"/>
  <c r="AA48" i="18"/>
  <c r="AA47" i="18"/>
  <c r="AA46" i="18"/>
  <c r="AA45" i="18"/>
  <c r="AA44" i="18"/>
  <c r="Y40" i="18"/>
  <c r="W40" i="18"/>
  <c r="Y39" i="18"/>
  <c r="W39" i="18"/>
  <c r="Y38" i="18"/>
  <c r="W38" i="18"/>
  <c r="Y37" i="18"/>
  <c r="W37" i="18"/>
  <c r="Y36" i="18"/>
  <c r="W36" i="18"/>
  <c r="W35" i="18"/>
  <c r="W29" i="18" s="1"/>
  <c r="Z31" i="18"/>
  <c r="Y31" i="18"/>
  <c r="X31" i="18"/>
  <c r="W31" i="18"/>
  <c r="U31" i="18"/>
  <c r="R31" i="18"/>
  <c r="P31" i="18"/>
  <c r="N31" i="18"/>
  <c r="Z30" i="18"/>
  <c r="Y30" i="18"/>
  <c r="X30" i="18"/>
  <c r="W30" i="18"/>
  <c r="U30" i="18"/>
  <c r="R30" i="18"/>
  <c r="P30" i="18"/>
  <c r="Z29" i="18"/>
  <c r="U29" i="18"/>
  <c r="X40" i="18" l="1"/>
  <c r="X36" i="18"/>
  <c r="X38" i="18"/>
  <c r="X39" i="18"/>
  <c r="X37" i="18"/>
  <c r="X35" i="18"/>
  <c r="N30" i="18" s="1"/>
  <c r="X2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0"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2" authorId="0" shapeId="0" xr:uid="{00000000-0006-0000-0000-00000A000000}">
      <text>
        <r>
          <rPr>
            <b/>
            <sz val="10"/>
            <color indexed="81"/>
            <rFont val="MS P ゴシック"/>
            <family val="3"/>
            <charset val="128"/>
          </rPr>
          <t>(Select),Issue,Q&amp;A,proceedings
(選択),指摘,質疑応答,議事</t>
        </r>
      </text>
    </comment>
    <comment ref="O42" authorId="0" shapeId="0" xr:uid="{00000000-0006-0000-0000-00000B000000}">
      <text>
        <r>
          <rPr>
            <b/>
            <sz val="10"/>
            <color indexed="81"/>
            <rFont val="MS P ゴシック"/>
            <family val="3"/>
            <charset val="128"/>
          </rPr>
          <t>(Select),Defect,Risk,Problem,AI
(選択),工程内不具合,リスク,問題,AI</t>
        </r>
      </text>
    </comment>
    <comment ref="C54"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<sst xmlns="http://schemas.openxmlformats.org/spreadsheetml/2006/main" count="700" uniqueCount="440">
  <si>
    <t>[RENESAS CONFIDENTIAL]</t>
    <phoneticPr fontId="5"/>
  </si>
  <si>
    <t xml:space="preserve">
</t>
  </si>
  <si>
    <t>(Select)</t>
  </si>
  <si>
    <t>No.</t>
    <phoneticPr fontId="5"/>
  </si>
  <si>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</si>
  <si>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</si>
  <si>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</si>
  <si>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</si>
  <si>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</si>
  <si>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</si>
  <si>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</si>
  <si>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</si>
  <si>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</si>
  <si>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</si>
  <si>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</si>
  <si>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</si>
  <si>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</si>
  <si>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</si>
  <si>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</si>
  <si>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</si>
  <si>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</si>
  <si>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</si>
  <si>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</si>
  <si>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</si>
  <si>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</si>
  <si>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</si>
  <si>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</si>
  <si>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</si>
  <si>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</si>
  <si>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</si>
  <si>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</si>
  <si>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</si>
  <si>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</si>
  <si>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</si>
  <si>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</si>
  <si>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</si>
  <si>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</si>
  <si>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</si>
  <si>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</si>
  <si>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</si>
  <si>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</si>
  <si>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</si>
  <si>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</si>
  <si>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</si>
  <si>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</si>
  <si>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</si>
  <si>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</si>
  <si>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</si>
  <si>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</si>
  <si>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</si>
  <si>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</si>
  <si>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</si>
  <si>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</si>
  <si>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</si>
  <si>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</si>
  <si>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</si>
  <si>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</si>
  <si>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</si>
  <si>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</si>
  <si>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</si>
  <si>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</si>
  <si>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</si>
  <si>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</si>
  <si>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</si>
  <si>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</si>
  <si>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</si>
  <si>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</si>
  <si>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</si>
  <si>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</si>
  <si>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</si>
  <si>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</si>
  <si>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</si>
  <si>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</si>
  <si>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</si>
  <si>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</si>
  <si>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</si>
  <si>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</si>
  <si>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</si>
  <si>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</si>
  <si>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</si>
  <si>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</si>
  <si>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</si>
  <si>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</si>
  <si>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</si>
  <si>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</si>
  <si>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</si>
  <si>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</si>
  <si>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</si>
  <si>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</si>
  <si>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</si>
  <si>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</si>
  <si>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</si>
  <si>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</si>
  <si>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</si>
  <si>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</si>
  <si>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</si>
  <si>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</si>
  <si>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</si>
  <si>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</si>
  <si>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</si>
  <si>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</si>
  <si>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</si>
  <si>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</si>
  <si>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</si>
  <si>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</si>
  <si>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</si>
  <si>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</si>
  <si>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</si>
  <si>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</si>
  <si>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</si>
  <si>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</si>
  <si>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</si>
  <si>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</si>
  <si>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</si>
  <si>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</si>
  <si>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</si>
  <si>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</si>
  <si>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</si>
  <si>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</si>
  <si>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</si>
  <si>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</si>
  <si>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</si>
  <si>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</si>
  <si>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</si>
  <si>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</si>
  <si>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</si>
  <si>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</si>
  <si>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</si>
  <si>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</si>
  <si>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</si>
  <si>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</si>
  <si>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</si>
  <si>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</si>
  <si>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</si>
  <si>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</si>
  <si>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</si>
  <si>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</si>
  <si>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</si>
  <si>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</si>
  <si>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</si>
  <si>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</si>
  <si>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</si>
  <si>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</si>
  <si>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</si>
  <si>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</si>
  <si>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</si>
  <si>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</si>
  <si>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</si>
  <si>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</si>
  <si>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</si>
  <si>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</si>
  <si>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</si>
  <si>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</si>
  <si>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</si>
  <si>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</si>
  <si>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</si>
  <si>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</si>
  <si>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</si>
  <si>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</si>
  <si>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</si>
  <si>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</si>
  <si>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</si>
  <si>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</si>
  <si>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</si>
  <si>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</si>
  <si>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</si>
  <si>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</si>
  <si>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</si>
  <si>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</si>
  <si>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</si>
  <si>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</si>
  <si>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</si>
  <si>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</si>
  <si>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</si>
  <si>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</si>
  <si>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</si>
  <si>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</si>
  <si>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</si>
  <si>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</si>
  <si>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</si>
  <si>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</si>
  <si>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</si>
  <si>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</si>
  <si>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</si>
  <si>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</si>
  <si>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</si>
  <si>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</si>
  <si>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</si>
  <si>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</si>
  <si>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</si>
  <si>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</si>
  <si>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</si>
  <si>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</si>
  <si>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</si>
  <si>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</si>
  <si>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</si>
  <si>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</si>
  <si>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</si>
  <si>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</si>
  <si>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</si>
  <si>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</si>
  <si>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</si>
  <si>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</si>
  <si>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</si>
  <si>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</si>
  <si>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</si>
  <si>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</si>
  <si>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</si>
  <si>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</si>
  <si>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</si>
  <si>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</si>
  <si>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</si>
  <si>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</si>
  <si>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</si>
  <si>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</si>
  <si>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</si>
  <si>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</si>
  <si>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</si>
  <si>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</si>
  <si>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</si>
  <si>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</si>
  <si>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</si>
  <si>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</si>
  <si>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</si>
  <si>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</si>
  <si>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</si>
  <si>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</si>
  <si>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</si>
  <si>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</si>
  <si>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</si>
  <si>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</si>
  <si>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</si>
  <si>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</si>
  <si>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</si>
  <si>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</si>
  <si>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</si>
  <si>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</si>
  <si>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</si>
  <si>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</si>
  <si>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</si>
  <si>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</si>
  <si>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</si>
  <si>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</si>
  <si>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</si>
  <si>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</si>
  <si>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</si>
  <si>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</si>
  <si>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</si>
  <si>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</si>
  <si>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</si>
  <si>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</si>
  <si>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</si>
  <si>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</si>
  <si>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</si>
  <si>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</si>
  <si>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</si>
  <si>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</si>
  <si>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</si>
  <si>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</si>
  <si>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</si>
  <si>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</si>
  <si>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</si>
  <si>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</si>
  <si>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</si>
  <si>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</si>
  <si>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</si>
  <si>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</si>
  <si>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</si>
  <si>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</si>
  <si>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</si>
  <si>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</si>
  <si>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</si>
  <si>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</si>
  <si>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</si>
  <si>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</si>
  <si>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</si>
  <si>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</si>
  <si>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</si>
  <si>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</si>
  <si>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</si>
  <si>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</si>
  <si>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</si>
  <si>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</si>
  <si>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</si>
  <si>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</si>
  <si>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</si>
  <si>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</si>
  <si>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</si>
  <si>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</si>
  <si>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</si>
  <si>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</si>
  <si>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</si>
  <si>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</si>
  <si>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</si>
  <si>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</si>
  <si>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</si>
  <si>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Pass-around</t>
  </si>
  <si>
    <t>use department checklist</t>
  </si>
  <si>
    <t>DEV checklist</t>
  </si>
  <si>
    <t>N/A</t>
  </si>
  <si>
    <t>DEV</t>
  </si>
  <si>
    <t>Page</t>
  </si>
  <si>
    <t>DEV Peer Review Checklist</t>
  </si>
  <si>
    <t>This checklist is a collection of points requiring attention in review of DEV document</t>
  </si>
  <si>
    <t>Review date &amp; time</t>
    <phoneticPr fontId="4"/>
  </si>
  <si>
    <t>Review member</t>
    <phoneticPr fontId="4"/>
  </si>
  <si>
    <t>Priority</t>
  </si>
  <si>
    <t>Test Report</t>
  </si>
  <si>
    <t>1. DEV content</t>
  </si>
  <si>
    <t>All file names correct</t>
  </si>
  <si>
    <t>Low</t>
  </si>
  <si>
    <t>Accepted</t>
  </si>
  <si>
    <t>All version correct</t>
  </si>
  <si>
    <t>High</t>
  </si>
  <si>
    <t>Date of release correct</t>
  </si>
  <si>
    <t>Receiver correct</t>
  </si>
  <si>
    <t>Only lastest version is fill color</t>
  </si>
  <si>
    <t>Border is correct</t>
  </si>
  <si>
    <t>Medium</t>
  </si>
  <si>
    <t>2. History</t>
  </si>
  <si>
    <t>Describe about which is add file/data and version according.</t>
  </si>
  <si>
    <t>Describe all new/updated file for this release</t>
  </si>
  <si>
    <t>* "Pre-Check" and "Check" column: Enter Accepted/Not accepted/NA and no. of issues pointed out.</t>
  </si>
  <si>
    <t>Guide_Off</t>
  </si>
  <si>
    <t>Project Name</t>
    <phoneticPr fontId="4"/>
  </si>
  <si>
    <t>Product part name</t>
    <phoneticPr fontId="4"/>
  </si>
  <si>
    <t>Target revision</t>
    <phoneticPr fontId="4"/>
  </si>
  <si>
    <t>Item 
no.</t>
    <phoneticPr fontId="4"/>
  </si>
  <si>
    <t>Description</t>
    <phoneticPr fontId="4"/>
  </si>
  <si>
    <t>Pre-check</t>
    <phoneticPr fontId="4"/>
  </si>
  <si>
    <t>Check date</t>
    <phoneticPr fontId="4"/>
  </si>
  <si>
    <t>Checked by</t>
    <phoneticPr fontId="4"/>
  </si>
  <si>
    <t>Check</t>
    <phoneticPr fontId="4"/>
  </si>
  <si>
    <t>Remarks</t>
    <phoneticPr fontId="4"/>
  </si>
  <si>
    <t>[Notes]</t>
    <phoneticPr fontId="4"/>
  </si>
  <si>
    <t>1st review</t>
  </si>
  <si>
    <t>Add note for released data (detail about new/updated data)
Ex 1: Full data for FCC1, and FCC2, still issue in tp03_02_057 of L2 in Windows/USK/AT mode.
Ex 2: Full data for FCC1, FCC2, fix ticket #35439 related to wait() in b_transport, fix ticket #30252 related to limitation of L1.</t>
  </si>
  <si>
    <t>ver1.16</t>
  </si>
  <si>
    <t>File extension is correct</t>
  </si>
  <si>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</si>
  <si>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</si>
  <si>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Inform to/</t>
    </r>
    <r>
      <rPr>
        <sz val="10"/>
        <rFont val="メイリオ"/>
        <family val="3"/>
        <charset val="128"/>
      </rPr>
      <t>通知先</t>
    </r>
  </si>
  <si>
    <r>
      <t>Document name/</t>
    </r>
    <r>
      <rPr>
        <sz val="10"/>
        <rFont val="メイリオ"/>
        <family val="3"/>
        <charset val="128"/>
      </rPr>
      <t>文書名</t>
    </r>
  </si>
  <si>
    <r>
      <t xml:space="preserve">Document number
</t>
    </r>
    <r>
      <rPr>
        <sz val="10"/>
        <color theme="1"/>
        <rFont val="メイリオ"/>
        <family val="3"/>
        <charset val="128"/>
      </rPr>
      <t>文書番号</t>
    </r>
  </si>
  <si>
    <r>
      <t>Peer Review Minutes/</t>
    </r>
    <r>
      <rPr>
        <b/>
        <sz val="16"/>
        <rFont val="メイリオ"/>
        <family val="3"/>
        <charset val="128"/>
      </rPr>
      <t>ピアレビュー議事録</t>
    </r>
  </si>
  <si>
    <r>
      <t xml:space="preserve">Issue date
</t>
    </r>
    <r>
      <rPr>
        <sz val="10"/>
        <color theme="1"/>
        <rFont val="メイリオ"/>
        <family val="3"/>
        <charset val="128"/>
      </rPr>
      <t>発行日</t>
    </r>
  </si>
  <si>
    <r>
      <t>Process name/</t>
    </r>
    <r>
      <rPr>
        <sz val="10"/>
        <rFont val="メイリオ"/>
        <family val="3"/>
        <charset val="128"/>
      </rPr>
      <t>工程名</t>
    </r>
  </si>
  <si>
    <r>
      <t xml:space="preserve">Company name
</t>
    </r>
    <r>
      <rPr>
        <sz val="10"/>
        <color theme="1"/>
        <rFont val="メイリオ"/>
        <family val="3"/>
        <charset val="128"/>
      </rPr>
      <t>会社名</t>
    </r>
  </si>
  <si>
    <t>Renesas Design Vietnam Co., Ltd</t>
  </si>
  <si>
    <r>
      <t xml:space="preserve">Department name
</t>
    </r>
    <r>
      <rPr>
        <sz val="10"/>
        <color theme="1"/>
        <rFont val="メイリオ"/>
        <family val="3"/>
        <charset val="128"/>
      </rPr>
      <t>部門</t>
    </r>
  </si>
  <si>
    <t>Core Software</t>
  </si>
  <si>
    <r>
      <t>Project name/</t>
    </r>
    <r>
      <rPr>
        <sz val="10"/>
        <rFont val="メイリオ"/>
        <family val="3"/>
        <charset val="128"/>
      </rPr>
      <t>プロジェクト名</t>
    </r>
  </si>
  <si>
    <r>
      <t xml:space="preserve">Approved by
</t>
    </r>
    <r>
      <rPr>
        <sz val="10"/>
        <color theme="1"/>
        <rFont val="メイリオ"/>
        <family val="3"/>
        <charset val="128"/>
      </rPr>
      <t>承認</t>
    </r>
    <r>
      <rPr>
        <sz val="10"/>
        <color theme="1"/>
        <rFont val="Arial"/>
        <family val="2"/>
      </rPr>
      <t>(PL)</t>
    </r>
  </si>
  <si>
    <r>
      <t xml:space="preserve">Created by
</t>
    </r>
    <r>
      <rPr>
        <sz val="10"/>
        <color theme="1"/>
        <rFont val="メイリオ"/>
        <family val="3"/>
        <charset val="128"/>
      </rPr>
      <t>作成</t>
    </r>
  </si>
  <si>
    <r>
      <t>Project number/</t>
    </r>
    <r>
      <rPr>
        <sz val="10"/>
        <rFont val="メイリオ"/>
        <family val="3"/>
        <charset val="128"/>
      </rPr>
      <t>プロジェクト番号</t>
    </r>
  </si>
  <si>
    <r>
      <t>Overview of the review/</t>
    </r>
    <r>
      <rPr>
        <sz val="10"/>
        <rFont val="メイリオ"/>
        <family val="3"/>
        <charset val="128"/>
      </rPr>
      <t>レビュー概要</t>
    </r>
  </si>
  <si>
    <r>
      <t xml:space="preserve">Purpose (viewpoints)
</t>
    </r>
    <r>
      <rPr>
        <sz val="10"/>
        <rFont val="メイリオ"/>
        <family val="3"/>
        <charset val="128"/>
      </rPr>
      <t>目的（観点）</t>
    </r>
  </si>
  <si>
    <r>
      <t>Type/</t>
    </r>
    <r>
      <rPr>
        <sz val="10"/>
        <rFont val="メイリオ"/>
        <family val="3"/>
        <charset val="128"/>
      </rPr>
      <t>種類</t>
    </r>
  </si>
  <si>
    <r>
      <t xml:space="preserve">Peer review checklist
</t>
    </r>
    <r>
      <rPr>
        <sz val="10"/>
        <rFont val="メイリオ"/>
        <family val="3"/>
        <charset val="128"/>
      </rPr>
      <t>使用チェックリスト</t>
    </r>
  </si>
  <si>
    <r>
      <t xml:space="preserve">Check list name
</t>
    </r>
    <r>
      <rPr>
        <sz val="10"/>
        <rFont val="メイリオ"/>
        <family val="3"/>
        <charset val="128"/>
      </rPr>
      <t>チェックリスト名</t>
    </r>
  </si>
  <si>
    <r>
      <t>Review date, time and participants/</t>
    </r>
    <r>
      <rPr>
        <sz val="10"/>
        <rFont val="メイリオ"/>
        <family val="3"/>
        <charset val="128"/>
      </rPr>
      <t>実施日時・参加者</t>
    </r>
  </si>
  <si>
    <r>
      <t xml:space="preserve">Participants
</t>
    </r>
    <r>
      <rPr>
        <sz val="10"/>
        <rFont val="メイリオ"/>
        <family val="3"/>
        <charset val="128"/>
      </rPr>
      <t>参加者</t>
    </r>
  </si>
  <si>
    <r>
      <t xml:space="preserve">Moderator
</t>
    </r>
    <r>
      <rPr>
        <sz val="10"/>
        <rFont val="メイリオ"/>
        <family val="3"/>
        <charset val="128"/>
      </rPr>
      <t>運営担当者</t>
    </r>
  </si>
  <si>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</si>
  <si>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</si>
  <si>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</si>
  <si>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Reviewer
</t>
    </r>
    <r>
      <rPr>
        <sz val="10"/>
        <rFont val="メイリオ"/>
        <family val="3"/>
        <charset val="128"/>
      </rPr>
      <t>レビューア</t>
    </r>
  </si>
  <si>
    <r>
      <t xml:space="preserve">Meeting
</t>
    </r>
    <r>
      <rPr>
        <sz val="10"/>
        <rFont val="メイリオ"/>
        <family val="3"/>
        <charset val="128"/>
      </rPr>
      <t>ミーティング</t>
    </r>
  </si>
  <si>
    <r>
      <t xml:space="preserve">Implementation
date
</t>
    </r>
    <r>
      <rPr>
        <sz val="10"/>
        <rFont val="メイリオ"/>
        <family val="3"/>
        <charset val="128"/>
      </rPr>
      <t>実施日</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</si>
  <si>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</si>
  <si>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</si>
  <si>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</si>
  <si>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</si>
  <si>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t>3FW3</t>
  </si>
  <si>
    <r>
      <t xml:space="preserve">Desk check
</t>
    </r>
    <r>
      <rPr>
        <sz val="10"/>
        <rFont val="メイリオ"/>
        <family val="3"/>
        <charset val="128"/>
      </rPr>
      <t>机上チェック</t>
    </r>
  </si>
  <si>
    <r>
      <t xml:space="preserve">Start date
</t>
    </r>
    <r>
      <rPr>
        <sz val="10"/>
        <rFont val="メイリオ"/>
        <family val="3"/>
        <charset val="128"/>
      </rPr>
      <t>開始日</t>
    </r>
  </si>
  <si>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</si>
  <si>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</si>
  <si>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</si>
  <si>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r>
      <t>Review index/</t>
    </r>
    <r>
      <rPr>
        <sz val="10"/>
        <rFont val="メイリオ"/>
        <family val="3"/>
        <charset val="128"/>
      </rPr>
      <t>レビュー指標</t>
    </r>
  </si>
  <si>
    <r>
      <t xml:space="preserve">Review index name
</t>
    </r>
    <r>
      <rPr>
        <sz val="10"/>
        <rFont val="メイリオ"/>
        <family val="3"/>
        <charset val="128"/>
      </rPr>
      <t>指標名</t>
    </r>
  </si>
  <si>
    <r>
      <t>Index value (planned)/</t>
    </r>
    <r>
      <rPr>
        <sz val="10"/>
        <rFont val="メイリオ"/>
        <family val="3"/>
        <charset val="128"/>
      </rPr>
      <t>指標値（計画値）</t>
    </r>
  </si>
  <si>
    <r>
      <t>Index value (actual)/</t>
    </r>
    <r>
      <rPr>
        <sz val="10"/>
        <rFont val="メイリオ"/>
        <family val="3"/>
        <charset val="128"/>
      </rPr>
      <t>指標値（実績値）</t>
    </r>
  </si>
  <si>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</si>
  <si>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</si>
  <si>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</si>
  <si>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</si>
  <si>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r>
      <t>Page/</t>
    </r>
    <r>
      <rPr>
        <sz val="10"/>
        <rFont val="メイリオ"/>
        <family val="3"/>
        <charset val="128"/>
      </rPr>
      <t>ページ</t>
    </r>
    <r>
      <rPr>
        <sz val="10"/>
        <rFont val="Arial"/>
        <family val="2"/>
      </rPr>
      <t xml:space="preserve"> </t>
    </r>
  </si>
  <si>
    <r>
      <t>Line/</t>
    </r>
    <r>
      <rPr>
        <sz val="10"/>
        <rFont val="メイリオ"/>
        <family val="3"/>
        <charset val="128"/>
      </rPr>
      <t>ライン</t>
    </r>
  </si>
  <si>
    <r>
      <t>Number of test item/</t>
    </r>
    <r>
      <rPr>
        <sz val="10"/>
        <rFont val="メイリオ"/>
        <family val="3"/>
        <charset val="128"/>
      </rPr>
      <t>テスト項目数</t>
    </r>
  </si>
  <si>
    <t>Page</t>
    <phoneticPr fontId="8"/>
  </si>
  <si>
    <r>
      <t xml:space="preserve">Review issue density
</t>
    </r>
    <r>
      <rPr>
        <sz val="10"/>
        <rFont val="メイリオ"/>
        <family val="3"/>
        <charset val="128"/>
      </rPr>
      <t>レビュー指摘密度</t>
    </r>
  </si>
  <si>
    <t>Line</t>
    <phoneticPr fontId="8"/>
  </si>
  <si>
    <r>
      <t xml:space="preserve">Review speed
</t>
    </r>
    <r>
      <rPr>
        <sz val="10"/>
        <rFont val="メイリオ"/>
        <family val="3"/>
        <charset val="128"/>
      </rPr>
      <t>レビュー速度</t>
    </r>
  </si>
  <si>
    <t>Number</t>
    <phoneticPr fontId="8"/>
  </si>
  <si>
    <r>
      <t>Review objects/</t>
    </r>
    <r>
      <rPr>
        <sz val="10"/>
        <rFont val="メイリオ"/>
        <family val="3"/>
        <charset val="128"/>
      </rPr>
      <t>レビュー対象物</t>
    </r>
  </si>
  <si>
    <r>
      <t xml:space="preserve">Objects
ID
</t>
    </r>
    <r>
      <rPr>
        <sz val="10"/>
        <rFont val="メイリオ"/>
        <family val="3"/>
        <charset val="128"/>
      </rPr>
      <t xml:space="preserve">対象物
</t>
    </r>
    <r>
      <rPr>
        <sz val="10"/>
        <rFont val="Arial"/>
        <family val="2"/>
      </rPr>
      <t>ID</t>
    </r>
  </si>
  <si>
    <r>
      <t>Name/</t>
    </r>
    <r>
      <rPr>
        <sz val="10"/>
        <rFont val="メイリオ"/>
        <family val="3"/>
        <charset val="128"/>
      </rPr>
      <t>名称</t>
    </r>
  </si>
  <si>
    <r>
      <t>File name/</t>
    </r>
    <r>
      <rPr>
        <sz val="10"/>
        <rFont val="メイリオ"/>
        <family val="3"/>
        <charset val="128"/>
      </rPr>
      <t>ファイル名</t>
    </r>
  </si>
  <si>
    <r>
      <t>Version/</t>
    </r>
    <r>
      <rPr>
        <sz val="10"/>
        <rFont val="メイリオ"/>
        <family val="3"/>
        <charset val="128"/>
      </rPr>
      <t>バージョン</t>
    </r>
  </si>
  <si>
    <r>
      <t xml:space="preserve">Target scale of review
</t>
    </r>
    <r>
      <rPr>
        <sz val="10"/>
        <rFont val="メイリオ"/>
        <family val="3"/>
        <charset val="128"/>
      </rPr>
      <t>レビュー量</t>
    </r>
  </si>
  <si>
    <r>
      <t xml:space="preserve">Unit
</t>
    </r>
    <r>
      <rPr>
        <sz val="10"/>
        <rFont val="メイリオ"/>
        <family val="3"/>
        <charset val="128"/>
      </rPr>
      <t>単位</t>
    </r>
  </si>
  <si>
    <r>
      <t xml:space="preserve">Number of review issues
</t>
    </r>
    <r>
      <rPr>
        <sz val="10"/>
        <rFont val="メイリオ"/>
        <family val="3"/>
        <charset val="128"/>
      </rPr>
      <t>指摘件数</t>
    </r>
  </si>
  <si>
    <r>
      <t xml:space="preserve">Review duration
</t>
    </r>
    <r>
      <rPr>
        <sz val="10"/>
        <rFont val="メイリオ"/>
        <family val="3"/>
        <charset val="128"/>
      </rPr>
      <t>レビュー時間</t>
    </r>
  </si>
  <si>
    <r>
      <rPr>
        <sz val="10"/>
        <rFont val="メイリオ"/>
        <family val="3"/>
        <charset val="128"/>
      </rPr>
      <t>統括</t>
    </r>
  </si>
  <si>
    <r>
      <t xml:space="preserve">Target value
</t>
    </r>
    <r>
      <rPr>
        <sz val="10"/>
        <rFont val="メイリオ"/>
        <family val="3"/>
        <charset val="128"/>
      </rPr>
      <t>予定</t>
    </r>
  </si>
  <si>
    <r>
      <t xml:space="preserve">Performance value
</t>
    </r>
    <r>
      <rPr>
        <sz val="10"/>
        <rFont val="メイリオ"/>
        <family val="3"/>
        <charset val="128"/>
      </rPr>
      <t>実績</t>
    </r>
  </si>
  <si>
    <r>
      <t>List of Issues/</t>
    </r>
    <r>
      <rPr>
        <sz val="10"/>
        <rFont val="メイリオ"/>
        <family val="3"/>
        <charset val="128"/>
      </rPr>
      <t>指摘事項一覧</t>
    </r>
  </si>
  <si>
    <r>
      <t xml:space="preserve">Location of issue
</t>
    </r>
    <r>
      <rPr>
        <sz val="10"/>
        <rFont val="メイリオ"/>
        <family val="3"/>
        <charset val="128"/>
      </rPr>
      <t>指摘箇所</t>
    </r>
  </si>
  <si>
    <r>
      <t xml:space="preserve">Detected by
</t>
    </r>
    <r>
      <rPr>
        <sz val="10"/>
        <rFont val="メイリオ"/>
        <family val="3"/>
        <charset val="128"/>
      </rPr>
      <t>指摘者</t>
    </r>
  </si>
  <si>
    <r>
      <t xml:space="preserve">Content classification
</t>
    </r>
    <r>
      <rPr>
        <sz val="10"/>
        <rFont val="メイリオ"/>
        <family val="3"/>
        <charset val="128"/>
      </rPr>
      <t>内容分類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</si>
  <si>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</si>
  <si>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Issue classification
</t>
    </r>
    <r>
      <rPr>
        <sz val="10"/>
        <rFont val="メイリオ"/>
        <family val="3"/>
        <charset val="128"/>
      </rPr>
      <t>指摘分類</t>
    </r>
  </si>
  <si>
    <r>
      <t xml:space="preserve">Processed by
</t>
    </r>
    <r>
      <rPr>
        <sz val="10"/>
        <rFont val="メイリオ"/>
        <family val="3"/>
        <charset val="128"/>
      </rPr>
      <t>対応者</t>
    </r>
  </si>
  <si>
    <r>
      <t xml:space="preserve">Deadline
</t>
    </r>
    <r>
      <rPr>
        <sz val="10"/>
        <rFont val="メイリオ"/>
        <family val="3"/>
        <charset val="128"/>
      </rPr>
      <t>対応期限</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</si>
  <si>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</si>
  <si>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Verified by
</t>
    </r>
    <r>
      <rPr>
        <sz val="10"/>
        <rFont val="メイリオ"/>
        <family val="3"/>
        <charset val="128"/>
      </rPr>
      <t>対応
確認者</t>
    </r>
  </si>
  <si>
    <r>
      <t xml:space="preserve">Verification date
</t>
    </r>
    <r>
      <rPr>
        <sz val="10"/>
        <rFont val="メイリオ"/>
        <family val="3"/>
        <charset val="128"/>
      </rPr>
      <t>対応
確認日</t>
    </r>
  </si>
  <si>
    <r>
      <t xml:space="preserve">Object 
ID
</t>
    </r>
    <r>
      <rPr>
        <sz val="10"/>
        <rFont val="メイリオ"/>
        <family val="3"/>
        <charset val="128"/>
      </rPr>
      <t xml:space="preserve">対象物
</t>
    </r>
    <r>
      <rPr>
        <sz val="10"/>
        <rFont val="Arial"/>
        <family val="2"/>
      </rPr>
      <t>ID</t>
    </r>
  </si>
  <si>
    <r>
      <t xml:space="preserve">Location
</t>
    </r>
    <r>
      <rPr>
        <sz val="10"/>
        <rFont val="メイリオ"/>
        <family val="3"/>
        <charset val="128"/>
      </rPr>
      <t>位置</t>
    </r>
  </si>
  <si>
    <r>
      <t>Whether to conduct the review again/</t>
    </r>
    <r>
      <rPr>
        <sz val="10"/>
        <rFont val="メイリオ"/>
        <family val="3"/>
        <charset val="128"/>
      </rPr>
      <t>再レビュー実施判定</t>
    </r>
  </si>
  <si>
    <r>
      <t xml:space="preserve">Result of the determination
</t>
    </r>
    <r>
      <rPr>
        <sz val="10"/>
        <rFont val="メイリオ"/>
        <family val="3"/>
        <charset val="128"/>
      </rPr>
      <t>判定</t>
    </r>
  </si>
  <si>
    <r>
      <t>Notes/</t>
    </r>
    <r>
      <rPr>
        <sz val="10"/>
        <rFont val="メイリオ"/>
        <family val="3"/>
        <charset val="128"/>
      </rPr>
      <t>備考</t>
    </r>
  </si>
  <si>
    <t>Unit test process</t>
  </si>
  <si>
    <t>I approved DEV because:
- Review speed is in range.
- Review issue density is lower than range. It is OK because the DEV is only for recording delivery date and we confirmed there is no more issue.</t>
  </si>
  <si>
    <t>Review the version and deliverable date of documents.</t>
  </si>
  <si>
    <t>U2B</t>
  </si>
  <si>
    <t>proceedings</t>
  </si>
  <si>
    <t>No comment</t>
  </si>
  <si>
    <t>Minh Ha</t>
  </si>
  <si>
    <t>Renesas Design Vietnam Co., Ltd
Software Engineering Division
Core Software Department
Core Software 1 Section
RH850 Modeling Group</t>
  </si>
  <si>
    <t>MCU_model (RH850_U2B)
Development for U2B/SPIDCTL model</t>
  </si>
  <si>
    <t>SPIDCTL</t>
  </si>
  <si>
    <t>DEV-MCS-20001_SPIDCTL.xls</t>
  </si>
  <si>
    <t>1.2</t>
  </si>
  <si>
    <t>Duong Phan</t>
  </si>
  <si>
    <t>Minh Ha
Nov/23/2021</t>
  </si>
  <si>
    <t>Nov/23/2021</t>
  </si>
  <si>
    <t>Threadhold is 30% for Review issue density and Review speed, so:
- Review issue density = 0 out of range 0.392 +/-30% (from 0.2744 to 0.5096)
- Review speed = 5.33 in range 4.689 +/-30% (from 3.2823 to 6.0957)</t>
  </si>
  <si>
    <t>Chuong Le
Nov/23/2021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</si>
</sst>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h:mm;@"/>
    <numFmt numFmtId="165" formatCode="0.00_);[Red]\(0.00\)"/>
    <numFmt numFmtId="166" formatCode="0.0000_);[Red]\(0.0000\)"/>
    <numFmt numFmtId="167" formatCode="0_);[Red]\(0\)"/>
    <numFmt numFmtId="168" formatCode="yy/mm/dd"/>
    <numFmt numFmtId="169" formatCode="dd/mm/yyyy"/>
    <numFmt numFmtId="170" formatCode="0.00_ "/>
  </numFmts>
  <fonts count="46">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sz val="10"/>
      <color theme="0" tint="-0.34998626667073579"/>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sz val="11"/>
      <color theme="1"/>
      <name val="メイリオ"/>
      <family val="2"/>
      <charset val="128"/>
    </font>
    <font>
      <b/>
      <sz val="9"/>
      <color indexed="81"/>
      <name val="Tahoma"/>
      <family val="2"/>
    </font>
    <font>
      <sz val="9"/>
      <color indexed="81"/>
      <name val="Tahoma"/>
      <family val="2"/>
    </font>
    <font>
      <b/>
      <sz val="10"/>
      <name val="Arial"/>
      <family val="2"/>
    </font>
    <font>
      <sz val="10"/>
      <name val="游ゴシック"/>
      <family val="2"/>
      <charset val="128"/>
    </font>
  </fonts>
  <fills count="1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4.9989318521683403E-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s>
  <borders count="4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bottom style="medium">
        <color auto="1"/>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auto="1"/>
      </right>
      <top style="medium">
        <color auto="1"/>
      </top>
      <bottom style="medium">
        <color auto="1"/>
      </bottom>
      <diagonal/>
    </border>
    <border>
      <left style="thin">
        <color indexed="64"/>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3" fillId="0" borderId="0" applyNumberFormat="0" applyFill="0" applyBorder="0" applyAlignment="0" applyProtection="0">
      <alignment vertical="center"/>
    </xf>
    <xf numFmtId="0" fontId="2" fillId="0" borderId="0">
      <alignment vertical="center"/>
    </xf>
    <xf numFmtId="0" fontId="2" fillId="0" borderId="0">
      <alignment vertical="center"/>
    </xf>
    <xf numFmtId="0" fontId="15" fillId="0" borderId="0" applyNumberFormat="0" applyFill="0" applyBorder="0" applyAlignment="0" applyProtection="0">
      <alignment vertical="center"/>
    </xf>
    <xf numFmtId="0" fontId="17"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1" fillId="0" borderId="0">
      <alignment vertical="center"/>
    </xf>
    <xf numFmtId="0" fontId="3" fillId="0" borderId="0"/>
    <xf numFmtId="0" fontId="3" fillId="0" borderId="0">
      <alignment vertical="center"/>
    </xf>
  </cellStyleXfs>
  <cellXfs count="342">
    <xf numFmtId="0" fontId="0" fillId="0" borderId="0" xfId="0">
      <alignment vertical="center"/>
    </xf>
    <xf numFmtId="0" fontId="22" fillId="0" borderId="0" xfId="1" applyFont="1" applyAlignment="1">
      <alignment horizontal="left" vertical="top"/>
    </xf>
    <xf numFmtId="0" fontId="23" fillId="0" borderId="0" xfId="1" applyFont="1" applyAlignment="1">
      <alignment vertical="top"/>
    </xf>
    <xf numFmtId="0" fontId="22" fillId="0" borderId="0" xfId="1" applyFont="1" applyAlignment="1">
      <alignment vertical="top"/>
    </xf>
    <xf numFmtId="0" fontId="24" fillId="0" borderId="0" xfId="1" applyFont="1" applyAlignment="1">
      <alignment horizontal="left" vertical="top"/>
    </xf>
    <xf numFmtId="0" fontId="22" fillId="0" borderId="0" xfId="2" applyFont="1" applyAlignment="1">
      <alignment horizontal="right" vertical="top"/>
    </xf>
    <xf numFmtId="0" fontId="22" fillId="0" borderId="0" xfId="2" applyFont="1" applyAlignment="1">
      <alignment horizontal="left" vertical="top"/>
    </xf>
    <xf numFmtId="0" fontId="22" fillId="0" borderId="0" xfId="1" applyFont="1" applyAlignment="1">
      <alignment horizontal="left" vertical="top" wrapText="1"/>
    </xf>
    <xf numFmtId="0" fontId="22" fillId="10" borderId="0" xfId="1" applyFont="1" applyFill="1" applyAlignment="1">
      <alignment vertical="top" wrapText="1"/>
    </xf>
    <xf numFmtId="0" fontId="22" fillId="0" borderId="0" xfId="1" applyFont="1" applyAlignment="1">
      <alignment vertical="top" wrapText="1"/>
    </xf>
    <xf numFmtId="0" fontId="22" fillId="0" borderId="0" xfId="2" applyFont="1" applyAlignment="1">
      <alignment horizontal="left" vertical="top" wrapText="1"/>
    </xf>
    <xf numFmtId="0" fontId="26" fillId="0" borderId="0" xfId="3" applyFont="1" applyAlignment="1">
      <alignment horizontal="left" vertical="top" wrapText="1"/>
    </xf>
    <xf numFmtId="0" fontId="23" fillId="0" borderId="0" xfId="1" applyFont="1" applyAlignment="1">
      <alignment horizontal="left" vertical="top" wrapText="1"/>
    </xf>
    <xf numFmtId="0" fontId="22" fillId="0" borderId="0" xfId="4" applyFont="1" applyAlignment="1">
      <alignment horizontal="left" vertical="top"/>
    </xf>
    <xf numFmtId="0" fontId="22" fillId="0" borderId="0" xfId="5" applyFont="1" applyAlignment="1">
      <alignment horizontal="left" vertical="top"/>
    </xf>
    <xf numFmtId="0" fontId="22" fillId="0" borderId="0" xfId="4" applyFont="1">
      <alignment vertical="center"/>
    </xf>
    <xf numFmtId="0" fontId="22" fillId="0" borderId="8" xfId="5" applyFont="1" applyBorder="1" applyAlignment="1">
      <alignment horizontal="left" vertical="top"/>
    </xf>
    <xf numFmtId="0" fontId="22" fillId="0" borderId="1" xfId="4" applyFont="1" applyBorder="1" applyAlignment="1" applyProtection="1">
      <alignment horizontal="left" vertical="top" wrapText="1"/>
      <protection locked="0"/>
    </xf>
    <xf numFmtId="0" fontId="22" fillId="0" borderId="1" xfId="4" applyFont="1" applyBorder="1" applyAlignment="1">
      <alignment horizontal="left" vertical="top"/>
    </xf>
    <xf numFmtId="0" fontId="22" fillId="0" borderId="0" xfId="4" applyFont="1" applyAlignment="1" applyProtection="1">
      <alignment horizontal="left" vertical="top" wrapText="1"/>
      <protection locked="0"/>
    </xf>
    <xf numFmtId="0" fontId="22" fillId="0" borderId="6" xfId="4" applyFont="1" applyBorder="1">
      <alignment vertical="center"/>
    </xf>
    <xf numFmtId="0" fontId="22" fillId="0" borderId="8" xfId="4" applyFont="1" applyBorder="1">
      <alignment vertical="center"/>
    </xf>
    <xf numFmtId="0" fontId="22" fillId="0" borderId="1" xfId="5" applyFont="1" applyBorder="1" applyAlignment="1">
      <alignment horizontal="left" vertical="top"/>
    </xf>
    <xf numFmtId="165" fontId="22" fillId="4" borderId="13" xfId="4" applyNumberFormat="1" applyFont="1" applyFill="1" applyBorder="1" applyAlignment="1" applyProtection="1">
      <alignment horizontal="center" vertical="center" shrinkToFit="1"/>
      <protection locked="0"/>
    </xf>
    <xf numFmtId="167" fontId="22" fillId="4" borderId="13" xfId="5" applyNumberFormat="1" applyFont="1" applyFill="1" applyBorder="1" applyAlignment="1" applyProtection="1">
      <alignment horizontal="center" vertical="center" shrinkToFit="1"/>
      <protection locked="0"/>
    </xf>
    <xf numFmtId="0" fontId="22" fillId="3" borderId="8" xfId="4" applyFont="1" applyFill="1" applyBorder="1" applyAlignment="1" applyProtection="1">
      <alignment horizontal="center" vertical="center" shrinkToFit="1"/>
      <protection locked="0"/>
    </xf>
    <xf numFmtId="165" fontId="22" fillId="3" borderId="8" xfId="4" applyNumberFormat="1" applyFont="1" applyFill="1" applyBorder="1" applyAlignment="1" applyProtection="1">
      <alignment horizontal="center" vertical="center" shrinkToFit="1"/>
      <protection locked="0"/>
    </xf>
    <xf numFmtId="167" fontId="29" fillId="3" borderId="0" xfId="5" applyNumberFormat="1" applyFont="1" applyFill="1" applyAlignment="1" applyProtection="1">
      <alignment horizontal="center" vertical="center" shrinkToFit="1"/>
      <protection locked="0"/>
    </xf>
    <xf numFmtId="0" fontId="22" fillId="0" borderId="0" xfId="4" applyFont="1" applyAlignment="1">
      <alignment vertical="center" wrapText="1"/>
    </xf>
    <xf numFmtId="0" fontId="22" fillId="2" borderId="13" xfId="5" applyFont="1" applyFill="1" applyBorder="1" applyAlignment="1" applyProtection="1">
      <alignment horizontal="center" vertical="center"/>
      <protection locked="0"/>
    </xf>
    <xf numFmtId="0" fontId="22" fillId="0" borderId="13" xfId="5" applyFont="1" applyBorder="1" applyAlignment="1" applyProtection="1">
      <alignment horizontal="center" vertical="center" wrapText="1"/>
      <protection locked="0"/>
    </xf>
    <xf numFmtId="49" fontId="22" fillId="0" borderId="13" xfId="5" applyNumberFormat="1" applyFont="1" applyBorder="1" applyAlignment="1" applyProtection="1">
      <alignment horizontal="center" vertical="center" wrapText="1"/>
      <protection locked="0"/>
    </xf>
    <xf numFmtId="0" fontId="22" fillId="0" borderId="13" xfId="4" applyFont="1" applyBorder="1" applyAlignment="1">
      <alignment horizontal="center" vertical="center" wrapText="1"/>
    </xf>
    <xf numFmtId="14" fontId="22" fillId="0" borderId="13" xfId="4" applyNumberFormat="1" applyFont="1" applyBorder="1" applyAlignment="1">
      <alignment vertical="center" wrapText="1" shrinkToFit="1"/>
    </xf>
    <xf numFmtId="0" fontId="22" fillId="3" borderId="0" xfId="5" applyFont="1" applyFill="1" applyAlignment="1" applyProtection="1">
      <alignment horizontal="center" vertical="center"/>
      <protection locked="0"/>
    </xf>
    <xf numFmtId="0" fontId="22" fillId="3" borderId="0" xfId="5" applyFont="1" applyFill="1" applyAlignment="1" applyProtection="1">
      <alignment horizontal="center" vertical="center" wrapText="1"/>
      <protection locked="0"/>
    </xf>
    <xf numFmtId="49" fontId="22" fillId="3" borderId="0" xfId="5" applyNumberFormat="1" applyFont="1" applyFill="1" applyAlignment="1" applyProtection="1">
      <alignment horizontal="center" vertical="center" wrapText="1"/>
      <protection locked="0"/>
    </xf>
    <xf numFmtId="0" fontId="22" fillId="3" borderId="0" xfId="4" applyFont="1" applyFill="1" applyAlignment="1">
      <alignment horizontal="center" vertical="center" wrapText="1"/>
    </xf>
    <xf numFmtId="0" fontId="22" fillId="3" borderId="0" xfId="4" applyFont="1" applyFill="1" applyAlignment="1">
      <alignment vertical="center" wrapText="1"/>
    </xf>
    <xf numFmtId="0" fontId="22" fillId="3" borderId="0" xfId="4" applyFont="1" applyFill="1">
      <alignment vertical="center"/>
    </xf>
    <xf numFmtId="0" fontId="22" fillId="0" borderId="0" xfId="4" applyFont="1" applyProtection="1">
      <alignment vertical="center"/>
      <protection locked="0"/>
    </xf>
    <xf numFmtId="0" fontId="22" fillId="0" borderId="0" xfId="4" applyFont="1" applyAlignment="1" applyProtection="1">
      <alignment vertical="top"/>
      <protection locked="0"/>
    </xf>
    <xf numFmtId="0" fontId="22" fillId="0" borderId="0" xfId="6" applyFont="1" applyAlignment="1">
      <alignment vertical="top"/>
    </xf>
    <xf numFmtId="0" fontId="25" fillId="0" borderId="0" xfId="8" applyFont="1">
      <alignment vertical="center"/>
    </xf>
    <xf numFmtId="0" fontId="33" fillId="0" borderId="0" xfId="8" applyFont="1">
      <alignment vertical="center"/>
    </xf>
    <xf numFmtId="0" fontId="25" fillId="0" borderId="0" xfId="8" applyFont="1" applyAlignment="1">
      <alignment vertical="center" shrinkToFit="1"/>
    </xf>
    <xf numFmtId="0" fontId="25" fillId="0" borderId="0" xfId="8" applyFont="1" applyAlignment="1">
      <alignment horizontal="left" vertical="center" indent="1"/>
    </xf>
    <xf numFmtId="0" fontId="31" fillId="0" borderId="0" xfId="8" applyFont="1">
      <alignment vertical="center"/>
    </xf>
    <xf numFmtId="0" fontId="31" fillId="0" borderId="0" xfId="8" applyFont="1" applyAlignment="1">
      <alignment horizontal="righ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5" fillId="0" borderId="0" xfId="7" applyFont="1">
      <alignment vertical="center"/>
    </xf>
    <xf numFmtId="49" fontId="26" fillId="0" borderId="13" xfId="8" applyNumberFormat="1" applyFont="1" applyBorder="1" applyAlignment="1">
      <alignment horizontal="left" vertical="top" wrapText="1"/>
    </xf>
    <xf numFmtId="49" fontId="26" fillId="0" borderId="13" xfId="7" applyNumberFormat="1" applyFont="1" applyBorder="1" applyAlignment="1">
      <alignment horizontal="left" vertical="top" wrapText="1"/>
    </xf>
    <xf numFmtId="49" fontId="34" fillId="0" borderId="13" xfId="7" applyNumberFormat="1" applyFont="1" applyBorder="1" applyAlignment="1">
      <alignment horizontal="left" vertical="top" wrapText="1"/>
    </xf>
    <xf numFmtId="0" fontId="22" fillId="9" borderId="13" xfId="4" applyFont="1" applyFill="1" applyBorder="1" applyAlignment="1" applyProtection="1">
      <alignment horizontal="center" vertical="center" shrinkToFit="1"/>
      <protection locked="0"/>
    </xf>
    <xf numFmtId="165" fontId="22" fillId="9" borderId="13" xfId="4" applyNumberFormat="1" applyFont="1" applyFill="1" applyBorder="1" applyAlignment="1" applyProtection="1">
      <alignment horizontal="center" vertical="center" shrinkToFit="1"/>
      <protection locked="0"/>
    </xf>
    <xf numFmtId="0" fontId="35" fillId="8" borderId="13" xfId="9" applyFont="1" applyFill="1" applyBorder="1" applyAlignment="1">
      <alignment horizontal="center" vertical="center" wrapText="1" shrinkToFit="1"/>
    </xf>
    <xf numFmtId="0" fontId="22" fillId="0" borderId="0" xfId="13" applyFont="1" applyFill="1" applyAlignment="1">
      <alignment vertical="center" wrapText="1"/>
    </xf>
    <xf numFmtId="0" fontId="36" fillId="0" borderId="0" xfId="12" applyFont="1" applyAlignment="1">
      <alignment vertical="center" wrapText="1"/>
    </xf>
    <xf numFmtId="49" fontId="39" fillId="0" borderId="13" xfId="7" applyNumberFormat="1" applyFont="1" applyBorder="1" applyAlignment="1">
      <alignment horizontal="left" vertical="top" wrapText="1"/>
    </xf>
    <xf numFmtId="0" fontId="26" fillId="8" borderId="13" xfId="14" applyFont="1" applyFill="1" applyBorder="1" applyAlignment="1">
      <alignment horizontal="center" vertical="center" shrinkToFit="1"/>
    </xf>
    <xf numFmtId="0" fontId="26" fillId="8" borderId="13" xfId="14" applyFont="1" applyFill="1" applyBorder="1" applyAlignment="1">
      <alignment horizontal="center" vertical="center" wrapText="1"/>
    </xf>
    <xf numFmtId="0" fontId="26" fillId="8" borderId="13" xfId="14" applyFont="1" applyFill="1" applyBorder="1">
      <alignment vertical="center"/>
    </xf>
    <xf numFmtId="0" fontId="26" fillId="0" borderId="0" xfId="14" applyFont="1">
      <alignment vertical="center"/>
    </xf>
    <xf numFmtId="0" fontId="26" fillId="0" borderId="0" xfId="14" applyFont="1" applyAlignment="1">
      <alignment horizontal="center" vertical="center" shrinkToFit="1"/>
    </xf>
    <xf numFmtId="0" fontId="26" fillId="0" borderId="0" xfId="14" applyFont="1" applyAlignment="1">
      <alignment horizontal="center" vertical="center" wrapText="1"/>
    </xf>
    <xf numFmtId="0" fontId="26" fillId="0" borderId="0" xfId="14" applyFont="1" applyAlignment="1">
      <alignment vertical="center" wrapText="1"/>
    </xf>
    <xf numFmtId="0" fontId="26" fillId="0" borderId="0" xfId="15" applyFont="1" applyAlignment="1">
      <alignment vertical="center" wrapText="1"/>
    </xf>
    <xf numFmtId="0" fontId="22" fillId="0" borderId="0" xfId="15" applyFont="1" applyAlignment="1">
      <alignment vertical="center" wrapText="1"/>
    </xf>
    <xf numFmtId="0" fontId="22" fillId="0" borderId="0" xfId="14" applyFont="1" applyAlignment="1">
      <alignment horizontal="center" vertical="center" shrinkToFit="1"/>
    </xf>
    <xf numFmtId="0" fontId="22" fillId="0" borderId="0" xfId="15" applyFont="1" applyAlignment="1">
      <alignment horizontal="center" vertical="center" wrapText="1"/>
    </xf>
    <xf numFmtId="0" fontId="22" fillId="0" borderId="0" xfId="14" applyFont="1" applyAlignment="1">
      <alignment horizontal="center" vertical="center" wrapText="1"/>
    </xf>
    <xf numFmtId="0" fontId="22" fillId="0" borderId="0" xfId="14" applyFont="1" applyAlignment="1">
      <alignment vertical="center" wrapText="1"/>
    </xf>
    <xf numFmtId="0" fontId="15" fillId="0" borderId="0" xfId="12" applyAlignment="1">
      <alignment vertical="center" wrapText="1"/>
    </xf>
    <xf numFmtId="0" fontId="38" fillId="0" borderId="0" xfId="14" applyFont="1" applyAlignment="1">
      <alignment vertical="center" wrapText="1"/>
    </xf>
    <xf numFmtId="0" fontId="22" fillId="0" borderId="0" xfId="4" applyFont="1" applyAlignment="1">
      <alignment horizontal="center" vertical="center"/>
    </xf>
    <xf numFmtId="168" fontId="22" fillId="0" borderId="0" xfId="4" applyNumberFormat="1" applyFont="1">
      <alignment vertical="center"/>
    </xf>
    <xf numFmtId="0" fontId="22" fillId="0" borderId="0" xfId="19" applyFont="1"/>
    <xf numFmtId="0" fontId="22" fillId="14" borderId="25" xfId="20" applyFont="1" applyFill="1" applyBorder="1" applyAlignment="1">
      <alignment horizontal="center" vertical="center" wrapText="1"/>
    </xf>
    <xf numFmtId="0" fontId="22" fillId="10" borderId="27" xfId="20" applyFont="1" applyFill="1" applyBorder="1" applyAlignment="1">
      <alignment horizontal="center" vertical="center"/>
    </xf>
    <xf numFmtId="0" fontId="22" fillId="14" borderId="25" xfId="20" applyFont="1" applyFill="1" applyBorder="1" applyAlignment="1">
      <alignment horizontal="center" vertical="center"/>
    </xf>
    <xf numFmtId="168" fontId="22" fillId="14" borderId="28" xfId="20" applyNumberFormat="1" applyFont="1" applyFill="1" applyBorder="1" applyAlignment="1">
      <alignment horizontal="center" vertical="center"/>
    </xf>
    <xf numFmtId="0" fontId="22" fillId="14" borderId="29" xfId="20" applyFont="1" applyFill="1" applyBorder="1" applyAlignment="1">
      <alignment horizontal="center" vertical="center"/>
    </xf>
    <xf numFmtId="0" fontId="22" fillId="15" borderId="25" xfId="20" applyFont="1" applyFill="1" applyBorder="1" applyAlignment="1">
      <alignment horizontal="center" vertical="center"/>
    </xf>
    <xf numFmtId="168" fontId="22" fillId="15" borderId="28" xfId="20" applyNumberFormat="1" applyFont="1" applyFill="1" applyBorder="1" applyAlignment="1">
      <alignment horizontal="center" vertical="center"/>
    </xf>
    <xf numFmtId="0" fontId="22" fillId="15" borderId="29" xfId="20" applyFont="1" applyFill="1" applyBorder="1" applyAlignment="1">
      <alignment horizontal="center" vertical="center"/>
    </xf>
    <xf numFmtId="0" fontId="22" fillId="0" borderId="36" xfId="4" applyFont="1" applyBorder="1" applyAlignment="1">
      <alignment horizontal="center" vertical="center"/>
    </xf>
    <xf numFmtId="0" fontId="22" fillId="0" borderId="36" xfId="4" applyFont="1" applyBorder="1">
      <alignment vertical="center"/>
    </xf>
    <xf numFmtId="169" fontId="22" fillId="17" borderId="3" xfId="20" applyNumberFormat="1" applyFont="1" applyFill="1" applyBorder="1" applyAlignment="1">
      <alignment horizontal="center" vertical="center"/>
    </xf>
    <xf numFmtId="0" fontId="22" fillId="0" borderId="42" xfId="4" applyFont="1" applyBorder="1">
      <alignment vertical="center"/>
    </xf>
    <xf numFmtId="0" fontId="22" fillId="0" borderId="0" xfId="20" applyFont="1" applyAlignment="1">
      <alignment vertical="center" wrapText="1"/>
    </xf>
    <xf numFmtId="0" fontId="22" fillId="0" borderId="0" xfId="20" applyFont="1" applyAlignment="1">
      <alignment horizontal="center" vertical="center"/>
    </xf>
    <xf numFmtId="168" fontId="22" fillId="0" borderId="0" xfId="20" applyNumberFormat="1" applyFont="1">
      <alignment vertical="center"/>
    </xf>
    <xf numFmtId="0" fontId="22" fillId="0" borderId="0" xfId="20" applyFont="1">
      <alignment vertical="center"/>
    </xf>
    <xf numFmtId="0" fontId="22" fillId="0" borderId="0" xfId="20" applyFont="1" applyAlignment="1">
      <alignment horizontal="right" vertical="center"/>
    </xf>
    <xf numFmtId="0" fontId="25" fillId="0" borderId="1" xfId="0" applyFont="1" applyBorder="1" applyAlignment="1">
      <alignment vertical="top"/>
    </xf>
    <xf numFmtId="0" fontId="22" fillId="2" borderId="13" xfId="4"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2" borderId="13" xfId="4" applyFont="1" applyFill="1" applyBorder="1" applyAlignment="1">
      <alignment horizontal="center" vertical="center" wrapText="1" shrinkToFit="1"/>
    </xf>
    <xf numFmtId="0" fontId="44" fillId="0" borderId="0" xfId="20" applyFont="1">
      <alignment vertical="center"/>
    </xf>
    <xf numFmtId="0" fontId="22" fillId="0" borderId="0" xfId="19" applyFont="1" applyAlignment="1">
      <alignment vertical="center"/>
    </xf>
    <xf numFmtId="0" fontId="22" fillId="0" borderId="0" xfId="19" applyFont="1" applyAlignment="1">
      <alignment horizontal="left"/>
    </xf>
    <xf numFmtId="0" fontId="22" fillId="0" borderId="0" xfId="4" applyFont="1" applyAlignment="1">
      <alignment horizontal="left"/>
    </xf>
    <xf numFmtId="168" fontId="22" fillId="0" borderId="0" xfId="4" applyNumberFormat="1" applyFont="1" applyAlignment="1">
      <alignment horizontal="left"/>
    </xf>
    <xf numFmtId="0" fontId="22" fillId="0" borderId="34" xfId="4" applyFont="1" applyBorder="1" applyAlignment="1">
      <alignment horizontal="center" vertical="center"/>
    </xf>
    <xf numFmtId="169" fontId="22" fillId="0" borderId="13" xfId="20" applyNumberFormat="1" applyFont="1" applyBorder="1" applyAlignment="1">
      <alignment horizontal="center" vertical="center"/>
    </xf>
    <xf numFmtId="0" fontId="22" fillId="0" borderId="37" xfId="4" applyFont="1" applyBorder="1">
      <alignment vertical="center"/>
    </xf>
    <xf numFmtId="0" fontId="22" fillId="7" borderId="34" xfId="4" applyFont="1" applyFill="1" applyBorder="1" applyAlignment="1">
      <alignment horizontal="center" vertical="center"/>
    </xf>
    <xf numFmtId="0" fontId="22" fillId="7" borderId="36" xfId="4" applyFont="1" applyFill="1" applyBorder="1" applyAlignment="1">
      <alignment horizontal="center" vertical="center"/>
    </xf>
    <xf numFmtId="0" fontId="22" fillId="7" borderId="36" xfId="4" applyFont="1" applyFill="1" applyBorder="1">
      <alignment vertical="center"/>
    </xf>
    <xf numFmtId="49" fontId="44" fillId="17" borderId="38" xfId="20" applyNumberFormat="1" applyFont="1" applyFill="1" applyBorder="1">
      <alignment vertical="center"/>
    </xf>
    <xf numFmtId="0" fontId="22" fillId="17" borderId="3" xfId="20" applyFont="1" applyFill="1" applyBorder="1">
      <alignment vertical="center"/>
    </xf>
    <xf numFmtId="0" fontId="22" fillId="17" borderId="35" xfId="20" applyFont="1" applyFill="1" applyBorder="1">
      <alignment vertical="center"/>
    </xf>
    <xf numFmtId="0" fontId="22" fillId="0" borderId="39" xfId="4" applyFont="1" applyBorder="1" applyAlignment="1">
      <alignment horizontal="center" vertical="center"/>
    </xf>
    <xf numFmtId="0" fontId="22" fillId="0" borderId="42" xfId="4" applyFont="1" applyBorder="1" applyAlignment="1">
      <alignment horizontal="center" vertical="center"/>
    </xf>
    <xf numFmtId="169" fontId="22" fillId="0" borderId="43" xfId="20" applyNumberFormat="1" applyFont="1" applyBorder="1" applyAlignment="1">
      <alignment horizontal="center" vertical="center"/>
    </xf>
    <xf numFmtId="0" fontId="22" fillId="0" borderId="44" xfId="4" applyFont="1" applyBorder="1">
      <alignment vertical="center"/>
    </xf>
    <xf numFmtId="0" fontId="22" fillId="6" borderId="13" xfId="4" applyFont="1" applyFill="1" applyBorder="1" applyAlignment="1">
      <alignment horizontal="center" vertical="center" wrapText="1" shrinkToFit="1"/>
    </xf>
    <xf numFmtId="0" fontId="22" fillId="4" borderId="13" xfId="4" applyFont="1" applyFill="1" applyBorder="1">
      <alignment vertical="center"/>
    </xf>
    <xf numFmtId="170" fontId="22" fillId="4" borderId="13" xfId="4" applyNumberFormat="1" applyFont="1" applyFill="1" applyBorder="1">
      <alignment vertical="center"/>
    </xf>
    <xf numFmtId="49" fontId="22" fillId="0" borderId="13" xfId="5" quotePrefix="1" applyNumberFormat="1" applyFont="1" applyBorder="1" applyAlignment="1" applyProtection="1">
      <alignment horizontal="center" vertical="center" wrapText="1"/>
      <protection locked="0"/>
    </xf>
    <xf numFmtId="0" fontId="22" fillId="13" borderId="21" xfId="19" applyFont="1" applyFill="1" applyBorder="1" applyAlignment="1">
      <alignment vertical="center" wrapText="1"/>
    </xf>
    <xf numFmtId="49" fontId="22" fillId="13" borderId="21" xfId="19" applyNumberFormat="1" applyFont="1" applyFill="1" applyBorder="1" applyAlignment="1">
      <alignment horizontal="left" vertical="center" wrapText="1"/>
    </xf>
    <xf numFmtId="0" fontId="22" fillId="2" borderId="13" xfId="4" applyFont="1" applyFill="1" applyBorder="1" applyAlignment="1">
      <alignment horizontal="center" vertical="center" wrapText="1"/>
    </xf>
    <xf numFmtId="0" fontId="22" fillId="2" borderId="13" xfId="4" applyFont="1" applyFill="1" applyBorder="1" applyAlignment="1">
      <alignment horizontal="center" vertical="center"/>
    </xf>
    <xf numFmtId="0" fontId="22" fillId="9" borderId="13" xfId="4" applyFont="1" applyFill="1" applyBorder="1" applyAlignment="1">
      <alignment horizontal="left" vertical="center" wrapText="1"/>
    </xf>
    <xf numFmtId="0" fontId="22" fillId="0" borderId="13" xfId="4" applyFont="1" applyBorder="1" applyAlignment="1">
      <alignment horizontal="left" vertical="center"/>
    </xf>
    <xf numFmtId="0" fontId="22" fillId="9" borderId="2" xfId="4" quotePrefix="1" applyFont="1" applyFill="1" applyBorder="1" applyAlignment="1">
      <alignment horizontal="left" vertical="center" wrapText="1"/>
    </xf>
    <xf numFmtId="0" fontId="22" fillId="5" borderId="3" xfId="4" applyFont="1" applyFill="1" applyBorder="1" applyAlignment="1">
      <alignment horizontal="left" vertical="center"/>
    </xf>
    <xf numFmtId="0" fontId="22" fillId="5" borderId="4" xfId="4" applyFont="1" applyFill="1" applyBorder="1" applyAlignment="1">
      <alignment horizontal="left" vertical="center"/>
    </xf>
    <xf numFmtId="0" fontId="22" fillId="3" borderId="0" xfId="5" applyFont="1" applyFill="1" applyAlignment="1" applyProtection="1">
      <alignment horizontal="left" vertical="center" wrapText="1"/>
      <protection locked="0"/>
    </xf>
    <xf numFmtId="14" fontId="22" fillId="3" borderId="0" xfId="4" applyNumberFormat="1" applyFont="1" applyFill="1" applyAlignment="1">
      <alignment horizontal="center" vertical="center" wrapText="1"/>
    </xf>
    <xf numFmtId="0" fontId="22" fillId="3" borderId="0" xfId="4" applyFont="1" applyFill="1" applyAlignment="1">
      <alignment horizontal="left" vertical="center" shrinkToFit="1"/>
    </xf>
    <xf numFmtId="14" fontId="22" fillId="3" borderId="0" xfId="5" applyNumberFormat="1" applyFont="1" applyFill="1" applyAlignment="1" applyProtection="1">
      <alignment horizontal="center" vertical="center" wrapText="1"/>
      <protection locked="0"/>
    </xf>
    <xf numFmtId="0" fontId="22" fillId="0" borderId="13" xfId="5" applyFont="1" applyBorder="1" applyAlignment="1" applyProtection="1">
      <alignment horizontal="left" vertical="center" wrapText="1"/>
      <protection locked="0"/>
    </xf>
    <xf numFmtId="14" fontId="22" fillId="0" borderId="13" xfId="4" applyNumberFormat="1" applyFont="1" applyBorder="1" applyAlignment="1">
      <alignment horizontal="center" vertical="center" wrapText="1"/>
    </xf>
    <xf numFmtId="0" fontId="22" fillId="0" borderId="13" xfId="4" applyFont="1" applyBorder="1" applyAlignment="1">
      <alignment horizontal="left" vertical="center" wrapText="1"/>
    </xf>
    <xf numFmtId="14" fontId="22" fillId="0" borderId="13" xfId="5" applyNumberFormat="1" applyFont="1" applyBorder="1" applyAlignment="1" applyProtection="1">
      <alignment horizontal="center" vertical="center" wrapText="1"/>
      <protection locked="0"/>
    </xf>
    <xf numFmtId="0" fontId="22" fillId="0" borderId="2" xfId="5" applyFont="1" applyBorder="1" applyAlignment="1" applyProtection="1">
      <alignment horizontal="left" vertical="center" wrapText="1"/>
      <protection locked="0"/>
    </xf>
    <xf numFmtId="0" fontId="22" fillId="0" borderId="3" xfId="5" applyFont="1" applyBorder="1" applyAlignment="1" applyProtection="1">
      <alignment horizontal="left" vertical="center" wrapText="1"/>
      <protection locked="0"/>
    </xf>
    <xf numFmtId="0" fontId="22" fillId="0" borderId="4" xfId="5" applyFont="1" applyBorder="1" applyAlignment="1" applyProtection="1">
      <alignment horizontal="left" vertical="center" wrapText="1"/>
      <protection locked="0"/>
    </xf>
    <xf numFmtId="0" fontId="22" fillId="6" borderId="13" xfId="4"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3" borderId="8" xfId="4" applyFont="1" applyFill="1" applyBorder="1" applyAlignment="1">
      <alignment horizontal="center" vertical="center"/>
    </xf>
    <xf numFmtId="0" fontId="22" fillId="3" borderId="8" xfId="5" applyFont="1" applyFill="1" applyBorder="1" applyAlignment="1" applyProtection="1">
      <alignment vertical="center" wrapText="1"/>
      <protection locked="0"/>
    </xf>
    <xf numFmtId="0" fontId="22" fillId="3" borderId="8" xfId="4" applyFont="1" applyFill="1" applyBorder="1" applyAlignment="1" applyProtection="1">
      <alignment vertical="center" wrapText="1" shrinkToFit="1"/>
      <protection locked="0"/>
    </xf>
    <xf numFmtId="0" fontId="22" fillId="3" borderId="8" xfId="4" applyFont="1" applyFill="1" applyBorder="1" applyAlignment="1" applyProtection="1">
      <alignment vertical="center" shrinkToFit="1"/>
      <protection locked="0"/>
    </xf>
    <xf numFmtId="0" fontId="22" fillId="2" borderId="2" xfId="4" applyFont="1" applyFill="1" applyBorder="1" applyAlignment="1">
      <alignment horizontal="center" vertical="center"/>
    </xf>
    <xf numFmtId="0" fontId="22" fillId="2" borderId="4" xfId="4" applyFont="1" applyFill="1" applyBorder="1" applyAlignment="1">
      <alignment horizontal="center" vertical="center"/>
    </xf>
    <xf numFmtId="0" fontId="22" fillId="9" borderId="2" xfId="5" applyFont="1" applyFill="1" applyBorder="1" applyAlignment="1" applyProtection="1">
      <alignment vertical="center" wrapText="1"/>
      <protection locked="0"/>
    </xf>
    <xf numFmtId="0" fontId="22" fillId="9" borderId="3" xfId="5" applyFont="1" applyFill="1" applyBorder="1" applyAlignment="1" applyProtection="1">
      <alignment vertical="center" wrapText="1"/>
      <protection locked="0"/>
    </xf>
    <xf numFmtId="0" fontId="22" fillId="9" borderId="4" xfId="5" applyFont="1" applyFill="1" applyBorder="1" applyAlignment="1" applyProtection="1">
      <alignment vertical="center" wrapText="1"/>
      <protection locked="0"/>
    </xf>
    <xf numFmtId="0" fontId="22" fillId="9" borderId="2" xfId="4" quotePrefix="1" applyFont="1" applyFill="1" applyBorder="1" applyAlignment="1" applyProtection="1">
      <alignment horizontal="right" vertical="center" wrapText="1" shrinkToFit="1"/>
      <protection locked="0"/>
    </xf>
    <xf numFmtId="0" fontId="22" fillId="9" borderId="3" xfId="4" applyFont="1" applyFill="1" applyBorder="1" applyAlignment="1" applyProtection="1">
      <alignment horizontal="right" vertical="center" wrapText="1" shrinkToFit="1"/>
      <protection locked="0"/>
    </xf>
    <xf numFmtId="0" fontId="22" fillId="9" borderId="4" xfId="4" applyFont="1" applyFill="1" applyBorder="1" applyAlignment="1" applyProtection="1">
      <alignment horizontal="right" vertical="center" wrapText="1" shrinkToFit="1"/>
      <protection locked="0"/>
    </xf>
    <xf numFmtId="0" fontId="22" fillId="9" borderId="2" xfId="4" quotePrefix="1" applyFont="1" applyFill="1" applyBorder="1" applyAlignment="1" applyProtection="1">
      <alignment horizontal="right" vertical="center" shrinkToFit="1"/>
      <protection locked="0"/>
    </xf>
    <xf numFmtId="0" fontId="22" fillId="9" borderId="4" xfId="4" applyFont="1" applyFill="1" applyBorder="1" applyAlignment="1" applyProtection="1">
      <alignment horizontal="right" vertical="center" shrinkToFit="1"/>
      <protection locked="0"/>
    </xf>
    <xf numFmtId="0" fontId="22" fillId="9" borderId="2" xfId="4" applyFont="1" applyFill="1" applyBorder="1" applyAlignment="1" applyProtection="1">
      <alignment vertical="center" shrinkToFit="1"/>
      <protection locked="0"/>
    </xf>
    <xf numFmtId="0" fontId="22" fillId="9" borderId="4" xfId="4" applyFont="1" applyFill="1" applyBorder="1" applyAlignment="1" applyProtection="1">
      <alignment vertical="center" shrinkToFit="1"/>
      <protection locked="0"/>
    </xf>
    <xf numFmtId="0" fontId="22" fillId="2" borderId="2" xfId="4" applyFont="1" applyFill="1" applyBorder="1" applyAlignment="1">
      <alignment horizontal="center" vertical="center" wrapText="1" shrinkToFit="1"/>
    </xf>
    <xf numFmtId="0" fontId="22" fillId="2" borderId="4" xfId="4" applyFont="1" applyFill="1" applyBorder="1" applyAlignment="1">
      <alignment horizontal="center" vertical="center" wrapText="1" shrinkToFit="1"/>
    </xf>
    <xf numFmtId="0" fontId="22" fillId="12" borderId="2" xfId="5" applyFont="1" applyFill="1" applyBorder="1" applyAlignment="1" applyProtection="1">
      <alignment vertical="center" wrapText="1"/>
      <protection locked="0"/>
    </xf>
    <xf numFmtId="0" fontId="22" fillId="12" borderId="3" xfId="5" applyFont="1" applyFill="1" applyBorder="1" applyAlignment="1" applyProtection="1">
      <alignment vertical="center" wrapText="1"/>
      <protection locked="0"/>
    </xf>
    <xf numFmtId="0" fontId="22" fillId="12" borderId="4" xfId="5" applyFont="1" applyFill="1" applyBorder="1" applyAlignment="1" applyProtection="1">
      <alignment vertical="center" wrapText="1"/>
      <protection locked="0"/>
    </xf>
    <xf numFmtId="0" fontId="22" fillId="9" borderId="3" xfId="4" quotePrefix="1" applyFont="1" applyFill="1" applyBorder="1" applyAlignment="1" applyProtection="1">
      <alignment horizontal="right" vertical="center" wrapText="1" shrinkToFit="1"/>
      <protection locked="0"/>
    </xf>
    <xf numFmtId="0" fontId="22" fillId="9" borderId="4" xfId="4" quotePrefix="1" applyFont="1" applyFill="1" applyBorder="1" applyAlignment="1" applyProtection="1">
      <alignment horizontal="right" vertical="center" wrapText="1" shrinkToFit="1"/>
      <protection locked="0"/>
    </xf>
    <xf numFmtId="0" fontId="22" fillId="2" borderId="6" xfId="5" applyFont="1" applyFill="1" applyBorder="1" applyAlignment="1">
      <alignment horizontal="center" vertical="center" wrapText="1"/>
    </xf>
    <xf numFmtId="0" fontId="22" fillId="2" borderId="7" xfId="5" applyFont="1" applyFill="1" applyBorder="1" applyAlignment="1">
      <alignment horizontal="center" vertical="center" wrapText="1"/>
    </xf>
    <xf numFmtId="0" fontId="22" fillId="2" borderId="9" xfId="5" applyFont="1" applyFill="1" applyBorder="1" applyAlignment="1">
      <alignment horizontal="center" vertical="center" wrapText="1"/>
    </xf>
    <xf numFmtId="0" fontId="22" fillId="2" borderId="10" xfId="5" applyFont="1" applyFill="1" applyBorder="1" applyAlignment="1">
      <alignment horizontal="center" vertical="center" wrapText="1"/>
    </xf>
    <xf numFmtId="0" fontId="22" fillId="2" borderId="8" xfId="5" applyFont="1" applyFill="1" applyBorder="1" applyAlignment="1">
      <alignment horizontal="center" vertical="center" wrapText="1"/>
    </xf>
    <xf numFmtId="0" fontId="22" fillId="2" borderId="1" xfId="5" applyFont="1" applyFill="1" applyBorder="1" applyAlignment="1">
      <alignment horizontal="center" vertical="center" wrapText="1"/>
    </xf>
    <xf numFmtId="0" fontId="22" fillId="2" borderId="6" xfId="4" applyFont="1" applyFill="1" applyBorder="1" applyAlignment="1">
      <alignment horizontal="center" vertical="center" shrinkToFit="1"/>
    </xf>
    <xf numFmtId="0" fontId="22" fillId="2" borderId="8" xfId="4" applyFont="1" applyFill="1" applyBorder="1" applyAlignment="1">
      <alignment horizontal="center" vertical="center" shrinkToFit="1"/>
    </xf>
    <xf numFmtId="0" fontId="22" fillId="2" borderId="7" xfId="4" applyFont="1" applyFill="1" applyBorder="1" applyAlignment="1">
      <alignment horizontal="center" vertical="center" shrinkToFit="1"/>
    </xf>
    <xf numFmtId="0" fontId="22" fillId="2" borderId="9" xfId="4" applyFont="1" applyFill="1" applyBorder="1" applyAlignment="1">
      <alignment horizontal="center" vertical="center" shrinkToFit="1"/>
    </xf>
    <xf numFmtId="0" fontId="22" fillId="2" borderId="1" xfId="4" applyFont="1" applyFill="1" applyBorder="1" applyAlignment="1">
      <alignment horizontal="center" vertical="center" shrinkToFit="1"/>
    </xf>
    <xf numFmtId="0" fontId="22" fillId="2" borderId="10" xfId="4" applyFont="1" applyFill="1" applyBorder="1" applyAlignment="1">
      <alignment horizontal="center" vertical="center" shrinkToFit="1"/>
    </xf>
    <xf numFmtId="0" fontId="22" fillId="2" borderId="6" xfId="4" applyFont="1" applyFill="1" applyBorder="1" applyAlignment="1">
      <alignment horizontal="center" vertical="center" wrapText="1" shrinkToFit="1"/>
    </xf>
    <xf numFmtId="0" fontId="22" fillId="2" borderId="7" xfId="4" applyFont="1" applyFill="1" applyBorder="1" applyAlignment="1">
      <alignment horizontal="center" vertical="center" wrapText="1" shrinkToFit="1"/>
    </xf>
    <xf numFmtId="0" fontId="22" fillId="2" borderId="9" xfId="4" applyFont="1" applyFill="1" applyBorder="1" applyAlignment="1">
      <alignment horizontal="center" vertical="center" wrapText="1" shrinkToFit="1"/>
    </xf>
    <xf numFmtId="0" fontId="22" fillId="2" borderId="10" xfId="4" applyFont="1" applyFill="1" applyBorder="1" applyAlignment="1">
      <alignment horizontal="center" vertical="center" wrapText="1" shrinkToFit="1"/>
    </xf>
    <xf numFmtId="0" fontId="22" fillId="2" borderId="5" xfId="4" applyFont="1" applyFill="1" applyBorder="1" applyAlignment="1">
      <alignment horizontal="center" vertical="center" wrapText="1" shrinkToFit="1"/>
    </xf>
    <xf numFmtId="0" fontId="22" fillId="2" borderId="14" xfId="4" applyFont="1" applyFill="1" applyBorder="1" applyAlignment="1">
      <alignment horizontal="center" vertical="center" wrapText="1" shrinkToFit="1"/>
    </xf>
    <xf numFmtId="0" fontId="22" fillId="2" borderId="2" xfId="4" applyFont="1" applyFill="1" applyBorder="1" applyAlignment="1">
      <alignment horizontal="center" vertical="center" wrapText="1"/>
    </xf>
    <xf numFmtId="0" fontId="22" fillId="2" borderId="3" xfId="4" applyFont="1" applyFill="1" applyBorder="1" applyAlignment="1">
      <alignment horizontal="center" vertical="center"/>
    </xf>
    <xf numFmtId="14" fontId="22" fillId="2" borderId="13" xfId="4" applyNumberFormat="1" applyFont="1" applyFill="1" applyBorder="1" applyAlignment="1">
      <alignment horizontal="center" vertical="center" wrapText="1"/>
    </xf>
    <xf numFmtId="14" fontId="22" fillId="2" borderId="13" xfId="4" applyNumberFormat="1" applyFont="1" applyFill="1" applyBorder="1" applyAlignment="1">
      <alignment horizontal="center" vertical="center"/>
    </xf>
    <xf numFmtId="14" fontId="22" fillId="0" borderId="13" xfId="4" applyNumberFormat="1" applyFont="1" applyBorder="1" applyAlignment="1">
      <alignment horizontal="center" vertical="center"/>
    </xf>
    <xf numFmtId="2" fontId="22" fillId="0" borderId="13" xfId="4" applyNumberFormat="1" applyFont="1" applyBorder="1" applyAlignment="1">
      <alignment horizontal="center" vertical="center"/>
    </xf>
    <xf numFmtId="166" fontId="22" fillId="4" borderId="13" xfId="4" applyNumberFormat="1" applyFont="1" applyFill="1" applyBorder="1" applyAlignment="1">
      <alignment horizontal="right" vertical="center"/>
    </xf>
    <xf numFmtId="165" fontId="22" fillId="0" borderId="13" xfId="17" applyNumberFormat="1" applyFont="1" applyBorder="1" applyAlignment="1">
      <alignment vertical="center"/>
    </xf>
    <xf numFmtId="165" fontId="22" fillId="0" borderId="13" xfId="4" applyNumberFormat="1" applyFont="1" applyBorder="1">
      <alignment vertical="center"/>
    </xf>
    <xf numFmtId="165" fontId="22" fillId="4" borderId="13" xfId="4" applyNumberFormat="1" applyFont="1" applyFill="1" applyBorder="1" applyAlignment="1">
      <alignment horizontal="right" vertical="center"/>
    </xf>
    <xf numFmtId="166" fontId="22" fillId="0" borderId="13" xfId="17" applyNumberFormat="1" applyFont="1" applyBorder="1" applyAlignment="1">
      <alignment vertical="center"/>
    </xf>
    <xf numFmtId="166" fontId="22" fillId="0" borderId="13" xfId="4" applyNumberFormat="1" applyFont="1" applyBorder="1">
      <alignment vertical="center"/>
    </xf>
    <xf numFmtId="0" fontId="22" fillId="2" borderId="6" xfId="4" applyFont="1" applyFill="1" applyBorder="1" applyAlignment="1">
      <alignment horizontal="center" vertical="center" wrapText="1"/>
    </xf>
    <xf numFmtId="0" fontId="22" fillId="2" borderId="8" xfId="4" applyFont="1" applyFill="1" applyBorder="1" applyAlignment="1">
      <alignment horizontal="center" vertical="center"/>
    </xf>
    <xf numFmtId="0" fontId="22" fillId="2" borderId="7" xfId="4" applyFont="1" applyFill="1" applyBorder="1" applyAlignment="1">
      <alignment horizontal="center" vertical="center"/>
    </xf>
    <xf numFmtId="0" fontId="22" fillId="2" borderId="9" xfId="4" applyFont="1" applyFill="1" applyBorder="1" applyAlignment="1">
      <alignment horizontal="center" vertical="center"/>
    </xf>
    <xf numFmtId="0" fontId="22" fillId="2" borderId="1" xfId="4" applyFont="1" applyFill="1" applyBorder="1" applyAlignment="1">
      <alignment horizontal="center" vertical="center"/>
    </xf>
    <xf numFmtId="0" fontId="22" fillId="2" borderId="10" xfId="4" applyFont="1" applyFill="1" applyBorder="1" applyAlignment="1">
      <alignment horizontal="center" vertical="center"/>
    </xf>
    <xf numFmtId="0" fontId="22" fillId="2" borderId="3" xfId="4" applyFont="1" applyFill="1" applyBorder="1" applyAlignment="1">
      <alignment horizontal="center" vertical="center" wrapText="1"/>
    </xf>
    <xf numFmtId="0" fontId="22" fillId="2" borderId="4" xfId="4" applyFont="1" applyFill="1" applyBorder="1" applyAlignment="1">
      <alignment horizontal="center" vertical="center" wrapText="1"/>
    </xf>
    <xf numFmtId="0" fontId="22" fillId="6" borderId="2" xfId="4" applyFont="1" applyFill="1" applyBorder="1" applyAlignment="1">
      <alignment horizontal="center" vertical="center" wrapText="1"/>
    </xf>
    <xf numFmtId="0" fontId="22" fillId="6" borderId="3" xfId="4" applyFont="1" applyFill="1" applyBorder="1" applyAlignment="1">
      <alignment horizontal="center" vertical="center" wrapText="1"/>
    </xf>
    <xf numFmtId="0" fontId="22" fillId="6" borderId="4" xfId="4" applyFont="1" applyFill="1" applyBorder="1" applyAlignment="1">
      <alignment horizontal="center" vertical="center" wrapText="1"/>
    </xf>
    <xf numFmtId="0" fontId="22" fillId="6" borderId="2" xfId="4" applyFont="1" applyFill="1" applyBorder="1" applyAlignment="1">
      <alignment horizontal="center" vertical="center" wrapText="1" shrinkToFit="1"/>
    </xf>
    <xf numFmtId="0" fontId="22" fillId="6" borderId="4" xfId="4" applyFont="1" applyFill="1" applyBorder="1" applyAlignment="1">
      <alignment horizontal="center" vertical="center" wrapText="1" shrinkToFit="1"/>
    </xf>
    <xf numFmtId="0" fontId="22" fillId="6" borderId="4" xfId="4" applyFont="1" applyFill="1" applyBorder="1" applyAlignment="1">
      <alignment horizontal="center" vertical="center"/>
    </xf>
    <xf numFmtId="0" fontId="22" fillId="6" borderId="13" xfId="4" applyFont="1" applyFill="1" applyBorder="1" applyAlignment="1">
      <alignment horizontal="center" vertical="center"/>
    </xf>
    <xf numFmtId="0" fontId="22" fillId="0" borderId="13" xfId="4" applyFont="1" applyBorder="1" applyAlignment="1">
      <alignment horizontal="center" vertical="center"/>
    </xf>
    <xf numFmtId="0" fontId="22" fillId="0" borderId="2" xfId="4" applyFont="1" applyBorder="1" applyAlignment="1" applyProtection="1">
      <alignment vertical="center" wrapText="1" shrinkToFit="1"/>
      <protection locked="0"/>
    </xf>
    <xf numFmtId="0" fontId="22" fillId="0" borderId="4" xfId="4" applyFont="1" applyBorder="1" applyAlignment="1" applyProtection="1">
      <alignment vertical="center" wrapText="1" shrinkToFit="1"/>
      <protection locked="0"/>
    </xf>
    <xf numFmtId="0" fontId="22" fillId="2" borderId="2" xfId="4" applyFont="1" applyFill="1" applyBorder="1" applyAlignment="1" applyProtection="1">
      <alignment horizontal="center" vertical="center" wrapText="1" shrinkToFit="1"/>
      <protection locked="0"/>
    </xf>
    <xf numFmtId="0" fontId="22" fillId="2" borderId="4" xfId="4" applyFont="1" applyFill="1" applyBorder="1" applyAlignment="1" applyProtection="1">
      <alignment horizontal="center" vertical="center" shrinkToFit="1"/>
      <protection locked="0"/>
    </xf>
    <xf numFmtId="0" fontId="22" fillId="0" borderId="3" xfId="4" applyFont="1" applyBorder="1" applyAlignment="1" applyProtection="1">
      <alignment vertical="center" wrapText="1" shrinkToFit="1"/>
      <protection locked="0"/>
    </xf>
    <xf numFmtId="0" fontId="22" fillId="2" borderId="13" xfId="4" applyFont="1" applyFill="1" applyBorder="1" applyAlignment="1" applyProtection="1">
      <alignment horizontal="center" vertical="center" wrapText="1" shrinkToFit="1"/>
      <protection locked="0"/>
    </xf>
    <xf numFmtId="0" fontId="22" fillId="2" borderId="13" xfId="4" applyFont="1" applyFill="1" applyBorder="1" applyAlignment="1" applyProtection="1">
      <alignment horizontal="center" vertical="center" shrinkToFit="1"/>
      <protection locked="0"/>
    </xf>
    <xf numFmtId="0" fontId="22" fillId="0" borderId="13" xfId="4" applyFont="1" applyBorder="1" applyAlignment="1" applyProtection="1">
      <alignment horizontal="left" vertical="center" wrapText="1" shrinkToFit="1"/>
      <protection locked="0"/>
    </xf>
    <xf numFmtId="14" fontId="22" fillId="0" borderId="13" xfId="4" applyNumberFormat="1" applyFont="1" applyBorder="1" applyAlignment="1" applyProtection="1">
      <alignment horizontal="center" vertical="center" shrinkToFit="1"/>
      <protection locked="0"/>
    </xf>
    <xf numFmtId="164" fontId="22" fillId="0" borderId="13" xfId="4" applyNumberFormat="1" applyFont="1" applyBorder="1" applyAlignment="1" applyProtection="1">
      <alignment horizontal="center" vertical="center" shrinkToFit="1"/>
      <protection locked="0"/>
    </xf>
    <xf numFmtId="0" fontId="25" fillId="0" borderId="8"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0" xfId="0" applyFont="1" applyBorder="1" applyAlignment="1">
      <alignment horizontal="center" vertical="center" wrapText="1"/>
    </xf>
    <xf numFmtId="0" fontId="22" fillId="0" borderId="8" xfId="4" applyFont="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shrinkToFit="1"/>
      <protection locked="0"/>
    </xf>
    <xf numFmtId="164" fontId="22" fillId="0" borderId="2" xfId="4" applyNumberFormat="1" applyFont="1" applyBorder="1" applyAlignment="1">
      <alignment horizontal="center" vertical="center"/>
    </xf>
    <xf numFmtId="164" fontId="22" fillId="0" borderId="4" xfId="4" applyNumberFormat="1" applyFont="1" applyBorder="1" applyAlignment="1">
      <alignment horizontal="center" vertical="center"/>
    </xf>
    <xf numFmtId="0" fontId="22" fillId="0" borderId="2" xfId="4" applyFont="1" applyBorder="1" applyAlignment="1">
      <alignment horizontal="left" vertical="center" wrapText="1"/>
    </xf>
    <xf numFmtId="0" fontId="22" fillId="0" borderId="3" xfId="4" applyFont="1" applyBorder="1" applyAlignment="1">
      <alignment horizontal="left" vertical="center" wrapText="1"/>
    </xf>
    <xf numFmtId="0" fontId="22" fillId="0" borderId="4" xfId="4" applyFont="1" applyBorder="1" applyAlignment="1">
      <alignment horizontal="left" vertical="center" wrapText="1"/>
    </xf>
    <xf numFmtId="0" fontId="22" fillId="6" borderId="1" xfId="2" applyFont="1" applyFill="1" applyBorder="1" applyAlignment="1">
      <alignment horizontal="left" vertical="top" wrapText="1"/>
    </xf>
    <xf numFmtId="0" fontId="25" fillId="0" borderId="1" xfId="0" applyFont="1" applyBorder="1" applyAlignment="1">
      <alignment vertical="top"/>
    </xf>
    <xf numFmtId="0" fontId="22" fillId="2" borderId="13" xfId="5" applyFont="1" applyFill="1" applyBorder="1" applyAlignment="1">
      <alignment horizontal="center" vertical="center"/>
    </xf>
    <xf numFmtId="0" fontId="22" fillId="0" borderId="13" xfId="4" applyFont="1" applyBorder="1" applyAlignment="1" applyProtection="1">
      <alignment horizontal="center" vertical="center" wrapText="1"/>
      <protection locked="0"/>
    </xf>
    <xf numFmtId="0" fontId="22" fillId="6" borderId="3" xfId="4" applyFont="1" applyFill="1" applyBorder="1" applyAlignment="1">
      <alignment horizontal="center" vertical="center"/>
    </xf>
    <xf numFmtId="0" fontId="22" fillId="2" borderId="2" xfId="5" applyFont="1" applyFill="1" applyBorder="1" applyAlignment="1">
      <alignment horizontal="center" vertical="center" wrapText="1"/>
    </xf>
    <xf numFmtId="0" fontId="22" fillId="2" borderId="3" xfId="5" applyFont="1" applyFill="1" applyBorder="1" applyAlignment="1">
      <alignment horizontal="center" vertical="center"/>
    </xf>
    <xf numFmtId="0" fontId="22" fillId="2" borderId="4" xfId="5" applyFont="1" applyFill="1" applyBorder="1" applyAlignment="1">
      <alignment horizontal="center" vertical="center"/>
    </xf>
    <xf numFmtId="0" fontId="22" fillId="9" borderId="13" xfId="4" applyFont="1" applyFill="1" applyBorder="1" applyAlignment="1" applyProtection="1">
      <alignment horizontal="center" vertical="center" wrapText="1"/>
      <protection locked="0"/>
    </xf>
    <xf numFmtId="0" fontId="22" fillId="0" borderId="2" xfId="17" applyFont="1" applyBorder="1" applyAlignment="1">
      <alignment horizontal="center" vertical="center"/>
    </xf>
    <xf numFmtId="0" fontId="22" fillId="0" borderId="3" xfId="17" applyFont="1" applyBorder="1" applyAlignment="1">
      <alignment horizontal="center" vertical="center"/>
    </xf>
    <xf numFmtId="0" fontId="22" fillId="0" borderId="4" xfId="17" applyFont="1" applyBorder="1" applyAlignment="1">
      <alignment horizontal="center" vertical="center"/>
    </xf>
    <xf numFmtId="0" fontId="28" fillId="9" borderId="6" xfId="2" applyFont="1" applyFill="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0" fontId="22" fillId="0" borderId="13" xfId="17" applyFont="1" applyBorder="1" applyAlignment="1" applyProtection="1">
      <alignment horizontal="left" vertical="top" wrapText="1"/>
      <protection locked="0"/>
    </xf>
    <xf numFmtId="0" fontId="22" fillId="2" borderId="13" xfId="2" applyFont="1" applyFill="1" applyBorder="1" applyAlignment="1">
      <alignment horizontal="left" vertical="top" wrapText="1"/>
    </xf>
    <xf numFmtId="0" fontId="26" fillId="2" borderId="6" xfId="2" applyFont="1" applyFill="1" applyBorder="1" applyAlignment="1">
      <alignment horizontal="center" vertical="center" wrapText="1"/>
    </xf>
    <xf numFmtId="0" fontId="26" fillId="2" borderId="8" xfId="2" applyFont="1" applyFill="1" applyBorder="1" applyAlignment="1">
      <alignment horizontal="center" vertical="center" wrapText="1"/>
    </xf>
    <xf numFmtId="0" fontId="26" fillId="2" borderId="7" xfId="2" applyFont="1" applyFill="1" applyBorder="1" applyAlignment="1">
      <alignment horizontal="center" vertical="center" wrapText="1"/>
    </xf>
    <xf numFmtId="0" fontId="26" fillId="2" borderId="9" xfId="2" applyFont="1" applyFill="1" applyBorder="1" applyAlignment="1">
      <alignment horizontal="center" vertical="center" wrapText="1"/>
    </xf>
    <xf numFmtId="0" fontId="26" fillId="2" borderId="1" xfId="2" applyFont="1" applyFill="1" applyBorder="1" applyAlignment="1">
      <alignment horizontal="center" vertical="center" wrapText="1"/>
    </xf>
    <xf numFmtId="0" fontId="26" fillId="2" borderId="10" xfId="2" applyFont="1" applyFill="1" applyBorder="1" applyAlignment="1">
      <alignment horizontal="center" vertical="center"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0" fontId="22" fillId="9" borderId="13" xfId="2" applyFont="1" applyFill="1" applyBorder="1" applyAlignment="1">
      <alignment horizontal="left" vertical="top" wrapText="1"/>
    </xf>
    <xf numFmtId="0" fontId="22" fillId="0" borderId="13" xfId="2" applyFont="1" applyBorder="1" applyAlignment="1">
      <alignment horizontal="left" vertical="top"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14" fontId="26" fillId="0" borderId="6" xfId="2" applyNumberFormat="1" applyFont="1" applyBorder="1" applyAlignment="1">
      <alignment horizontal="center" vertical="center" wrapText="1"/>
    </xf>
    <xf numFmtId="14" fontId="26" fillId="0" borderId="8" xfId="2" applyNumberFormat="1" applyFont="1" applyBorder="1" applyAlignment="1">
      <alignment horizontal="center" vertical="center" wrapText="1"/>
    </xf>
    <xf numFmtId="14" fontId="26" fillId="0" borderId="7" xfId="2" applyNumberFormat="1" applyFont="1" applyBorder="1" applyAlignment="1">
      <alignment horizontal="center" vertical="center" wrapText="1"/>
    </xf>
    <xf numFmtId="14" fontId="26" fillId="0" borderId="9" xfId="2" applyNumberFormat="1" applyFont="1" applyBorder="1" applyAlignment="1">
      <alignment horizontal="center" vertical="center" wrapText="1"/>
    </xf>
    <xf numFmtId="14" fontId="26" fillId="0" borderId="1" xfId="2" applyNumberFormat="1" applyFont="1" applyBorder="1" applyAlignment="1">
      <alignment horizontal="center" vertical="center" wrapText="1"/>
    </xf>
    <xf numFmtId="14" fontId="26" fillId="0" borderId="10" xfId="2" applyNumberFormat="1" applyFont="1" applyBorder="1" applyAlignment="1">
      <alignment horizontal="center" vertical="center" wrapText="1"/>
    </xf>
    <xf numFmtId="0" fontId="26" fillId="0" borderId="13" xfId="2" applyFont="1" applyBorder="1" applyAlignment="1">
      <alignment horizontal="center" vertical="center" wrapText="1"/>
    </xf>
    <xf numFmtId="0" fontId="22" fillId="6" borderId="2" xfId="2" applyFont="1" applyFill="1" applyBorder="1" applyAlignment="1">
      <alignment horizontal="left" vertical="center" wrapText="1"/>
    </xf>
    <xf numFmtId="0" fontId="22" fillId="6" borderId="3" xfId="2" applyFont="1" applyFill="1" applyBorder="1" applyAlignment="1">
      <alignment horizontal="left" vertical="center" wrapText="1"/>
    </xf>
    <xf numFmtId="0" fontId="22" fillId="6" borderId="4" xfId="2" applyFont="1" applyFill="1" applyBorder="1" applyAlignment="1">
      <alignment horizontal="left" vertical="center" wrapText="1"/>
    </xf>
    <xf numFmtId="0" fontId="22" fillId="0" borderId="2" xfId="2" applyFont="1" applyBorder="1" applyAlignment="1">
      <alignment horizontal="left" vertical="center" wrapText="1"/>
    </xf>
    <xf numFmtId="0" fontId="22" fillId="0" borderId="3" xfId="2" applyFont="1" applyBorder="1" applyAlignment="1">
      <alignment horizontal="left" vertical="center" wrapText="1"/>
    </xf>
    <xf numFmtId="0" fontId="22" fillId="0" borderId="4" xfId="2" applyFont="1" applyBorder="1" applyAlignment="1">
      <alignment horizontal="left" vertical="center" wrapText="1"/>
    </xf>
    <xf numFmtId="0" fontId="28" fillId="0" borderId="6" xfId="2" applyFont="1" applyBorder="1" applyAlignment="1">
      <alignment horizontal="center" vertical="center" wrapText="1"/>
    </xf>
    <xf numFmtId="0" fontId="26" fillId="2" borderId="13" xfId="2" applyFont="1" applyFill="1" applyBorder="1" applyAlignment="1">
      <alignment horizontal="center" vertical="center" wrapText="1"/>
    </xf>
    <xf numFmtId="0" fontId="22" fillId="0" borderId="40" xfId="4" applyFont="1" applyBorder="1" applyAlignment="1">
      <alignment horizontal="left" vertical="center" wrapText="1"/>
    </xf>
    <xf numFmtId="0" fontId="22" fillId="0" borderId="41" xfId="4" applyFont="1" applyBorder="1" applyAlignment="1">
      <alignment horizontal="left" vertical="center" wrapText="1"/>
    </xf>
    <xf numFmtId="0" fontId="22" fillId="0" borderId="35" xfId="4" applyFont="1" applyBorder="1" applyAlignment="1">
      <alignment horizontal="left" vertical="center"/>
    </xf>
    <xf numFmtId="0" fontId="22" fillId="0" borderId="2" xfId="4" applyFont="1" applyBorder="1" applyAlignment="1">
      <alignment horizontal="left" vertical="center"/>
    </xf>
    <xf numFmtId="0" fontId="22" fillId="7" borderId="2" xfId="4" applyFont="1" applyFill="1" applyBorder="1" applyAlignment="1">
      <alignment horizontal="left" vertical="center"/>
    </xf>
    <xf numFmtId="0" fontId="22" fillId="7" borderId="35" xfId="4" applyFont="1" applyFill="1" applyBorder="1" applyAlignment="1">
      <alignment horizontal="left" vertical="center"/>
    </xf>
    <xf numFmtId="0" fontId="22" fillId="0" borderId="15" xfId="19" applyFont="1" applyBorder="1" applyAlignment="1">
      <alignment horizontal="center" vertical="center"/>
    </xf>
    <xf numFmtId="0" fontId="22" fillId="0" borderId="16" xfId="19" applyFont="1" applyBorder="1" applyAlignment="1">
      <alignment horizontal="center" vertical="center"/>
    </xf>
    <xf numFmtId="0" fontId="22" fillId="0" borderId="19" xfId="19" applyFont="1" applyBorder="1" applyAlignment="1">
      <alignment horizontal="center" vertical="center"/>
    </xf>
    <xf numFmtId="0" fontId="22" fillId="0" borderId="20" xfId="19" applyFont="1" applyBorder="1" applyAlignment="1">
      <alignment horizontal="center" vertical="center"/>
    </xf>
    <xf numFmtId="0" fontId="22" fillId="13" borderId="17" xfId="19" applyFont="1" applyFill="1" applyBorder="1" applyAlignment="1">
      <alignment horizontal="left" vertical="center" wrapText="1"/>
    </xf>
    <xf numFmtId="0" fontId="22" fillId="13" borderId="21" xfId="19" applyFont="1" applyFill="1" applyBorder="1" applyAlignment="1">
      <alignment horizontal="left" vertical="center" wrapText="1"/>
    </xf>
    <xf numFmtId="0" fontId="22" fillId="0" borderId="15" xfId="4" applyFont="1" applyBorder="1" applyAlignment="1">
      <alignment horizontal="center" vertical="center"/>
    </xf>
    <xf numFmtId="0" fontId="22" fillId="0" borderId="16" xfId="4" applyFont="1" applyBorder="1" applyAlignment="1">
      <alignment horizontal="center" vertical="center"/>
    </xf>
    <xf numFmtId="0" fontId="22" fillId="0" borderId="19" xfId="4" applyFont="1" applyBorder="1" applyAlignment="1">
      <alignment horizontal="center" vertical="center"/>
    </xf>
    <xf numFmtId="0" fontId="22" fillId="0" borderId="20" xfId="4" applyFont="1" applyBorder="1" applyAlignment="1">
      <alignment horizontal="center" vertical="center"/>
    </xf>
    <xf numFmtId="169" fontId="22" fillId="13" borderId="15" xfId="19" applyNumberFormat="1" applyFont="1" applyFill="1" applyBorder="1" applyAlignment="1">
      <alignment horizontal="left" vertical="center"/>
    </xf>
    <xf numFmtId="169" fontId="22" fillId="13" borderId="18" xfId="19" applyNumberFormat="1" applyFont="1" applyFill="1" applyBorder="1" applyAlignment="1">
      <alignment horizontal="left" vertical="center"/>
    </xf>
    <xf numFmtId="169" fontId="22" fillId="13" borderId="16" xfId="19" applyNumberFormat="1" applyFont="1" applyFill="1" applyBorder="1" applyAlignment="1">
      <alignment horizontal="left" vertical="center"/>
    </xf>
    <xf numFmtId="169" fontId="22" fillId="13" borderId="19" xfId="19" applyNumberFormat="1" applyFont="1" applyFill="1" applyBorder="1" applyAlignment="1">
      <alignment horizontal="left" vertical="center"/>
    </xf>
    <xf numFmtId="169" fontId="22" fillId="13" borderId="22" xfId="19" applyNumberFormat="1" applyFont="1" applyFill="1" applyBorder="1" applyAlignment="1">
      <alignment horizontal="left" vertical="center"/>
    </xf>
    <xf numFmtId="169" fontId="22" fillId="13" borderId="20" xfId="19" applyNumberFormat="1" applyFont="1" applyFill="1" applyBorder="1" applyAlignment="1">
      <alignment horizontal="left" vertical="center"/>
    </xf>
    <xf numFmtId="0" fontId="22" fillId="0" borderId="23" xfId="19" applyFont="1" applyBorder="1" applyAlignment="1">
      <alignment horizontal="center" vertical="center"/>
    </xf>
    <xf numFmtId="0" fontId="22" fillId="0" borderId="24" xfId="19" applyFont="1" applyBorder="1" applyAlignment="1">
      <alignment horizontal="center" vertical="center"/>
    </xf>
    <xf numFmtId="0" fontId="22" fillId="13" borderId="15" xfId="19" applyFont="1" applyFill="1" applyBorder="1" applyAlignment="1">
      <alignment horizontal="left" vertical="center"/>
    </xf>
    <xf numFmtId="0" fontId="22" fillId="13" borderId="18" xfId="19" applyFont="1" applyFill="1" applyBorder="1" applyAlignment="1">
      <alignment horizontal="left" vertical="center"/>
    </xf>
    <xf numFmtId="0" fontId="22" fillId="13" borderId="16" xfId="19" applyFont="1" applyFill="1" applyBorder="1" applyAlignment="1">
      <alignment horizontal="left" vertical="center"/>
    </xf>
    <xf numFmtId="0" fontId="22" fillId="13" borderId="19" xfId="19" applyFont="1" applyFill="1" applyBorder="1" applyAlignment="1">
      <alignment horizontal="left" vertical="center"/>
    </xf>
    <xf numFmtId="0" fontId="22" fillId="13" borderId="22" xfId="19" applyFont="1" applyFill="1" applyBorder="1" applyAlignment="1">
      <alignment horizontal="left" vertical="center"/>
    </xf>
    <xf numFmtId="0" fontId="22" fillId="13" borderId="20" xfId="19" applyFont="1" applyFill="1" applyBorder="1" applyAlignment="1">
      <alignment horizontal="left" vertical="center"/>
    </xf>
    <xf numFmtId="0" fontId="22" fillId="14" borderId="26" xfId="20" applyFont="1" applyFill="1" applyBorder="1" applyAlignment="1">
      <alignment horizontal="left" vertical="center" wrapText="1"/>
    </xf>
    <xf numFmtId="0" fontId="22" fillId="14" borderId="24" xfId="20" applyFont="1" applyFill="1" applyBorder="1" applyAlignment="1">
      <alignment horizontal="left" vertical="center" wrapText="1"/>
    </xf>
    <xf numFmtId="0" fontId="44" fillId="16" borderId="23" xfId="20" applyFont="1" applyFill="1" applyBorder="1" applyAlignment="1">
      <alignment horizontal="left" vertical="center"/>
    </xf>
    <xf numFmtId="0" fontId="22" fillId="16" borderId="30" xfId="20" applyFont="1" applyFill="1" applyBorder="1">
      <alignment vertical="center"/>
    </xf>
    <xf numFmtId="0" fontId="22" fillId="16" borderId="24" xfId="20" applyFont="1" applyFill="1" applyBorder="1">
      <alignment vertical="center"/>
    </xf>
    <xf numFmtId="49" fontId="44" fillId="17" borderId="31" xfId="20" applyNumberFormat="1" applyFont="1" applyFill="1" applyBorder="1">
      <alignment vertical="center"/>
    </xf>
    <xf numFmtId="0" fontId="22" fillId="17" borderId="32" xfId="20" applyFont="1" applyFill="1" applyBorder="1">
      <alignment vertical="center"/>
    </xf>
    <xf numFmtId="0" fontId="22" fillId="17" borderId="33" xfId="20" applyFont="1" applyFill="1" applyBorder="1">
      <alignment vertical="center"/>
    </xf>
    <xf numFmtId="0" fontId="22" fillId="0" borderId="2" xfId="20" applyFont="1" applyBorder="1" applyAlignment="1">
      <alignment vertical="center" wrapText="1"/>
    </xf>
    <xf numFmtId="0" fontId="22" fillId="0" borderId="35" xfId="20" applyFont="1" applyBorder="1" applyAlignment="1">
      <alignment vertical="center" wrapText="1"/>
    </xf>
    <xf numFmtId="0" fontId="25" fillId="0" borderId="5" xfId="7" applyFont="1" applyBorder="1" applyAlignment="1">
      <alignment horizontal="center" vertical="top" shrinkToFit="1"/>
    </xf>
    <xf numFmtId="0" fontId="25" fillId="0" borderId="14" xfId="7" applyFont="1" applyBorder="1" applyAlignment="1">
      <alignment horizontal="center" vertical="top" shrinkToFit="1"/>
    </xf>
    <xf numFmtId="0" fontId="25" fillId="0" borderId="5" xfId="8" applyFont="1" applyBorder="1" applyAlignment="1">
      <alignment horizontal="center" vertical="top" wrapText="1" shrinkToFit="1"/>
    </xf>
    <xf numFmtId="0" fontId="25" fillId="0" borderId="14" xfId="8" applyFont="1" applyBorder="1" applyAlignment="1">
      <alignment horizontal="center" vertical="top" shrinkToFit="1"/>
    </xf>
    <xf numFmtId="0" fontId="25" fillId="0" borderId="5" xfId="7" applyFont="1" applyBorder="1" applyAlignment="1">
      <alignment horizontal="center" vertical="top" wrapText="1" shrinkToFit="1"/>
    </xf>
  </cellXfs>
  <cellStyles count="21">
    <cellStyle name="Bad" xfId="13" builtinId="27"/>
    <cellStyle name="Hyperlink" xfId="12" builtinId="8"/>
    <cellStyle name="Normal" xfId="0" builtinId="0"/>
    <cellStyle name="Normal 2" xfId="18" xr:uid="{00000000-0005-0000-0000-000003000000}"/>
    <cellStyle name="Normal 3" xfId="20" xr:uid="{00000000-0005-0000-0000-000004000000}"/>
    <cellStyle name="ハイパーリンク 2" xfId="9" xr:uid="{00000000-0005-0000-0000-000005000000}"/>
    <cellStyle name="標準 2" xfId="1" xr:uid="{00000000-0005-0000-0000-000006000000}"/>
    <cellStyle name="標準 2 2" xfId="4" xr:uid="{00000000-0005-0000-0000-000007000000}"/>
    <cellStyle name="標準 2 2 2" xfId="17" xr:uid="{00000000-0005-0000-0000-000008000000}"/>
    <cellStyle name="標準 2 5" xfId="7" xr:uid="{00000000-0005-0000-0000-000009000000}"/>
    <cellStyle name="標準 3" xfId="2" xr:uid="{00000000-0005-0000-0000-00000A000000}"/>
    <cellStyle name="標準 3 3" xfId="16" xr:uid="{00000000-0005-0000-0000-00000B000000}"/>
    <cellStyle name="標準 4" xfId="3" xr:uid="{00000000-0005-0000-0000-00000C000000}"/>
    <cellStyle name="標準 4 2" xfId="8"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9"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76">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5"/>
      <tableStyleElement type="headerRow" dxfId="74"/>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rvc-vnas-01\MobAP2\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vc-vnas-01\MobAP2\PRM_checklist\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Revision history"/>
      <sheetName val="Peer Review Minutes"/>
      <sheetName val="Peer Review Checklist"/>
      <sheetName val="REL-SEPG-PRM20190801"/>
      <sheetName val="REL_SEPG_Peer_Review_Minutes"/>
    </sheetNames>
    <sheetDataSet>
      <sheetData sheetId="0" refreshError="1">
        <row r="3">
          <cell r="B3" t="str">
            <v>REL-SEPG-PRM20190801</v>
          </cell>
        </row>
      </sheetData>
      <sheetData sheetId="1" refreshError="1"/>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1:BL59"/>
  <sheetViews>
    <sheetView showGridLines="0" tabSelected="1" topLeftCell="A19" zoomScale="70" zoomScaleNormal="70" zoomScaleSheetLayoutView="100" workbookViewId="0">
      <selection activeCell="AG18" sqref="AG18"/>
    </sheetView>
  </sheetViews>
  <sheetFormatPr defaultColWidth="8.88671875" defaultRowHeight="12.75"/>
  <cols>
    <col min="1" max="2" width="2.77734375" style="15" customWidth="1"/>
    <col min="3" max="3" width="5" style="15" customWidth="1"/>
    <col min="4" max="4" width="6.77734375" style="15" customWidth="1"/>
    <col min="5" max="5" width="9.21875" style="15" customWidth="1"/>
    <col min="6" max="7" width="9.77734375" style="15" customWidth="1"/>
    <col min="8" max="14" width="6.77734375" style="15" customWidth="1"/>
    <col min="15" max="15" width="9.77734375" style="15" customWidth="1"/>
    <col min="16" max="16" width="10.44140625" style="15" customWidth="1"/>
    <col min="17" max="21" width="6.77734375" style="15" customWidth="1"/>
    <col min="22" max="22" width="7.77734375" style="15" customWidth="1"/>
    <col min="23" max="26" width="9.77734375" style="15" customWidth="1"/>
    <col min="27" max="28" width="2.77734375" style="15" hidden="1" customWidth="1"/>
    <col min="29" max="29" width="2.77734375" style="15" customWidth="1"/>
    <col min="30" max="40" width="8.88671875" style="15"/>
    <col min="41" max="41" width="3.44140625" style="15" customWidth="1"/>
    <col min="42" max="42" width="8.88671875" style="15" customWidth="1"/>
    <col min="43" max="43" width="36.44140625" style="15" customWidth="1"/>
    <col min="44" max="44" width="13.21875" style="15" customWidth="1"/>
    <col min="45" max="45" width="10" style="15" customWidth="1"/>
    <col min="46" max="46" width="11.77734375" style="15" customWidth="1"/>
    <col min="47" max="51" width="8.88671875" style="15" customWidth="1"/>
    <col min="52" max="16384" width="8.88671875" style="15"/>
  </cols>
  <sheetData>
    <row r="1" spans="2:28" s="1" customFormat="1" ht="17.100000000000001" customHeight="1">
      <c r="C1" s="2" t="s">
        <v>0</v>
      </c>
      <c r="D1" s="3"/>
      <c r="E1" s="3"/>
      <c r="F1" s="3"/>
      <c r="J1" s="4" t="s">
        <v>339</v>
      </c>
      <c r="U1" s="3"/>
      <c r="V1" s="3"/>
      <c r="X1" s="5"/>
      <c r="Z1" s="5" t="str">
        <f>'[2]Template Revision history'!B3</f>
        <v>REL-SEPG-PRM20190801</v>
      </c>
      <c r="AA1" s="6"/>
      <c r="AB1" s="6"/>
    </row>
    <row r="2" spans="2:28" s="7" customFormat="1" ht="17.100000000000001" customHeight="1">
      <c r="C2" s="8" t="s">
        <v>323</v>
      </c>
      <c r="D2" s="9"/>
      <c r="E2" s="9"/>
      <c r="F2" s="9"/>
      <c r="G2" s="9"/>
      <c r="H2" s="9"/>
      <c r="I2" s="9"/>
      <c r="J2" s="236" t="s">
        <v>340</v>
      </c>
      <c r="K2" s="237"/>
      <c r="L2" s="237"/>
      <c r="M2" s="237"/>
      <c r="N2" s="237"/>
      <c r="O2" s="237"/>
      <c r="P2" s="237"/>
      <c r="Q2" s="237"/>
      <c r="R2" s="237"/>
      <c r="S2" s="237"/>
      <c r="T2" s="237"/>
      <c r="U2" s="237"/>
      <c r="V2" s="237"/>
      <c r="W2" s="237"/>
      <c r="X2" s="237"/>
      <c r="Y2" s="96"/>
      <c r="Z2" s="96"/>
      <c r="AA2" s="6"/>
      <c r="AB2" s="6"/>
    </row>
    <row r="3" spans="2:28" s="7" customFormat="1" ht="17.100000000000001" customHeight="1">
      <c r="B3" s="10" t="s">
        <v>1</v>
      </c>
      <c r="C3" s="258" t="s">
        <v>341</v>
      </c>
      <c r="D3" s="258"/>
      <c r="E3" s="258"/>
      <c r="F3" s="258"/>
      <c r="G3" s="258" t="s">
        <v>342</v>
      </c>
      <c r="H3" s="258"/>
      <c r="I3" s="258"/>
      <c r="J3" s="258"/>
      <c r="K3" s="258"/>
      <c r="L3" s="258"/>
      <c r="M3" s="258"/>
      <c r="N3" s="258"/>
      <c r="O3" s="258"/>
      <c r="P3" s="258"/>
      <c r="Q3" s="258"/>
      <c r="R3" s="259" t="s">
        <v>343</v>
      </c>
      <c r="S3" s="260"/>
      <c r="T3" s="261"/>
      <c r="U3" s="265" t="s">
        <v>167</v>
      </c>
      <c r="V3" s="266"/>
      <c r="W3" s="266"/>
      <c r="X3" s="266"/>
      <c r="Y3" s="266"/>
      <c r="Z3" s="267"/>
    </row>
    <row r="4" spans="2:28" s="7" customFormat="1" ht="17.100000000000001" customHeight="1">
      <c r="B4" s="10"/>
      <c r="C4" s="271" t="s">
        <v>430</v>
      </c>
      <c r="D4" s="272"/>
      <c r="E4" s="272"/>
      <c r="F4" s="272"/>
      <c r="G4" s="273" t="s">
        <v>344</v>
      </c>
      <c r="H4" s="274"/>
      <c r="I4" s="274"/>
      <c r="J4" s="274"/>
      <c r="K4" s="274"/>
      <c r="L4" s="274"/>
      <c r="M4" s="274"/>
      <c r="N4" s="274"/>
      <c r="O4" s="274"/>
      <c r="P4" s="274"/>
      <c r="Q4" s="275"/>
      <c r="R4" s="262"/>
      <c r="S4" s="263"/>
      <c r="T4" s="264"/>
      <c r="U4" s="268"/>
      <c r="V4" s="269"/>
      <c r="W4" s="269"/>
      <c r="X4" s="269"/>
      <c r="Y4" s="269"/>
      <c r="Z4" s="270"/>
    </row>
    <row r="5" spans="2:28" s="7" customFormat="1" ht="17.100000000000001" customHeight="1">
      <c r="B5" s="10"/>
      <c r="C5" s="272"/>
      <c r="D5" s="272"/>
      <c r="E5" s="272"/>
      <c r="F5" s="272"/>
      <c r="G5" s="276"/>
      <c r="H5" s="277"/>
      <c r="I5" s="277"/>
      <c r="J5" s="277"/>
      <c r="K5" s="277"/>
      <c r="L5" s="277"/>
      <c r="M5" s="277"/>
      <c r="N5" s="277"/>
      <c r="O5" s="277"/>
      <c r="P5" s="277"/>
      <c r="Q5" s="278"/>
      <c r="R5" s="259" t="s">
        <v>345</v>
      </c>
      <c r="S5" s="260"/>
      <c r="T5" s="261"/>
      <c r="U5" s="282" t="s">
        <v>437</v>
      </c>
      <c r="V5" s="283"/>
      <c r="W5" s="283"/>
      <c r="X5" s="283"/>
      <c r="Y5" s="283"/>
      <c r="Z5" s="284"/>
    </row>
    <row r="6" spans="2:28" s="7" customFormat="1" ht="17.100000000000001" customHeight="1">
      <c r="B6" s="10"/>
      <c r="C6" s="272"/>
      <c r="D6" s="272"/>
      <c r="E6" s="272"/>
      <c r="F6" s="272"/>
      <c r="G6" s="279"/>
      <c r="H6" s="280"/>
      <c r="I6" s="280"/>
      <c r="J6" s="280"/>
      <c r="K6" s="280"/>
      <c r="L6" s="280"/>
      <c r="M6" s="280"/>
      <c r="N6" s="280"/>
      <c r="O6" s="280"/>
      <c r="P6" s="280"/>
      <c r="Q6" s="281"/>
      <c r="R6" s="262"/>
      <c r="S6" s="263"/>
      <c r="T6" s="264"/>
      <c r="U6" s="285"/>
      <c r="V6" s="286"/>
      <c r="W6" s="286"/>
      <c r="X6" s="286"/>
      <c r="Y6" s="286"/>
      <c r="Z6" s="287"/>
    </row>
    <row r="7" spans="2:28" s="7" customFormat="1" ht="17.100000000000001" customHeight="1">
      <c r="B7" s="10"/>
      <c r="C7" s="272"/>
      <c r="D7" s="272"/>
      <c r="E7" s="272"/>
      <c r="F7" s="272"/>
      <c r="G7" s="258" t="s">
        <v>346</v>
      </c>
      <c r="H7" s="258"/>
      <c r="I7" s="258"/>
      <c r="J7" s="258"/>
      <c r="K7" s="258"/>
      <c r="L7" s="258"/>
      <c r="M7" s="258"/>
      <c r="N7" s="258"/>
      <c r="O7" s="258"/>
      <c r="P7" s="258"/>
      <c r="Q7" s="258"/>
      <c r="R7" s="259" t="s">
        <v>347</v>
      </c>
      <c r="S7" s="260"/>
      <c r="T7" s="261"/>
      <c r="U7" s="265" t="s">
        <v>348</v>
      </c>
      <c r="V7" s="266"/>
      <c r="W7" s="266"/>
      <c r="X7" s="266"/>
      <c r="Y7" s="266"/>
      <c r="Z7" s="267"/>
    </row>
    <row r="8" spans="2:28" s="7" customFormat="1" ht="17.100000000000001" customHeight="1">
      <c r="B8" s="10"/>
      <c r="C8" s="272"/>
      <c r="D8" s="272"/>
      <c r="E8" s="272"/>
      <c r="F8" s="272"/>
      <c r="G8" s="295" t="s">
        <v>423</v>
      </c>
      <c r="H8" s="249"/>
      <c r="I8" s="249"/>
      <c r="J8" s="249"/>
      <c r="K8" s="249"/>
      <c r="L8" s="249"/>
      <c r="M8" s="249"/>
      <c r="N8" s="249"/>
      <c r="O8" s="249"/>
      <c r="P8" s="249"/>
      <c r="Q8" s="250"/>
      <c r="R8" s="262"/>
      <c r="S8" s="263"/>
      <c r="T8" s="264"/>
      <c r="U8" s="268"/>
      <c r="V8" s="269"/>
      <c r="W8" s="269"/>
      <c r="X8" s="269"/>
      <c r="Y8" s="269"/>
      <c r="Z8" s="270"/>
    </row>
    <row r="9" spans="2:28" s="7" customFormat="1" ht="17.100000000000001" customHeight="1">
      <c r="B9" s="10"/>
      <c r="C9" s="272"/>
      <c r="D9" s="272"/>
      <c r="E9" s="272"/>
      <c r="F9" s="272"/>
      <c r="G9" s="251"/>
      <c r="H9" s="252"/>
      <c r="I9" s="252"/>
      <c r="J9" s="252"/>
      <c r="K9" s="252"/>
      <c r="L9" s="252"/>
      <c r="M9" s="252"/>
      <c r="N9" s="252"/>
      <c r="O9" s="252"/>
      <c r="P9" s="252"/>
      <c r="Q9" s="253"/>
      <c r="R9" s="259" t="s">
        <v>349</v>
      </c>
      <c r="S9" s="260"/>
      <c r="T9" s="261"/>
      <c r="U9" s="265" t="s">
        <v>350</v>
      </c>
      <c r="V9" s="266"/>
      <c r="W9" s="266"/>
      <c r="X9" s="266"/>
      <c r="Y9" s="266"/>
      <c r="Z9" s="267"/>
    </row>
    <row r="10" spans="2:28" s="7" customFormat="1" ht="17.100000000000001" customHeight="1">
      <c r="B10" s="10"/>
      <c r="C10" s="272"/>
      <c r="D10" s="272"/>
      <c r="E10" s="272"/>
      <c r="F10" s="272"/>
      <c r="G10" s="254"/>
      <c r="H10" s="255"/>
      <c r="I10" s="255"/>
      <c r="J10" s="255"/>
      <c r="K10" s="255"/>
      <c r="L10" s="255"/>
      <c r="M10" s="255"/>
      <c r="N10" s="255"/>
      <c r="O10" s="255"/>
      <c r="P10" s="255"/>
      <c r="Q10" s="256"/>
      <c r="R10" s="262"/>
      <c r="S10" s="263"/>
      <c r="T10" s="264"/>
      <c r="U10" s="268"/>
      <c r="V10" s="269"/>
      <c r="W10" s="269"/>
      <c r="X10" s="269"/>
      <c r="Y10" s="269"/>
      <c r="Z10" s="270"/>
    </row>
    <row r="11" spans="2:28" s="7" customFormat="1" ht="33" customHeight="1">
      <c r="B11" s="10"/>
      <c r="C11" s="272"/>
      <c r="D11" s="272"/>
      <c r="E11" s="272"/>
      <c r="F11" s="272"/>
      <c r="G11" s="258" t="s">
        <v>351</v>
      </c>
      <c r="H11" s="258"/>
      <c r="I11" s="258"/>
      <c r="J11" s="258"/>
      <c r="K11" s="258"/>
      <c r="L11" s="258"/>
      <c r="M11" s="258"/>
      <c r="N11" s="258"/>
      <c r="O11" s="258"/>
      <c r="P11" s="258"/>
      <c r="Q11" s="258"/>
      <c r="R11" s="258"/>
      <c r="S11" s="258"/>
      <c r="T11" s="258"/>
      <c r="U11" s="296" t="s">
        <v>352</v>
      </c>
      <c r="V11" s="296"/>
      <c r="W11" s="296"/>
      <c r="X11" s="296" t="s">
        <v>353</v>
      </c>
      <c r="Y11" s="296"/>
      <c r="Z11" s="296"/>
    </row>
    <row r="12" spans="2:28" s="7" customFormat="1" ht="17.100000000000001" customHeight="1">
      <c r="B12" s="10"/>
      <c r="C12" s="272"/>
      <c r="D12" s="272"/>
      <c r="E12" s="272"/>
      <c r="F12" s="272"/>
      <c r="G12" s="248" t="s">
        <v>431</v>
      </c>
      <c r="H12" s="249"/>
      <c r="I12" s="249"/>
      <c r="J12" s="249"/>
      <c r="K12" s="249"/>
      <c r="L12" s="249"/>
      <c r="M12" s="249"/>
      <c r="N12" s="249"/>
      <c r="O12" s="249"/>
      <c r="P12" s="249"/>
      <c r="Q12" s="249"/>
      <c r="R12" s="249"/>
      <c r="S12" s="249"/>
      <c r="T12" s="250"/>
      <c r="U12" s="288" t="s">
        <v>439</v>
      </c>
      <c r="V12" s="288"/>
      <c r="W12" s="288"/>
      <c r="X12" s="288" t="s">
        <v>436</v>
      </c>
      <c r="Y12" s="288"/>
      <c r="Z12" s="288"/>
    </row>
    <row r="13" spans="2:28" s="7" customFormat="1" ht="17.100000000000001" customHeight="1">
      <c r="B13" s="10"/>
      <c r="C13" s="272"/>
      <c r="D13" s="272"/>
      <c r="E13" s="272"/>
      <c r="F13" s="272"/>
      <c r="G13" s="251"/>
      <c r="H13" s="252"/>
      <c r="I13" s="252"/>
      <c r="J13" s="252"/>
      <c r="K13" s="252"/>
      <c r="L13" s="252"/>
      <c r="M13" s="252"/>
      <c r="N13" s="252"/>
      <c r="O13" s="252"/>
      <c r="P13" s="252"/>
      <c r="Q13" s="252"/>
      <c r="R13" s="252"/>
      <c r="S13" s="252"/>
      <c r="T13" s="253"/>
      <c r="U13" s="288"/>
      <c r="V13" s="288"/>
      <c r="W13" s="288"/>
      <c r="X13" s="288"/>
      <c r="Y13" s="288"/>
      <c r="Z13" s="288"/>
    </row>
    <row r="14" spans="2:28" s="7" customFormat="1" ht="17.100000000000001" customHeight="1">
      <c r="B14" s="10"/>
      <c r="C14" s="272"/>
      <c r="D14" s="272"/>
      <c r="E14" s="272"/>
      <c r="F14" s="272"/>
      <c r="G14" s="251"/>
      <c r="H14" s="252"/>
      <c r="I14" s="252"/>
      <c r="J14" s="252"/>
      <c r="K14" s="252"/>
      <c r="L14" s="252"/>
      <c r="M14" s="252"/>
      <c r="N14" s="252"/>
      <c r="O14" s="252"/>
      <c r="P14" s="252"/>
      <c r="Q14" s="252"/>
      <c r="R14" s="252"/>
      <c r="S14" s="252"/>
      <c r="T14" s="253"/>
      <c r="U14" s="288"/>
      <c r="V14" s="288"/>
      <c r="W14" s="288"/>
      <c r="X14" s="288"/>
      <c r="Y14" s="288"/>
      <c r="Z14" s="288"/>
    </row>
    <row r="15" spans="2:28" s="7" customFormat="1" ht="17.100000000000001" customHeight="1">
      <c r="B15" s="10"/>
      <c r="C15" s="272"/>
      <c r="D15" s="272"/>
      <c r="E15" s="272"/>
      <c r="F15" s="272"/>
      <c r="G15" s="254"/>
      <c r="H15" s="255"/>
      <c r="I15" s="255"/>
      <c r="J15" s="255"/>
      <c r="K15" s="255"/>
      <c r="L15" s="255"/>
      <c r="M15" s="255"/>
      <c r="N15" s="255"/>
      <c r="O15" s="255"/>
      <c r="P15" s="255"/>
      <c r="Q15" s="255"/>
      <c r="R15" s="255"/>
      <c r="S15" s="255"/>
      <c r="T15" s="256"/>
      <c r="U15" s="288"/>
      <c r="V15" s="288"/>
      <c r="W15" s="288"/>
      <c r="X15" s="288"/>
      <c r="Y15" s="288"/>
      <c r="Z15" s="288"/>
    </row>
    <row r="16" spans="2:28" s="7" customFormat="1" ht="17.100000000000001" customHeight="1">
      <c r="B16" s="11"/>
      <c r="C16" s="272"/>
      <c r="D16" s="272"/>
      <c r="E16" s="272"/>
      <c r="F16" s="272"/>
      <c r="G16" s="289" t="s">
        <v>354</v>
      </c>
      <c r="H16" s="290"/>
      <c r="I16" s="290"/>
      <c r="J16" s="290"/>
      <c r="K16" s="291"/>
      <c r="L16" s="292">
        <v>21038</v>
      </c>
      <c r="M16" s="293"/>
      <c r="N16" s="293"/>
      <c r="O16" s="293"/>
      <c r="P16" s="293"/>
      <c r="Q16" s="293"/>
      <c r="R16" s="293"/>
      <c r="S16" s="293"/>
      <c r="T16" s="294"/>
      <c r="U16" s="288"/>
      <c r="V16" s="288"/>
      <c r="W16" s="288"/>
      <c r="X16" s="288"/>
      <c r="Y16" s="288"/>
      <c r="Z16" s="288"/>
    </row>
    <row r="17" spans="2:26" s="7" customFormat="1" ht="15.75" customHeight="1">
      <c r="B17" s="11"/>
      <c r="E17" s="12"/>
      <c r="L17" s="11"/>
    </row>
    <row r="18" spans="2:26" s="13" customFormat="1" ht="16.5">
      <c r="C18" s="14" t="s">
        <v>355</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4.75" customHeight="1">
      <c r="C19" s="143" t="s">
        <v>356</v>
      </c>
      <c r="D19" s="143"/>
      <c r="E19" s="143"/>
      <c r="F19" s="143"/>
      <c r="G19" s="257" t="s">
        <v>425</v>
      </c>
      <c r="H19" s="257"/>
      <c r="I19" s="257"/>
      <c r="J19" s="257"/>
      <c r="K19" s="257"/>
      <c r="L19" s="257"/>
      <c r="M19" s="257"/>
      <c r="N19" s="257"/>
      <c r="O19" s="257"/>
      <c r="P19" s="257"/>
      <c r="Q19" s="257"/>
      <c r="R19" s="257"/>
      <c r="S19" s="257"/>
      <c r="T19" s="257"/>
      <c r="U19" s="257"/>
      <c r="V19" s="257"/>
      <c r="W19" s="257"/>
      <c r="X19" s="257"/>
      <c r="Y19" s="257"/>
      <c r="Z19" s="257"/>
    </row>
    <row r="20" spans="2:26" ht="16.5">
      <c r="C20" s="238" t="s">
        <v>357</v>
      </c>
      <c r="D20" s="238"/>
      <c r="E20" s="238"/>
      <c r="F20" s="238"/>
      <c r="G20" s="239" t="s">
        <v>296</v>
      </c>
      <c r="H20" s="239"/>
      <c r="I20" s="239"/>
      <c r="J20" s="239"/>
      <c r="K20" s="205" t="s">
        <v>109</v>
      </c>
      <c r="L20" s="240"/>
      <c r="M20" s="210"/>
      <c r="N20" s="212" t="s">
        <v>335</v>
      </c>
      <c r="O20" s="212"/>
      <c r="P20" s="212"/>
      <c r="Q20" s="212"/>
      <c r="R20" s="212"/>
      <c r="S20" s="212"/>
      <c r="T20" s="212"/>
    </row>
    <row r="21" spans="2:26" ht="27.75" customHeight="1">
      <c r="C21" s="241" t="s">
        <v>358</v>
      </c>
      <c r="D21" s="242"/>
      <c r="E21" s="242"/>
      <c r="F21" s="243"/>
      <c r="G21" s="244" t="s">
        <v>297</v>
      </c>
      <c r="H21" s="239"/>
      <c r="I21" s="239"/>
      <c r="J21" s="239"/>
      <c r="K21" s="205" t="s">
        <v>359</v>
      </c>
      <c r="L21" s="240"/>
      <c r="M21" s="210"/>
      <c r="N21" s="245" t="s">
        <v>298</v>
      </c>
      <c r="O21" s="246"/>
      <c r="P21" s="246"/>
      <c r="Q21" s="246"/>
      <c r="R21" s="246"/>
      <c r="S21" s="246"/>
      <c r="T21" s="247"/>
    </row>
    <row r="22" spans="2:26" s="13" customFormat="1" ht="16.5">
      <c r="C22" s="16" t="s">
        <v>360</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167" t="s">
        <v>361</v>
      </c>
      <c r="D23" s="223"/>
      <c r="E23" s="223"/>
      <c r="F23" s="224"/>
      <c r="G23" s="218" t="s">
        <v>362</v>
      </c>
      <c r="H23" s="219"/>
      <c r="I23" s="228"/>
      <c r="J23" s="228"/>
      <c r="K23" s="229" t="s">
        <v>363</v>
      </c>
      <c r="L23" s="230"/>
      <c r="M23" s="228"/>
      <c r="N23" s="228"/>
      <c r="O23" s="229" t="s">
        <v>364</v>
      </c>
      <c r="P23" s="230"/>
      <c r="Q23" s="213"/>
      <c r="R23" s="214"/>
      <c r="S23" s="215" t="s">
        <v>365</v>
      </c>
      <c r="T23" s="216"/>
      <c r="U23" s="213" t="s">
        <v>429</v>
      </c>
      <c r="V23" s="217"/>
      <c r="W23" s="217"/>
      <c r="X23" s="217"/>
      <c r="Y23" s="217"/>
      <c r="Z23" s="214"/>
    </row>
    <row r="24" spans="2:26" ht="36" customHeight="1">
      <c r="C24" s="225"/>
      <c r="D24" s="226"/>
      <c r="E24" s="226"/>
      <c r="F24" s="227"/>
      <c r="G24" s="218" t="s">
        <v>366</v>
      </c>
      <c r="H24" s="219"/>
      <c r="I24" s="220" t="s">
        <v>435</v>
      </c>
      <c r="J24" s="220"/>
      <c r="K24" s="220"/>
      <c r="L24" s="220"/>
      <c r="M24" s="220"/>
      <c r="N24" s="220"/>
      <c r="O24" s="220"/>
      <c r="P24" s="220"/>
      <c r="Q24" s="220"/>
      <c r="R24" s="220"/>
      <c r="S24" s="220"/>
      <c r="T24" s="220"/>
      <c r="U24" s="220"/>
      <c r="V24" s="220"/>
      <c r="W24" s="220"/>
      <c r="X24" s="220"/>
      <c r="Y24" s="220"/>
      <c r="Z24" s="220"/>
    </row>
    <row r="25" spans="2:26" ht="61.5" customHeight="1">
      <c r="C25" s="143" t="s">
        <v>367</v>
      </c>
      <c r="D25" s="143"/>
      <c r="E25" s="143"/>
      <c r="F25" s="143"/>
      <c r="G25" s="124" t="s">
        <v>368</v>
      </c>
      <c r="H25" s="125"/>
      <c r="I25" s="221"/>
      <c r="J25" s="221"/>
      <c r="K25" s="218" t="s">
        <v>369</v>
      </c>
      <c r="L25" s="219"/>
      <c r="M25" s="222"/>
      <c r="N25" s="222"/>
      <c r="O25" s="124" t="s">
        <v>370</v>
      </c>
      <c r="P25" s="125"/>
      <c r="Q25" s="231"/>
      <c r="R25" s="232"/>
      <c r="S25" s="124" t="s">
        <v>371</v>
      </c>
      <c r="T25" s="124"/>
      <c r="U25" s="212"/>
      <c r="V25" s="212"/>
      <c r="W25" s="97" t="s">
        <v>372</v>
      </c>
      <c r="X25" s="233" t="s">
        <v>373</v>
      </c>
      <c r="Y25" s="234"/>
      <c r="Z25" s="235"/>
    </row>
    <row r="26" spans="2:26" ht="61.5" customHeight="1">
      <c r="C26" s="185" t="s">
        <v>374</v>
      </c>
      <c r="D26" s="186"/>
      <c r="E26" s="186"/>
      <c r="F26" s="149"/>
      <c r="G26" s="187" t="s">
        <v>375</v>
      </c>
      <c r="H26" s="188"/>
      <c r="I26" s="189" t="s">
        <v>437</v>
      </c>
      <c r="J26" s="189"/>
      <c r="K26" s="124" t="s">
        <v>376</v>
      </c>
      <c r="L26" s="125"/>
      <c r="M26" s="189" t="s">
        <v>437</v>
      </c>
      <c r="N26" s="189"/>
      <c r="O26" s="124" t="s">
        <v>377</v>
      </c>
      <c r="P26" s="124"/>
      <c r="Q26" s="212">
        <v>2</v>
      </c>
      <c r="R26" s="212"/>
      <c r="S26" s="124" t="s">
        <v>378</v>
      </c>
      <c r="T26" s="125"/>
      <c r="U26" s="190">
        <f>SUM(Z35:Z39)</f>
        <v>0.15</v>
      </c>
      <c r="V26" s="190"/>
      <c r="W26" s="20"/>
      <c r="X26" s="21"/>
      <c r="Y26" s="21"/>
      <c r="Z26" s="21"/>
    </row>
    <row r="27" spans="2:26" ht="16.5">
      <c r="C27" s="15" t="s">
        <v>379</v>
      </c>
    </row>
    <row r="28" spans="2:26" ht="69.75" customHeight="1">
      <c r="C28" s="197" t="s">
        <v>380</v>
      </c>
      <c r="D28" s="198"/>
      <c r="E28" s="198"/>
      <c r="F28" s="198"/>
      <c r="G28" s="199"/>
      <c r="H28" s="185" t="s">
        <v>381</v>
      </c>
      <c r="I28" s="203"/>
      <c r="J28" s="203"/>
      <c r="K28" s="203"/>
      <c r="L28" s="203"/>
      <c r="M28" s="204"/>
      <c r="N28" s="205" t="s">
        <v>382</v>
      </c>
      <c r="O28" s="206"/>
      <c r="P28" s="206"/>
      <c r="Q28" s="206"/>
      <c r="R28" s="206"/>
      <c r="S28" s="207"/>
      <c r="U28" s="118" t="s">
        <v>383</v>
      </c>
      <c r="V28" s="118" t="s">
        <v>384</v>
      </c>
      <c r="W28" s="208" t="s">
        <v>385</v>
      </c>
      <c r="X28" s="209"/>
      <c r="Y28" s="208" t="s">
        <v>386</v>
      </c>
      <c r="Z28" s="209"/>
    </row>
    <row r="29" spans="2:26" ht="39" customHeight="1">
      <c r="C29" s="200"/>
      <c r="D29" s="201"/>
      <c r="E29" s="201"/>
      <c r="F29" s="201"/>
      <c r="G29" s="202"/>
      <c r="H29" s="185" t="s">
        <v>387</v>
      </c>
      <c r="I29" s="149"/>
      <c r="J29" s="124" t="s">
        <v>388</v>
      </c>
      <c r="K29" s="125"/>
      <c r="L29" s="124" t="s">
        <v>389</v>
      </c>
      <c r="M29" s="125"/>
      <c r="N29" s="205" t="s">
        <v>387</v>
      </c>
      <c r="O29" s="210"/>
      <c r="P29" s="142" t="s">
        <v>388</v>
      </c>
      <c r="Q29" s="211"/>
      <c r="R29" s="142" t="s">
        <v>389</v>
      </c>
      <c r="S29" s="211"/>
      <c r="U29" s="119">
        <f>SUMIF($V$34:$V$40,$V29,T$34:T$40)</f>
        <v>0.8</v>
      </c>
      <c r="V29" s="118" t="s">
        <v>390</v>
      </c>
      <c r="W29" s="119">
        <f t="shared" ref="W29:Z31" si="0">SUMIF($V$34:$V$40,$V29,W$34:W$40)</f>
        <v>0.31360000000000005</v>
      </c>
      <c r="X29" s="119">
        <f t="shared" si="0"/>
        <v>0</v>
      </c>
      <c r="Y29" s="120">
        <f t="shared" si="0"/>
        <v>0.17061207080400939</v>
      </c>
      <c r="Z29" s="120">
        <f t="shared" si="0"/>
        <v>0.15</v>
      </c>
    </row>
    <row r="30" spans="2:26" ht="31.5" customHeight="1">
      <c r="C30" s="185" t="s">
        <v>391</v>
      </c>
      <c r="D30" s="186"/>
      <c r="E30" s="186"/>
      <c r="F30" s="186"/>
      <c r="G30" s="149"/>
      <c r="H30" s="195">
        <v>0.39200000000000002</v>
      </c>
      <c r="I30" s="195"/>
      <c r="J30" s="196" t="s">
        <v>299</v>
      </c>
      <c r="K30" s="196"/>
      <c r="L30" s="196" t="s">
        <v>299</v>
      </c>
      <c r="M30" s="196"/>
      <c r="N30" s="191">
        <f>IFERROR(SUMIF(V34:V40,"Page",X34:X40)/SUMIF(V34:V40,"Page",T34:U40),0)</f>
        <v>0</v>
      </c>
      <c r="O30" s="191"/>
      <c r="P30" s="191">
        <f>IFERROR(SUMIF(V34:V40,"Line",X34:X40)/SUMIF(V34:V40,"Line",T34:U40),0)</f>
        <v>0</v>
      </c>
      <c r="Q30" s="191"/>
      <c r="R30" s="191">
        <f>IFERROR(SUMIF(V34:V40,"Number",X34:X40)/SUMIF(V34:V40,"Number",T34:U40),0)</f>
        <v>0</v>
      </c>
      <c r="S30" s="191"/>
      <c r="U30" s="119">
        <f>SUMIF($V$34:$V$40,$V30,T$34:T$40)</f>
        <v>0</v>
      </c>
      <c r="V30" s="118" t="s">
        <v>392</v>
      </c>
      <c r="W30" s="119">
        <f t="shared" si="0"/>
        <v>0</v>
      </c>
      <c r="X30" s="119">
        <f t="shared" si="0"/>
        <v>0</v>
      </c>
      <c r="Y30" s="120">
        <f t="shared" si="0"/>
        <v>0</v>
      </c>
      <c r="Z30" s="120">
        <f t="shared" si="0"/>
        <v>0</v>
      </c>
    </row>
    <row r="31" spans="2:26" ht="35.25" customHeight="1">
      <c r="C31" s="185" t="s">
        <v>393</v>
      </c>
      <c r="D31" s="186"/>
      <c r="E31" s="186"/>
      <c r="F31" s="186"/>
      <c r="G31" s="149"/>
      <c r="H31" s="192">
        <v>4.6890000000000001</v>
      </c>
      <c r="I31" s="192"/>
      <c r="J31" s="193" t="s">
        <v>299</v>
      </c>
      <c r="K31" s="193"/>
      <c r="L31" s="193" t="s">
        <v>299</v>
      </c>
      <c r="M31" s="193"/>
      <c r="N31" s="194">
        <f>IFERROR(SUMIF(V34:V40,"Page",T34:U40)/SUMIF(V34:V40,"Page",Z34:Z40),0)</f>
        <v>5.3333333333333339</v>
      </c>
      <c r="O31" s="194"/>
      <c r="P31" s="194">
        <f>IFERROR(SUMIF(V34:V40,"Line",T34:U40)/SUMIF(V34:V40,"Line",Z34:Z40),0)</f>
        <v>0</v>
      </c>
      <c r="Q31" s="194"/>
      <c r="R31" s="194">
        <f>IFERROR(SUMIF(V34:V40,"Number",T34:U40)/SUMIF(V34:V40,"Number",Z34:Z40),0)</f>
        <v>0</v>
      </c>
      <c r="S31" s="194"/>
      <c r="U31" s="119">
        <f>SUMIF($V$34:$V$40,$V31,T$34:T$40)</f>
        <v>0</v>
      </c>
      <c r="V31" s="118" t="s">
        <v>394</v>
      </c>
      <c r="W31" s="119">
        <f t="shared" si="0"/>
        <v>0</v>
      </c>
      <c r="X31" s="119">
        <f t="shared" si="0"/>
        <v>0</v>
      </c>
      <c r="Y31" s="120">
        <f t="shared" si="0"/>
        <v>0</v>
      </c>
      <c r="Z31" s="120">
        <f t="shared" si="0"/>
        <v>0</v>
      </c>
    </row>
    <row r="32" spans="2:26" ht="16.5">
      <c r="C32" s="14" t="s">
        <v>395</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167" t="s">
        <v>396</v>
      </c>
      <c r="D33" s="168"/>
      <c r="E33" s="167" t="s">
        <v>397</v>
      </c>
      <c r="F33" s="171"/>
      <c r="G33" s="171"/>
      <c r="H33" s="171"/>
      <c r="I33" s="171"/>
      <c r="J33" s="171"/>
      <c r="K33" s="168"/>
      <c r="L33" s="173" t="s">
        <v>398</v>
      </c>
      <c r="M33" s="174"/>
      <c r="N33" s="174"/>
      <c r="O33" s="174"/>
      <c r="P33" s="175"/>
      <c r="Q33" s="173" t="s">
        <v>399</v>
      </c>
      <c r="R33" s="174"/>
      <c r="S33" s="175"/>
      <c r="T33" s="179" t="s">
        <v>400</v>
      </c>
      <c r="U33" s="180"/>
      <c r="V33" s="183" t="s">
        <v>401</v>
      </c>
      <c r="W33" s="160" t="s">
        <v>402</v>
      </c>
      <c r="X33" s="161"/>
      <c r="Y33" s="160" t="s">
        <v>403</v>
      </c>
      <c r="Z33" s="161"/>
      <c r="BL33" s="15" t="s">
        <v>404</v>
      </c>
    </row>
    <row r="34" spans="3:64" ht="31.5" customHeight="1">
      <c r="C34" s="169"/>
      <c r="D34" s="170"/>
      <c r="E34" s="169"/>
      <c r="F34" s="172"/>
      <c r="G34" s="172"/>
      <c r="H34" s="172"/>
      <c r="I34" s="172"/>
      <c r="J34" s="172"/>
      <c r="K34" s="170"/>
      <c r="L34" s="176"/>
      <c r="M34" s="177"/>
      <c r="N34" s="177"/>
      <c r="O34" s="177"/>
      <c r="P34" s="178"/>
      <c r="Q34" s="176"/>
      <c r="R34" s="177"/>
      <c r="S34" s="178"/>
      <c r="T34" s="181"/>
      <c r="U34" s="182"/>
      <c r="V34" s="184"/>
      <c r="W34" s="99" t="s">
        <v>405</v>
      </c>
      <c r="X34" s="98" t="s">
        <v>406</v>
      </c>
      <c r="Y34" s="99" t="s">
        <v>405</v>
      </c>
      <c r="Z34" s="99" t="s">
        <v>406</v>
      </c>
    </row>
    <row r="35" spans="3:64" ht="26.45" customHeight="1">
      <c r="C35" s="148">
        <v>1</v>
      </c>
      <c r="D35" s="149"/>
      <c r="E35" s="162" t="s">
        <v>300</v>
      </c>
      <c r="F35" s="163"/>
      <c r="G35" s="163"/>
      <c r="H35" s="163"/>
      <c r="I35" s="163"/>
      <c r="J35" s="163"/>
      <c r="K35" s="164"/>
      <c r="L35" s="150" t="s">
        <v>433</v>
      </c>
      <c r="M35" s="151"/>
      <c r="N35" s="151"/>
      <c r="O35" s="151"/>
      <c r="P35" s="152"/>
      <c r="Q35" s="153" t="s">
        <v>434</v>
      </c>
      <c r="R35" s="165"/>
      <c r="S35" s="166"/>
      <c r="T35" s="158">
        <v>0.8</v>
      </c>
      <c r="U35" s="159"/>
      <c r="V35" s="55" t="s">
        <v>301</v>
      </c>
      <c r="W35" s="23">
        <f t="shared" ref="W35" si="1">IF(V35="Page",$H$30*T35,IF(V35="Line",$J$30*T35,IF(V35="Number",$L$30*T35,"")))</f>
        <v>0.31360000000000005</v>
      </c>
      <c r="X35" s="24">
        <f t="shared" ref="X35:X40" si="2">COUNTIF(AA$44:AA$54,C35)</f>
        <v>0</v>
      </c>
      <c r="Y35" s="23">
        <f>IFERROR(IF(V35="Page",T35/H31,IF(V35="Line",T35/H31,IF(V35="Number",T35/H31,""))),"")</f>
        <v>0.17061207080400939</v>
      </c>
      <c r="Z35" s="56">
        <f>(0.15+0.15)/2</f>
        <v>0.15</v>
      </c>
    </row>
    <row r="36" spans="3:64">
      <c r="C36" s="148">
        <v>2</v>
      </c>
      <c r="D36" s="149"/>
      <c r="E36" s="150"/>
      <c r="F36" s="151"/>
      <c r="G36" s="151"/>
      <c r="H36" s="151"/>
      <c r="I36" s="151"/>
      <c r="J36" s="151"/>
      <c r="K36" s="152"/>
      <c r="L36" s="150"/>
      <c r="M36" s="151"/>
      <c r="N36" s="151"/>
      <c r="O36" s="151"/>
      <c r="P36" s="152"/>
      <c r="Q36" s="153"/>
      <c r="R36" s="154"/>
      <c r="S36" s="155"/>
      <c r="T36" s="158"/>
      <c r="U36" s="159"/>
      <c r="V36" s="55" t="s">
        <v>2</v>
      </c>
      <c r="W36" s="23" t="str">
        <f>IF(V36="Page",#REF!*T36,IF(V36="Line",#REF!*T36,IF(V36="Number",#REF!*T36,"")))</f>
        <v/>
      </c>
      <c r="X36" s="24">
        <f t="shared" si="2"/>
        <v>0</v>
      </c>
      <c r="Y36" s="23" t="str">
        <f>IFERROR(IF(V36="Page",T36/#REF!,IF(V36="Line",T36/#REF!,IF(V36="Number",T36/#REF!,""))),"")</f>
        <v/>
      </c>
      <c r="Z36" s="56"/>
    </row>
    <row r="37" spans="3:64">
      <c r="C37" s="148">
        <v>3</v>
      </c>
      <c r="D37" s="149"/>
      <c r="E37" s="150"/>
      <c r="F37" s="151"/>
      <c r="G37" s="151"/>
      <c r="H37" s="151"/>
      <c r="I37" s="151"/>
      <c r="J37" s="151"/>
      <c r="K37" s="152"/>
      <c r="L37" s="150"/>
      <c r="M37" s="151"/>
      <c r="N37" s="151"/>
      <c r="O37" s="151"/>
      <c r="P37" s="152"/>
      <c r="Q37" s="153"/>
      <c r="R37" s="154"/>
      <c r="S37" s="155"/>
      <c r="T37" s="158"/>
      <c r="U37" s="159"/>
      <c r="V37" s="55" t="s">
        <v>2</v>
      </c>
      <c r="W37" s="23" t="str">
        <f>IF(V37="Page",#REF!*T37,IF(V37="Line",#REF!*T37,IF(V37="Number",#REF!*T37,"")))</f>
        <v/>
      </c>
      <c r="X37" s="24">
        <f t="shared" si="2"/>
        <v>0</v>
      </c>
      <c r="Y37" s="23" t="str">
        <f>IFERROR(IF(V37="Page",T37/#REF!,IF(V37="Line",T37/#REF!,IF(V37="Number",T37/#REF!,""))),"")</f>
        <v/>
      </c>
      <c r="Z37" s="56"/>
    </row>
    <row r="38" spans="3:64">
      <c r="C38" s="148">
        <v>4</v>
      </c>
      <c r="D38" s="149"/>
      <c r="E38" s="150"/>
      <c r="F38" s="151"/>
      <c r="G38" s="151"/>
      <c r="H38" s="151"/>
      <c r="I38" s="151"/>
      <c r="J38" s="151"/>
      <c r="K38" s="152"/>
      <c r="L38" s="150"/>
      <c r="M38" s="151"/>
      <c r="N38" s="151"/>
      <c r="O38" s="151"/>
      <c r="P38" s="152"/>
      <c r="Q38" s="153"/>
      <c r="R38" s="154"/>
      <c r="S38" s="155"/>
      <c r="T38" s="156"/>
      <c r="U38" s="157"/>
      <c r="V38" s="55" t="s">
        <v>2</v>
      </c>
      <c r="W38" s="23" t="str">
        <f>IF(V38="Page",#REF!*T38,IF(V38="Line",#REF!*T38,IF(V38="Number",#REF!*T38,"")))</f>
        <v/>
      </c>
      <c r="X38" s="24">
        <f t="shared" si="2"/>
        <v>0</v>
      </c>
      <c r="Y38" s="23" t="str">
        <f>IFERROR(IF(V38="Page",T38/#REF!,IF(V38="Line",T38/#REF!,IF(V38="Number",T38/#REF!,""))),"")</f>
        <v/>
      </c>
      <c r="Z38" s="56"/>
    </row>
    <row r="39" spans="3:64">
      <c r="C39" s="148">
        <v>5</v>
      </c>
      <c r="D39" s="149"/>
      <c r="E39" s="150"/>
      <c r="F39" s="151"/>
      <c r="G39" s="151"/>
      <c r="H39" s="151"/>
      <c r="I39" s="151"/>
      <c r="J39" s="151"/>
      <c r="K39" s="152"/>
      <c r="L39" s="150"/>
      <c r="M39" s="151"/>
      <c r="N39" s="151"/>
      <c r="O39" s="151"/>
      <c r="P39" s="152"/>
      <c r="Q39" s="153"/>
      <c r="R39" s="154"/>
      <c r="S39" s="155"/>
      <c r="T39" s="156"/>
      <c r="U39" s="157"/>
      <c r="V39" s="55" t="s">
        <v>2</v>
      </c>
      <c r="W39" s="23" t="str">
        <f>IF(V39="Page",#REF!*T39,IF(V39="Line",#REF!*T39,IF(V39="Number",#REF!*T39,"")))</f>
        <v/>
      </c>
      <c r="X39" s="24">
        <f t="shared" si="2"/>
        <v>0</v>
      </c>
      <c r="Y39" s="23" t="str">
        <f>IFERROR(IF(V39="Page",T39/#REF!,IF(V39="Line",T39/#REF!,IF(V39="Number",T39/#REF!,""))),"")</f>
        <v/>
      </c>
      <c r="Z39" s="56"/>
    </row>
    <row r="40" spans="3:64" ht="9.9499999999999993" customHeight="1">
      <c r="C40" s="144"/>
      <c r="D40" s="144"/>
      <c r="E40" s="145"/>
      <c r="F40" s="145"/>
      <c r="G40" s="145"/>
      <c r="H40" s="145"/>
      <c r="I40" s="145"/>
      <c r="J40" s="145"/>
      <c r="K40" s="145"/>
      <c r="L40" s="145"/>
      <c r="M40" s="145"/>
      <c r="N40" s="145"/>
      <c r="O40" s="145"/>
      <c r="P40" s="145"/>
      <c r="Q40" s="146"/>
      <c r="R40" s="146"/>
      <c r="S40" s="146"/>
      <c r="T40" s="147"/>
      <c r="U40" s="147"/>
      <c r="V40" s="25"/>
      <c r="W40" s="26" t="str">
        <f>IF(V40="Page",#REF!*T40,IF(V40="Line",#REF!*T40,IF(V40="Number",#REF!*T40,"")))</f>
        <v/>
      </c>
      <c r="X40" s="27">
        <f t="shared" si="2"/>
        <v>0</v>
      </c>
      <c r="Y40" s="26" t="str">
        <f>IFERROR(IF(V40="Page",T40/#REF!,IF(V40="Line",T40/#REF!,IF(V40="Number",T40/#REF!,""))),"")</f>
        <v/>
      </c>
      <c r="Z40" s="26"/>
    </row>
    <row r="41" spans="3:64" s="13" customFormat="1" ht="18" customHeight="1">
      <c r="C41" s="13" t="s">
        <v>407</v>
      </c>
    </row>
    <row r="42" spans="3:64" ht="28.5" customHeight="1">
      <c r="C42" s="143" t="s">
        <v>3</v>
      </c>
      <c r="D42" s="143" t="s">
        <v>408</v>
      </c>
      <c r="E42" s="143"/>
      <c r="F42" s="143" t="s">
        <v>409</v>
      </c>
      <c r="G42" s="124" t="s">
        <v>410</v>
      </c>
      <c r="H42" s="142" t="s">
        <v>411</v>
      </c>
      <c r="I42" s="142"/>
      <c r="J42" s="142"/>
      <c r="K42" s="142"/>
      <c r="L42" s="142"/>
      <c r="M42" s="142"/>
      <c r="N42" s="142"/>
      <c r="O42" s="124" t="s">
        <v>412</v>
      </c>
      <c r="P42" s="124" t="s">
        <v>413</v>
      </c>
      <c r="Q42" s="124" t="s">
        <v>414</v>
      </c>
      <c r="R42" s="124"/>
      <c r="S42" s="142" t="s">
        <v>415</v>
      </c>
      <c r="T42" s="142"/>
      <c r="U42" s="142"/>
      <c r="V42" s="142"/>
      <c r="W42" s="142"/>
      <c r="X42" s="124" t="s">
        <v>416</v>
      </c>
      <c r="Y42" s="124" t="s">
        <v>417</v>
      </c>
      <c r="Z42" s="124"/>
    </row>
    <row r="43" spans="3:64" s="28" customFormat="1" ht="102.75" customHeight="1">
      <c r="C43" s="143"/>
      <c r="D43" s="98" t="s">
        <v>418</v>
      </c>
      <c r="E43" s="98" t="s">
        <v>419</v>
      </c>
      <c r="F43" s="143"/>
      <c r="G43" s="124"/>
      <c r="H43" s="142"/>
      <c r="I43" s="142"/>
      <c r="J43" s="142"/>
      <c r="K43" s="142"/>
      <c r="L43" s="142"/>
      <c r="M43" s="142"/>
      <c r="N43" s="142"/>
      <c r="O43" s="124"/>
      <c r="P43" s="124"/>
      <c r="Q43" s="124"/>
      <c r="R43" s="124"/>
      <c r="S43" s="142"/>
      <c r="T43" s="142"/>
      <c r="U43" s="142"/>
      <c r="V43" s="142"/>
      <c r="W43" s="142"/>
      <c r="X43" s="124"/>
      <c r="Y43" s="124"/>
      <c r="Z43" s="124"/>
    </row>
    <row r="44" spans="3:64" ht="39.75" customHeight="1">
      <c r="C44" s="29">
        <v>1</v>
      </c>
      <c r="D44" s="30">
        <v>1</v>
      </c>
      <c r="E44" s="121" t="s">
        <v>167</v>
      </c>
      <c r="F44" s="30" t="s">
        <v>435</v>
      </c>
      <c r="G44" s="30" t="s">
        <v>427</v>
      </c>
      <c r="H44" s="135" t="s">
        <v>428</v>
      </c>
      <c r="I44" s="135"/>
      <c r="J44" s="135"/>
      <c r="K44" s="135"/>
      <c r="L44" s="135"/>
      <c r="M44" s="135"/>
      <c r="N44" s="135"/>
      <c r="O44" s="30" t="s">
        <v>2</v>
      </c>
      <c r="P44" s="32"/>
      <c r="Q44" s="136"/>
      <c r="R44" s="136"/>
      <c r="S44" s="137"/>
      <c r="T44" s="137"/>
      <c r="U44" s="137"/>
      <c r="V44" s="137"/>
      <c r="W44" s="137"/>
      <c r="X44" s="33"/>
      <c r="Y44" s="138"/>
      <c r="Z44" s="138"/>
      <c r="AA44" s="15" t="str">
        <f>IF(G44="Issue",D44,"")</f>
        <v/>
      </c>
    </row>
    <row r="45" spans="3:64" ht="33" customHeight="1">
      <c r="C45" s="29">
        <v>2</v>
      </c>
      <c r="D45" s="30"/>
      <c r="E45" s="31"/>
      <c r="F45" s="30"/>
      <c r="G45" s="30" t="s">
        <v>2</v>
      </c>
      <c r="H45" s="135"/>
      <c r="I45" s="135"/>
      <c r="J45" s="135"/>
      <c r="K45" s="135"/>
      <c r="L45" s="135"/>
      <c r="M45" s="135"/>
      <c r="N45" s="135"/>
      <c r="O45" s="30" t="s">
        <v>2</v>
      </c>
      <c r="P45" s="32"/>
      <c r="Q45" s="136"/>
      <c r="R45" s="136"/>
      <c r="S45" s="137"/>
      <c r="T45" s="137"/>
      <c r="U45" s="137"/>
      <c r="V45" s="137"/>
      <c r="W45" s="137"/>
      <c r="X45" s="33"/>
      <c r="Y45" s="138"/>
      <c r="Z45" s="138"/>
      <c r="AA45" s="15" t="str">
        <f>IF(G45="Issue",D45,"")</f>
        <v/>
      </c>
    </row>
    <row r="46" spans="3:64" ht="45" customHeight="1">
      <c r="C46" s="29">
        <v>3</v>
      </c>
      <c r="D46" s="30"/>
      <c r="E46" s="31"/>
      <c r="F46" s="30"/>
      <c r="G46" s="30" t="s">
        <v>2</v>
      </c>
      <c r="H46" s="135"/>
      <c r="I46" s="135"/>
      <c r="J46" s="135"/>
      <c r="K46" s="135"/>
      <c r="L46" s="135"/>
      <c r="M46" s="135"/>
      <c r="N46" s="135"/>
      <c r="O46" s="30" t="s">
        <v>2</v>
      </c>
      <c r="P46" s="32"/>
      <c r="Q46" s="136"/>
      <c r="R46" s="136"/>
      <c r="S46" s="137"/>
      <c r="T46" s="137"/>
      <c r="U46" s="137"/>
      <c r="V46" s="137"/>
      <c r="W46" s="137"/>
      <c r="X46" s="33"/>
      <c r="Y46" s="138"/>
      <c r="Z46" s="138"/>
      <c r="AA46" s="15" t="str">
        <f t="shared" ref="AA46:AA53" si="3">IF(G46="Issue",D46,"")</f>
        <v/>
      </c>
    </row>
    <row r="47" spans="3:64" ht="39" customHeight="1">
      <c r="C47" s="29">
        <v>4</v>
      </c>
      <c r="D47" s="30"/>
      <c r="E47" s="31"/>
      <c r="F47" s="30"/>
      <c r="G47" s="30" t="s">
        <v>2</v>
      </c>
      <c r="H47" s="135"/>
      <c r="I47" s="135"/>
      <c r="J47" s="135"/>
      <c r="K47" s="135"/>
      <c r="L47" s="135"/>
      <c r="M47" s="135"/>
      <c r="N47" s="135"/>
      <c r="O47" s="30" t="s">
        <v>2</v>
      </c>
      <c r="P47" s="32"/>
      <c r="Q47" s="136"/>
      <c r="R47" s="136"/>
      <c r="S47" s="137"/>
      <c r="T47" s="137"/>
      <c r="U47" s="137"/>
      <c r="V47" s="137"/>
      <c r="W47" s="137"/>
      <c r="X47" s="33"/>
      <c r="Y47" s="138"/>
      <c r="Z47" s="138"/>
      <c r="AA47" s="15" t="str">
        <f t="shared" si="3"/>
        <v/>
      </c>
    </row>
    <row r="48" spans="3:64" ht="33" customHeight="1">
      <c r="C48" s="29">
        <v>5</v>
      </c>
      <c r="D48" s="30"/>
      <c r="E48" s="31"/>
      <c r="F48" s="30"/>
      <c r="G48" s="30" t="s">
        <v>2</v>
      </c>
      <c r="H48" s="135"/>
      <c r="I48" s="135"/>
      <c r="J48" s="135"/>
      <c r="K48" s="135"/>
      <c r="L48" s="135"/>
      <c r="M48" s="135"/>
      <c r="N48" s="135"/>
      <c r="O48" s="30" t="s">
        <v>2</v>
      </c>
      <c r="P48" s="32"/>
      <c r="Q48" s="136"/>
      <c r="R48" s="136"/>
      <c r="S48" s="137"/>
      <c r="T48" s="137"/>
      <c r="U48" s="137"/>
      <c r="V48" s="137"/>
      <c r="W48" s="137"/>
      <c r="X48" s="33"/>
      <c r="Y48" s="138"/>
      <c r="Z48" s="138"/>
      <c r="AA48" s="15" t="str">
        <f t="shared" si="3"/>
        <v/>
      </c>
    </row>
    <row r="49" spans="3:28" ht="33" customHeight="1">
      <c r="C49" s="29">
        <v>6</v>
      </c>
      <c r="D49" s="30"/>
      <c r="E49" s="121"/>
      <c r="F49" s="30"/>
      <c r="G49" s="30" t="s">
        <v>2</v>
      </c>
      <c r="H49" s="139"/>
      <c r="I49" s="140"/>
      <c r="J49" s="140"/>
      <c r="K49" s="140"/>
      <c r="L49" s="140"/>
      <c r="M49" s="140"/>
      <c r="N49" s="141"/>
      <c r="O49" s="30" t="s">
        <v>2</v>
      </c>
      <c r="P49" s="32"/>
      <c r="Q49" s="136"/>
      <c r="R49" s="136"/>
      <c r="S49" s="137"/>
      <c r="T49" s="137"/>
      <c r="U49" s="137"/>
      <c r="V49" s="137"/>
      <c r="W49" s="137"/>
      <c r="X49" s="33"/>
      <c r="Y49" s="138"/>
      <c r="Z49" s="138"/>
      <c r="AA49" s="15" t="str">
        <f t="shared" si="3"/>
        <v/>
      </c>
    </row>
    <row r="50" spans="3:28" ht="33" customHeight="1">
      <c r="C50" s="29">
        <v>7</v>
      </c>
      <c r="D50" s="30"/>
      <c r="E50" s="31"/>
      <c r="F50" s="30"/>
      <c r="G50" s="30" t="s">
        <v>2</v>
      </c>
      <c r="H50" s="135"/>
      <c r="I50" s="135"/>
      <c r="J50" s="135"/>
      <c r="K50" s="135"/>
      <c r="L50" s="135"/>
      <c r="M50" s="135"/>
      <c r="N50" s="135"/>
      <c r="O50" s="30" t="s">
        <v>2</v>
      </c>
      <c r="P50" s="32"/>
      <c r="Q50" s="136"/>
      <c r="R50" s="136"/>
      <c r="S50" s="137"/>
      <c r="T50" s="137"/>
      <c r="U50" s="137"/>
      <c r="V50" s="137"/>
      <c r="W50" s="137"/>
      <c r="X50" s="33"/>
      <c r="Y50" s="138"/>
      <c r="Z50" s="138"/>
      <c r="AA50" s="15" t="str">
        <f t="shared" si="3"/>
        <v/>
      </c>
    </row>
    <row r="51" spans="3:28" ht="33" customHeight="1">
      <c r="C51" s="29">
        <v>8</v>
      </c>
      <c r="D51" s="30"/>
      <c r="E51" s="31"/>
      <c r="F51" s="30"/>
      <c r="G51" s="30" t="s">
        <v>2</v>
      </c>
      <c r="H51" s="135"/>
      <c r="I51" s="135"/>
      <c r="J51" s="135"/>
      <c r="K51" s="135"/>
      <c r="L51" s="135"/>
      <c r="M51" s="135"/>
      <c r="N51" s="135"/>
      <c r="O51" s="30" t="s">
        <v>2</v>
      </c>
      <c r="P51" s="32"/>
      <c r="Q51" s="136"/>
      <c r="R51" s="136"/>
      <c r="S51" s="137"/>
      <c r="T51" s="137"/>
      <c r="U51" s="137"/>
      <c r="V51" s="137"/>
      <c r="W51" s="137"/>
      <c r="X51" s="33"/>
      <c r="Y51" s="138"/>
      <c r="Z51" s="138"/>
      <c r="AA51" s="15" t="str">
        <f t="shared" si="3"/>
        <v/>
      </c>
    </row>
    <row r="52" spans="3:28" ht="33" customHeight="1">
      <c r="C52" s="29">
        <v>9</v>
      </c>
      <c r="D52" s="30"/>
      <c r="E52" s="31"/>
      <c r="F52" s="30"/>
      <c r="G52" s="30" t="s">
        <v>2</v>
      </c>
      <c r="H52" s="135"/>
      <c r="I52" s="135"/>
      <c r="J52" s="135"/>
      <c r="K52" s="135"/>
      <c r="L52" s="135"/>
      <c r="M52" s="135"/>
      <c r="N52" s="135"/>
      <c r="O52" s="30" t="s">
        <v>2</v>
      </c>
      <c r="P52" s="32"/>
      <c r="Q52" s="136"/>
      <c r="R52" s="136"/>
      <c r="S52" s="137"/>
      <c r="T52" s="137"/>
      <c r="U52" s="137"/>
      <c r="V52" s="137"/>
      <c r="W52" s="137"/>
      <c r="X52" s="33"/>
      <c r="Y52" s="138"/>
      <c r="Z52" s="138"/>
      <c r="AA52" s="15" t="str">
        <f t="shared" si="3"/>
        <v/>
      </c>
    </row>
    <row r="53" spans="3:28" ht="33" customHeight="1">
      <c r="C53" s="29">
        <v>10</v>
      </c>
      <c r="D53" s="30"/>
      <c r="E53" s="31"/>
      <c r="F53" s="30"/>
      <c r="G53" s="30" t="s">
        <v>2</v>
      </c>
      <c r="H53" s="135"/>
      <c r="I53" s="135"/>
      <c r="J53" s="135"/>
      <c r="K53" s="135"/>
      <c r="L53" s="135"/>
      <c r="M53" s="135"/>
      <c r="N53" s="135"/>
      <c r="O53" s="30" t="s">
        <v>2</v>
      </c>
      <c r="P53" s="32"/>
      <c r="Q53" s="136"/>
      <c r="R53" s="136"/>
      <c r="S53" s="137"/>
      <c r="T53" s="137"/>
      <c r="U53" s="137"/>
      <c r="V53" s="137"/>
      <c r="W53" s="137"/>
      <c r="X53" s="33"/>
      <c r="Y53" s="138"/>
      <c r="Z53" s="138"/>
      <c r="AA53" s="15" t="str">
        <f t="shared" si="3"/>
        <v/>
      </c>
    </row>
    <row r="54" spans="3:28" ht="9.9499999999999993" customHeight="1">
      <c r="C54" s="34"/>
      <c r="D54" s="35"/>
      <c r="E54" s="36"/>
      <c r="F54" s="35"/>
      <c r="G54" s="35"/>
      <c r="H54" s="131"/>
      <c r="I54" s="131"/>
      <c r="J54" s="131"/>
      <c r="K54" s="131"/>
      <c r="L54" s="131"/>
      <c r="M54" s="131"/>
      <c r="N54" s="131"/>
      <c r="O54" s="35"/>
      <c r="P54" s="37"/>
      <c r="Q54" s="132"/>
      <c r="R54" s="132"/>
      <c r="S54" s="133"/>
      <c r="T54" s="133"/>
      <c r="U54" s="133"/>
      <c r="V54" s="133"/>
      <c r="W54" s="133"/>
      <c r="X54" s="38"/>
      <c r="Y54" s="134"/>
      <c r="Z54" s="134"/>
      <c r="AA54" s="39" t="str">
        <f>IF(G54="Issue",D54,"")</f>
        <v/>
      </c>
      <c r="AB54" s="39"/>
    </row>
    <row r="55" spans="3:28" s="13" customFormat="1" ht="16.5">
      <c r="C55" s="13" t="s">
        <v>420</v>
      </c>
    </row>
    <row r="56" spans="3:28" ht="95.25" customHeight="1">
      <c r="C56" s="124" t="s">
        <v>421</v>
      </c>
      <c r="D56" s="125"/>
      <c r="E56" s="125"/>
      <c r="F56" s="125"/>
      <c r="G56" s="125"/>
      <c r="H56" s="126" t="s">
        <v>424</v>
      </c>
      <c r="I56" s="127"/>
      <c r="J56" s="127"/>
      <c r="K56" s="127"/>
      <c r="L56" s="127"/>
      <c r="M56" s="127"/>
      <c r="N56" s="127"/>
      <c r="O56" s="127"/>
      <c r="P56" s="127"/>
      <c r="Q56" s="127"/>
      <c r="R56" s="127"/>
      <c r="S56" s="127"/>
      <c r="T56" s="127"/>
      <c r="U56" s="127"/>
      <c r="V56" s="127"/>
      <c r="W56" s="127"/>
      <c r="X56" s="127"/>
      <c r="Y56" s="127"/>
      <c r="Z56" s="127"/>
    </row>
    <row r="57" spans="3:28">
      <c r="K57" s="40"/>
      <c r="L57" s="40"/>
      <c r="M57" s="40"/>
      <c r="N57" s="40"/>
      <c r="O57" s="40"/>
      <c r="P57" s="40"/>
      <c r="Q57" s="40"/>
      <c r="R57" s="40"/>
      <c r="S57" s="40"/>
      <c r="T57" s="40"/>
      <c r="U57" s="40"/>
      <c r="V57" s="40"/>
      <c r="W57" s="40"/>
      <c r="X57" s="40"/>
      <c r="Y57" s="40"/>
      <c r="Z57" s="40"/>
    </row>
    <row r="58" spans="3:28" ht="16.5">
      <c r="C58" s="15" t="s">
        <v>422</v>
      </c>
      <c r="K58" s="41"/>
      <c r="L58" s="41"/>
      <c r="M58" s="41"/>
      <c r="N58" s="41"/>
      <c r="O58" s="41"/>
      <c r="P58" s="41"/>
      <c r="Q58" s="41"/>
      <c r="R58" s="41"/>
      <c r="S58" s="41"/>
      <c r="T58" s="41"/>
      <c r="U58" s="41"/>
      <c r="V58" s="41"/>
      <c r="W58" s="41"/>
      <c r="X58" s="41"/>
      <c r="Y58" s="41"/>
      <c r="Z58" s="41"/>
    </row>
    <row r="59" spans="3:28" ht="69" customHeight="1">
      <c r="C59" s="128" t="s">
        <v>438</v>
      </c>
      <c r="D59" s="129"/>
      <c r="E59" s="129"/>
      <c r="F59" s="129"/>
      <c r="G59" s="129"/>
      <c r="H59" s="129"/>
      <c r="I59" s="129"/>
      <c r="J59" s="129"/>
      <c r="K59" s="129"/>
      <c r="L59" s="129"/>
      <c r="M59" s="129"/>
      <c r="N59" s="129"/>
      <c r="O59" s="129"/>
      <c r="P59" s="129"/>
      <c r="Q59" s="129"/>
      <c r="R59" s="129"/>
      <c r="S59" s="129"/>
      <c r="T59" s="129"/>
      <c r="U59" s="129"/>
      <c r="V59" s="129"/>
      <c r="W59" s="129"/>
      <c r="X59" s="129"/>
      <c r="Y59" s="129"/>
      <c r="Z59" s="130"/>
    </row>
  </sheetData>
  <dataConsolidate/>
  <mergeCells count="184">
    <mergeCell ref="L16:T16"/>
    <mergeCell ref="R7:T8"/>
    <mergeCell ref="U7:Z8"/>
    <mergeCell ref="G8:Q10"/>
    <mergeCell ref="R9:T10"/>
    <mergeCell ref="U9:Z10"/>
    <mergeCell ref="G11:T11"/>
    <mergeCell ref="U11:W11"/>
    <mergeCell ref="X11:Z11"/>
    <mergeCell ref="J2:X2"/>
    <mergeCell ref="C20:F20"/>
    <mergeCell ref="G20:J20"/>
    <mergeCell ref="K20:M20"/>
    <mergeCell ref="N20:T20"/>
    <mergeCell ref="C21:F21"/>
    <mergeCell ref="G21:J21"/>
    <mergeCell ref="K21:M21"/>
    <mergeCell ref="N21:T21"/>
    <mergeCell ref="G12:T15"/>
    <mergeCell ref="C19:F19"/>
    <mergeCell ref="G19:Z19"/>
    <mergeCell ref="C3:F3"/>
    <mergeCell ref="G3:Q3"/>
    <mergeCell ref="R3:T4"/>
    <mergeCell ref="U3:Z4"/>
    <mergeCell ref="C4:F16"/>
    <mergeCell ref="G4:Q6"/>
    <mergeCell ref="R5:T6"/>
    <mergeCell ref="U5:Z6"/>
    <mergeCell ref="G7:Q7"/>
    <mergeCell ref="U12:W16"/>
    <mergeCell ref="X12:Z16"/>
    <mergeCell ref="G16:K16"/>
    <mergeCell ref="Q23:R23"/>
    <mergeCell ref="S23:T23"/>
    <mergeCell ref="U23:Z23"/>
    <mergeCell ref="G24:H24"/>
    <mergeCell ref="I24:Z24"/>
    <mergeCell ref="C25:F25"/>
    <mergeCell ref="G25:H25"/>
    <mergeCell ref="I25:J25"/>
    <mergeCell ref="K25:L25"/>
    <mergeCell ref="M25:N25"/>
    <mergeCell ref="C23:F24"/>
    <mergeCell ref="G23:H23"/>
    <mergeCell ref="I23:J23"/>
    <mergeCell ref="K23:L23"/>
    <mergeCell ref="M23:N23"/>
    <mergeCell ref="O23:P23"/>
    <mergeCell ref="O25:P25"/>
    <mergeCell ref="Q25:R25"/>
    <mergeCell ref="S25:T25"/>
    <mergeCell ref="U25:V25"/>
    <mergeCell ref="X25:Z25"/>
    <mergeCell ref="W28:X28"/>
    <mergeCell ref="Y28:Z28"/>
    <mergeCell ref="H29:I29"/>
    <mergeCell ref="J29:K29"/>
    <mergeCell ref="L29:M29"/>
    <mergeCell ref="N29:O29"/>
    <mergeCell ref="P29:Q29"/>
    <mergeCell ref="R29:S29"/>
    <mergeCell ref="O26:P26"/>
    <mergeCell ref="Q26:R26"/>
    <mergeCell ref="S26:T26"/>
    <mergeCell ref="C26:F26"/>
    <mergeCell ref="G26:H26"/>
    <mergeCell ref="I26:J26"/>
    <mergeCell ref="K26:L26"/>
    <mergeCell ref="M26:N26"/>
    <mergeCell ref="U26:V26"/>
    <mergeCell ref="R30:S30"/>
    <mergeCell ref="C31:G31"/>
    <mergeCell ref="H31:I31"/>
    <mergeCell ref="J31:K31"/>
    <mergeCell ref="L31:M31"/>
    <mergeCell ref="N31:O31"/>
    <mergeCell ref="P31:Q31"/>
    <mergeCell ref="R31:S31"/>
    <mergeCell ref="C30:G30"/>
    <mergeCell ref="H30:I30"/>
    <mergeCell ref="J30:K30"/>
    <mergeCell ref="L30:M30"/>
    <mergeCell ref="N30:O30"/>
    <mergeCell ref="P30:Q30"/>
    <mergeCell ref="C28:G29"/>
    <mergeCell ref="H28:M28"/>
    <mergeCell ref="N28:S28"/>
    <mergeCell ref="W33:X33"/>
    <mergeCell ref="Y33:Z33"/>
    <mergeCell ref="C35:D35"/>
    <mergeCell ref="E35:K35"/>
    <mergeCell ref="L35:P35"/>
    <mergeCell ref="Q35:S35"/>
    <mergeCell ref="T35:U35"/>
    <mergeCell ref="C33:D34"/>
    <mergeCell ref="E33:K34"/>
    <mergeCell ref="L33:P34"/>
    <mergeCell ref="Q33:S34"/>
    <mergeCell ref="T33:U34"/>
    <mergeCell ref="V33:V34"/>
    <mergeCell ref="C36:D36"/>
    <mergeCell ref="E36:K36"/>
    <mergeCell ref="L36:P36"/>
    <mergeCell ref="Q36:S36"/>
    <mergeCell ref="T36:U36"/>
    <mergeCell ref="C37:D37"/>
    <mergeCell ref="E37:K37"/>
    <mergeCell ref="L37:P37"/>
    <mergeCell ref="Q37:S37"/>
    <mergeCell ref="T37:U37"/>
    <mergeCell ref="Q40:S40"/>
    <mergeCell ref="T40:U40"/>
    <mergeCell ref="C38:D38"/>
    <mergeCell ref="E38:K38"/>
    <mergeCell ref="L38:P38"/>
    <mergeCell ref="Q38:S38"/>
    <mergeCell ref="T38:U38"/>
    <mergeCell ref="C39:D39"/>
    <mergeCell ref="E39:K39"/>
    <mergeCell ref="L39:P39"/>
    <mergeCell ref="Q39:S39"/>
    <mergeCell ref="T39:U39"/>
    <mergeCell ref="C42:C43"/>
    <mergeCell ref="D42:E42"/>
    <mergeCell ref="F42:F43"/>
    <mergeCell ref="G42:G43"/>
    <mergeCell ref="H42:N43"/>
    <mergeCell ref="O42:O43"/>
    <mergeCell ref="P42:P43"/>
    <mergeCell ref="C40:D40"/>
    <mergeCell ref="E40:K40"/>
    <mergeCell ref="L40:P40"/>
    <mergeCell ref="Q42:R43"/>
    <mergeCell ref="S42:W43"/>
    <mergeCell ref="X42:X43"/>
    <mergeCell ref="Y42:Z43"/>
    <mergeCell ref="H44:N44"/>
    <mergeCell ref="Q44:R44"/>
    <mergeCell ref="S44:W44"/>
    <mergeCell ref="Y44:Z44"/>
    <mergeCell ref="H47:N47"/>
    <mergeCell ref="Q47:R47"/>
    <mergeCell ref="S47:W47"/>
    <mergeCell ref="Y47:Z47"/>
    <mergeCell ref="H48:N48"/>
    <mergeCell ref="Q48:R48"/>
    <mergeCell ref="S48:W48"/>
    <mergeCell ref="Y48:Z48"/>
    <mergeCell ref="H45:N45"/>
    <mergeCell ref="Q45:R45"/>
    <mergeCell ref="S45:W45"/>
    <mergeCell ref="Y45:Z45"/>
    <mergeCell ref="H46:N46"/>
    <mergeCell ref="Q46:R46"/>
    <mergeCell ref="S46:W46"/>
    <mergeCell ref="Y46:Z46"/>
    <mergeCell ref="H51:N51"/>
    <mergeCell ref="Q51:R51"/>
    <mergeCell ref="S51:W51"/>
    <mergeCell ref="Y51:Z51"/>
    <mergeCell ref="H52:N52"/>
    <mergeCell ref="Q52:R52"/>
    <mergeCell ref="S52:W52"/>
    <mergeCell ref="Y52:Z52"/>
    <mergeCell ref="H49:N49"/>
    <mergeCell ref="Q49:R49"/>
    <mergeCell ref="S49:W49"/>
    <mergeCell ref="Y49:Z49"/>
    <mergeCell ref="H50:N50"/>
    <mergeCell ref="Q50:R50"/>
    <mergeCell ref="S50:W50"/>
    <mergeCell ref="Y50:Z50"/>
    <mergeCell ref="C56:G56"/>
    <mergeCell ref="H56:Z56"/>
    <mergeCell ref="C59:Z59"/>
    <mergeCell ref="H54:N54"/>
    <mergeCell ref="Q54:R54"/>
    <mergeCell ref="S54:W54"/>
    <mergeCell ref="Y54:Z54"/>
    <mergeCell ref="H53:N53"/>
    <mergeCell ref="Q53:R53"/>
    <mergeCell ref="S53:W53"/>
    <mergeCell ref="Y53:Z53"/>
  </mergeCells>
  <conditionalFormatting sqref="O23:R23">
    <cfRule type="expression" dxfId="73" priority="40">
      <formula>$G$20="Team"</formula>
    </cfRule>
  </conditionalFormatting>
  <conditionalFormatting sqref="C25:Z25 G23:R23">
    <cfRule type="expression" dxfId="72" priority="42">
      <formula>$G$20="Pass-around"</formula>
    </cfRule>
  </conditionalFormatting>
  <conditionalFormatting sqref="G23:J23 O23:R23 C26:V26">
    <cfRule type="expression" dxfId="71" priority="41">
      <formula>$G$20="Walk-through"</formula>
    </cfRule>
  </conditionalFormatting>
  <conditionalFormatting sqref="X44:Z54 O44:R54">
    <cfRule type="expression" dxfId="70" priority="39">
      <formula>$G44="Q&amp;A"</formula>
    </cfRule>
  </conditionalFormatting>
  <conditionalFormatting sqref="A1:Y1 A3:XFD3 A2:J2 A23:C23 A24:B24 G23:XFD24 A22:XFD22 A20:J20 A17:XFD18 AA5:XFD10 W36:XFD38 A35:D39 L39:XFD39 L38:U38 Q35:U37 A32:XFD34 X35:XFD35 G5:T7 G11:XFD11 A4:B16 G4:XFD4 R8:T10 A19:F19 AA19:XFD19 A21:M21 U20:XFD21 A60:XFD1048576 A59:B59 AA59:XFD59 AA1:XFD2 A25:XFD27 G16:XFD16 U12:XFD15 A40:XFD58">
    <cfRule type="cellIs" dxfId="69" priority="43" operator="equal">
      <formula>"(Select)"</formula>
    </cfRule>
  </conditionalFormatting>
  <conditionalFormatting sqref="K21:M21">
    <cfRule type="expression" dxfId="68" priority="38">
      <formula>$G21="use 'Peer Review Checklist' sheet"</formula>
    </cfRule>
  </conditionalFormatting>
  <conditionalFormatting sqref="N20">
    <cfRule type="cellIs" dxfId="67" priority="37" operator="equal">
      <formula>"(Select)"</formula>
    </cfRule>
  </conditionalFormatting>
  <conditionalFormatting sqref="K20:M20">
    <cfRule type="cellIs" dxfId="66" priority="36" operator="equal">
      <formula>"(Select)"</formula>
    </cfRule>
  </conditionalFormatting>
  <conditionalFormatting sqref="K20:M20">
    <cfRule type="expression" dxfId="65" priority="35">
      <formula>$G20="use 'Peer Review Checklist' sheet"</formula>
    </cfRule>
  </conditionalFormatting>
  <conditionalFormatting sqref="O44:Z53">
    <cfRule type="expression" dxfId="64" priority="34">
      <formula>$G44="proceedings"</formula>
    </cfRule>
  </conditionalFormatting>
  <conditionalFormatting sqref="O44:Z53">
    <cfRule type="expression" dxfId="63" priority="33">
      <formula>$G44="proceedings"</formula>
    </cfRule>
  </conditionalFormatting>
  <conditionalFormatting sqref="O44:Z53">
    <cfRule type="expression" dxfId="62" priority="32">
      <formula>$G44="proceedings"</formula>
    </cfRule>
  </conditionalFormatting>
  <conditionalFormatting sqref="U5:Z6">
    <cfRule type="cellIs" dxfId="61" priority="30" operator="equal">
      <formula>"(Select)"</formula>
    </cfRule>
  </conditionalFormatting>
  <conditionalFormatting sqref="E36:P37 L35:P35">
    <cfRule type="cellIs" dxfId="60" priority="29" operator="equal">
      <formula>"(Select)"</formula>
    </cfRule>
  </conditionalFormatting>
  <conditionalFormatting sqref="O45:Z45">
    <cfRule type="expression" dxfId="59" priority="28">
      <formula>$G45="proceedings"</formula>
    </cfRule>
  </conditionalFormatting>
  <conditionalFormatting sqref="O46:Z46">
    <cfRule type="expression" dxfId="58" priority="27">
      <formula>$G46="proceedings"</formula>
    </cfRule>
  </conditionalFormatting>
  <conditionalFormatting sqref="V35:V38">
    <cfRule type="cellIs" dxfId="57" priority="26" operator="equal">
      <formula>"(Select)"</formula>
    </cfRule>
  </conditionalFormatting>
  <conditionalFormatting sqref="E39:K39">
    <cfRule type="cellIs" dxfId="56" priority="25" operator="equal">
      <formula>"(Select)"</formula>
    </cfRule>
  </conditionalFormatting>
  <conditionalFormatting sqref="E38:K38">
    <cfRule type="cellIs" dxfId="55" priority="24" operator="equal">
      <formula>"(Select)"</formula>
    </cfRule>
  </conditionalFormatting>
  <conditionalFormatting sqref="P45:R45">
    <cfRule type="expression" dxfId="54" priority="23">
      <formula>$G45="proceedings"</formula>
    </cfRule>
  </conditionalFormatting>
  <conditionalFormatting sqref="P44:W44">
    <cfRule type="expression" dxfId="53" priority="22">
      <formula>$G44="proceedings"</formula>
    </cfRule>
  </conditionalFormatting>
  <conditionalFormatting sqref="P44:R44">
    <cfRule type="expression" dxfId="52" priority="21">
      <formula>$G44="proceedings"</formula>
    </cfRule>
  </conditionalFormatting>
  <conditionalFormatting sqref="X45:X48">
    <cfRule type="expression" dxfId="51" priority="20">
      <formula>$G45="proceedings"</formula>
    </cfRule>
  </conditionalFormatting>
  <conditionalFormatting sqref="Y45:Z48">
    <cfRule type="expression" dxfId="50" priority="19">
      <formula>$G45="proceedings"</formula>
    </cfRule>
  </conditionalFormatting>
  <conditionalFormatting sqref="X49:X50">
    <cfRule type="expression" dxfId="49" priority="18">
      <formula>$G49="proceedings"</formula>
    </cfRule>
  </conditionalFormatting>
  <conditionalFormatting sqref="Y49:Z50">
    <cfRule type="expression" dxfId="48" priority="17">
      <formula>$G49="proceedings"</formula>
    </cfRule>
  </conditionalFormatting>
  <conditionalFormatting sqref="A28:T29 AA28:XFD31 A30:G31 N30:T31">
    <cfRule type="cellIs" dxfId="47" priority="16" operator="equal">
      <formula>"(Select)"</formula>
    </cfRule>
  </conditionalFormatting>
  <conditionalFormatting sqref="U28:Z31">
    <cfRule type="cellIs" dxfId="46" priority="15" operator="equal">
      <formula>"(Select)"</formula>
    </cfRule>
  </conditionalFormatting>
  <conditionalFormatting sqref="J30:M31">
    <cfRule type="cellIs" dxfId="45" priority="14" operator="equal">
      <formula>"(Select)"</formula>
    </cfRule>
  </conditionalFormatting>
  <conditionalFormatting sqref="W35">
    <cfRule type="cellIs" dxfId="44" priority="13" operator="equal">
      <formula>"(Select)"</formula>
    </cfRule>
  </conditionalFormatting>
  <conditionalFormatting sqref="C4:F16">
    <cfRule type="cellIs" dxfId="43" priority="12" operator="equal">
      <formula>"(Select)"</formula>
    </cfRule>
  </conditionalFormatting>
  <conditionalFormatting sqref="U7:Z10">
    <cfRule type="cellIs" dxfId="42" priority="11" operator="equal">
      <formula>"(Select)"</formula>
    </cfRule>
  </conditionalFormatting>
  <conditionalFormatting sqref="G8:Q10">
    <cfRule type="cellIs" dxfId="41" priority="10" operator="equal">
      <formula>"(Select)"</formula>
    </cfRule>
  </conditionalFormatting>
  <conditionalFormatting sqref="G19:Z19">
    <cfRule type="cellIs" dxfId="40" priority="9" operator="equal">
      <formula>"(Select)"</formula>
    </cfRule>
  </conditionalFormatting>
  <conditionalFormatting sqref="N21:T21">
    <cfRule type="cellIs" dxfId="39" priority="8" operator="equal">
      <formula>"(Select)"</formula>
    </cfRule>
  </conditionalFormatting>
  <conditionalFormatting sqref="N21:T21">
    <cfRule type="expression" dxfId="38" priority="7">
      <formula>$G21="use 'Peer Review Checklist' sheet"</formula>
    </cfRule>
  </conditionalFormatting>
  <conditionalFormatting sqref="H30:I31">
    <cfRule type="cellIs" dxfId="37" priority="6" operator="equal">
      <formula>"(Select)"</formula>
    </cfRule>
  </conditionalFormatting>
  <conditionalFormatting sqref="E35:K35">
    <cfRule type="cellIs" dxfId="36" priority="5" operator="equal">
      <formula>"(Select)"</formula>
    </cfRule>
  </conditionalFormatting>
  <conditionalFormatting sqref="C59:Z59">
    <cfRule type="cellIs" dxfId="35" priority="4" operator="equal">
      <formula>"(Select)"</formula>
    </cfRule>
  </conditionalFormatting>
  <conditionalFormatting sqref="Z1">
    <cfRule type="cellIs" dxfId="34" priority="3" operator="equal">
      <formula>"(Select)"</formula>
    </cfRule>
  </conditionalFormatting>
  <conditionalFormatting sqref="G12:T15">
    <cfRule type="cellIs" dxfId="33" priority="1" operator="equal">
      <formula>"(Select)"</formula>
    </cfRule>
  </conditionalFormatting>
  <dataValidations disablePrompts="1" count="8">
    <dataValidation type="list" allowBlank="1" sqref="G8:Q10" xr:uid="{00000000-0002-0000-0000-000000000000}">
      <formula1>"(Select), Project planning process, Requirements development process, Architecture design process, Unit design process, Coding process, Unit test process, Integration test process, Validation test process, -"</formula1>
    </dataValidation>
    <dataValidation type="list" allowBlank="1" sqref="G44:G53" xr:uid="{00000000-0002-0000-0000-000001000000}">
      <formula1>"(Select),Issue,Q&amp;A,proceedings"</formula1>
    </dataValidation>
    <dataValidation type="list" allowBlank="1" showInputMessage="1" showErrorMessage="1" sqref="N20:T20" xr:uid="{00000000-0002-0000-0000-000002000000}">
      <formula1>"1st review,Re-review"</formula1>
    </dataValidation>
    <dataValidation type="list" allowBlank="1" sqref="G54" xr:uid="{00000000-0002-0000-0000-000005000000}">
      <formula1>"(Select),Issue,Q&amp;A"</formula1>
    </dataValidation>
    <dataValidation type="list" allowBlank="1" sqref="G20:J20" xr:uid="{00000000-0002-0000-0000-000006000000}">
      <formula1>"(Select),Inspection,Team,Walk-through,Pass-around"</formula1>
    </dataValidation>
    <dataValidation type="list" allowBlank="1" sqref="G21:J21" xr:uid="{00000000-0002-0000-0000-000007000000}">
      <formula1>"(Select), use department checklist, use 'Peer Review Checklist' sheet"</formula1>
    </dataValidation>
    <dataValidation type="list" allowBlank="1" sqref="V35:V40" xr:uid="{00000000-0002-0000-0000-000003000000}">
      <formula1>"(Select),Page,Line,Number"</formula1>
    </dataValidation>
    <dataValidation type="list" allowBlank="1" sqref="O44:O54" xr:uid="{00000000-0002-0000-0000-000004000000}">
      <formula1>"(Select),Defect,Risk,Problem,AI"</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M28"/>
  <sheetViews>
    <sheetView topLeftCell="A2" zoomScale="85" zoomScaleNormal="85" workbookViewId="0">
      <selection activeCell="J18" sqref="J18"/>
    </sheetView>
  </sheetViews>
  <sheetFormatPr defaultRowHeight="12.75"/>
  <cols>
    <col min="1" max="1" width="1.109375" style="15" customWidth="1"/>
    <col min="2" max="2" width="5.44140625" style="15" customWidth="1"/>
    <col min="3" max="3" width="10.21875" style="28" customWidth="1"/>
    <col min="4" max="4" width="55.88671875" style="28" customWidth="1"/>
    <col min="5" max="5" width="9.21875" style="28" customWidth="1"/>
    <col min="6" max="6" width="8.44140625" style="76" customWidth="1"/>
    <col min="7" max="7" width="10.21875" style="77" bestFit="1" customWidth="1"/>
    <col min="8" max="8" width="11.109375" style="15" customWidth="1"/>
    <col min="9" max="9" width="8.44140625" style="15" customWidth="1"/>
    <col min="10" max="10" width="10.21875" style="77" bestFit="1" customWidth="1"/>
    <col min="11" max="11" width="9.77734375" style="15" bestFit="1" customWidth="1"/>
    <col min="12" max="12" width="16.44140625" style="15" customWidth="1"/>
    <col min="13" max="256" width="8.88671875" style="15"/>
    <col min="257" max="257" width="1.109375" style="15" customWidth="1"/>
    <col min="258" max="258" width="5.44140625" style="15" customWidth="1"/>
    <col min="259" max="259" width="10.21875" style="15" customWidth="1"/>
    <col min="260" max="260" width="55.88671875" style="15" customWidth="1"/>
    <col min="261" max="261" width="9.21875" style="15" customWidth="1"/>
    <col min="262" max="267" width="8.44140625" style="15" customWidth="1"/>
    <col min="268" max="268" width="16.44140625" style="15" customWidth="1"/>
    <col min="269" max="512" width="8.88671875" style="15"/>
    <col min="513" max="513" width="1.109375" style="15" customWidth="1"/>
    <col min="514" max="514" width="5.44140625" style="15" customWidth="1"/>
    <col min="515" max="515" width="10.21875" style="15" customWidth="1"/>
    <col min="516" max="516" width="55.88671875" style="15" customWidth="1"/>
    <col min="517" max="517" width="9.21875" style="15" customWidth="1"/>
    <col min="518" max="523" width="8.44140625" style="15" customWidth="1"/>
    <col min="524" max="524" width="16.44140625" style="15" customWidth="1"/>
    <col min="525" max="768" width="8.88671875" style="15"/>
    <col min="769" max="769" width="1.109375" style="15" customWidth="1"/>
    <col min="770" max="770" width="5.44140625" style="15" customWidth="1"/>
    <col min="771" max="771" width="10.21875" style="15" customWidth="1"/>
    <col min="772" max="772" width="55.88671875" style="15" customWidth="1"/>
    <col min="773" max="773" width="9.21875" style="15" customWidth="1"/>
    <col min="774" max="779" width="8.44140625" style="15" customWidth="1"/>
    <col min="780" max="780" width="16.44140625" style="15" customWidth="1"/>
    <col min="781" max="1024" width="8.88671875" style="15"/>
    <col min="1025" max="1025" width="1.109375" style="15" customWidth="1"/>
    <col min="1026" max="1026" width="5.44140625" style="15" customWidth="1"/>
    <col min="1027" max="1027" width="10.21875" style="15" customWidth="1"/>
    <col min="1028" max="1028" width="55.88671875" style="15" customWidth="1"/>
    <col min="1029" max="1029" width="9.21875" style="15" customWidth="1"/>
    <col min="1030" max="1035" width="8.44140625" style="15" customWidth="1"/>
    <col min="1036" max="1036" width="16.44140625" style="15" customWidth="1"/>
    <col min="1037" max="1280" width="8.88671875" style="15"/>
    <col min="1281" max="1281" width="1.109375" style="15" customWidth="1"/>
    <col min="1282" max="1282" width="5.44140625" style="15" customWidth="1"/>
    <col min="1283" max="1283" width="10.21875" style="15" customWidth="1"/>
    <col min="1284" max="1284" width="55.88671875" style="15" customWidth="1"/>
    <col min="1285" max="1285" width="9.21875" style="15" customWidth="1"/>
    <col min="1286" max="1291" width="8.44140625" style="15" customWidth="1"/>
    <col min="1292" max="1292" width="16.44140625" style="15" customWidth="1"/>
    <col min="1293" max="1536" width="8.88671875" style="15"/>
    <col min="1537" max="1537" width="1.109375" style="15" customWidth="1"/>
    <col min="1538" max="1538" width="5.44140625" style="15" customWidth="1"/>
    <col min="1539" max="1539" width="10.21875" style="15" customWidth="1"/>
    <col min="1540" max="1540" width="55.88671875" style="15" customWidth="1"/>
    <col min="1541" max="1541" width="9.21875" style="15" customWidth="1"/>
    <col min="1542" max="1547" width="8.44140625" style="15" customWidth="1"/>
    <col min="1548" max="1548" width="16.44140625" style="15" customWidth="1"/>
    <col min="1549" max="1792" width="8.88671875" style="15"/>
    <col min="1793" max="1793" width="1.109375" style="15" customWidth="1"/>
    <col min="1794" max="1794" width="5.44140625" style="15" customWidth="1"/>
    <col min="1795" max="1795" width="10.21875" style="15" customWidth="1"/>
    <col min="1796" max="1796" width="55.88671875" style="15" customWidth="1"/>
    <col min="1797" max="1797" width="9.21875" style="15" customWidth="1"/>
    <col min="1798" max="1803" width="8.44140625" style="15" customWidth="1"/>
    <col min="1804" max="1804" width="16.44140625" style="15" customWidth="1"/>
    <col min="1805" max="2048" width="8.88671875" style="15"/>
    <col min="2049" max="2049" width="1.109375" style="15" customWidth="1"/>
    <col min="2050" max="2050" width="5.44140625" style="15" customWidth="1"/>
    <col min="2051" max="2051" width="10.21875" style="15" customWidth="1"/>
    <col min="2052" max="2052" width="55.88671875" style="15" customWidth="1"/>
    <col min="2053" max="2053" width="9.21875" style="15" customWidth="1"/>
    <col min="2054" max="2059" width="8.44140625" style="15" customWidth="1"/>
    <col min="2060" max="2060" width="16.44140625" style="15" customWidth="1"/>
    <col min="2061" max="2304" width="8.88671875" style="15"/>
    <col min="2305" max="2305" width="1.109375" style="15" customWidth="1"/>
    <col min="2306" max="2306" width="5.44140625" style="15" customWidth="1"/>
    <col min="2307" max="2307" width="10.21875" style="15" customWidth="1"/>
    <col min="2308" max="2308" width="55.88671875" style="15" customWidth="1"/>
    <col min="2309" max="2309" width="9.21875" style="15" customWidth="1"/>
    <col min="2310" max="2315" width="8.44140625" style="15" customWidth="1"/>
    <col min="2316" max="2316" width="16.44140625" style="15" customWidth="1"/>
    <col min="2317" max="2560" width="8.88671875" style="15"/>
    <col min="2561" max="2561" width="1.109375" style="15" customWidth="1"/>
    <col min="2562" max="2562" width="5.44140625" style="15" customWidth="1"/>
    <col min="2563" max="2563" width="10.21875" style="15" customWidth="1"/>
    <col min="2564" max="2564" width="55.88671875" style="15" customWidth="1"/>
    <col min="2565" max="2565" width="9.21875" style="15" customWidth="1"/>
    <col min="2566" max="2571" width="8.44140625" style="15" customWidth="1"/>
    <col min="2572" max="2572" width="16.44140625" style="15" customWidth="1"/>
    <col min="2573" max="2816" width="8.88671875" style="15"/>
    <col min="2817" max="2817" width="1.109375" style="15" customWidth="1"/>
    <col min="2818" max="2818" width="5.44140625" style="15" customWidth="1"/>
    <col min="2819" max="2819" width="10.21875" style="15" customWidth="1"/>
    <col min="2820" max="2820" width="55.88671875" style="15" customWidth="1"/>
    <col min="2821" max="2821" width="9.21875" style="15" customWidth="1"/>
    <col min="2822" max="2827" width="8.44140625" style="15" customWidth="1"/>
    <col min="2828" max="2828" width="16.44140625" style="15" customWidth="1"/>
    <col min="2829" max="3072" width="8.88671875" style="15"/>
    <col min="3073" max="3073" width="1.109375" style="15" customWidth="1"/>
    <col min="3074" max="3074" width="5.44140625" style="15" customWidth="1"/>
    <col min="3075" max="3075" width="10.21875" style="15" customWidth="1"/>
    <col min="3076" max="3076" width="55.88671875" style="15" customWidth="1"/>
    <col min="3077" max="3077" width="9.21875" style="15" customWidth="1"/>
    <col min="3078" max="3083" width="8.44140625" style="15" customWidth="1"/>
    <col min="3084" max="3084" width="16.44140625" style="15" customWidth="1"/>
    <col min="3085" max="3328" width="8.88671875" style="15"/>
    <col min="3329" max="3329" width="1.109375" style="15" customWidth="1"/>
    <col min="3330" max="3330" width="5.44140625" style="15" customWidth="1"/>
    <col min="3331" max="3331" width="10.21875" style="15" customWidth="1"/>
    <col min="3332" max="3332" width="55.88671875" style="15" customWidth="1"/>
    <col min="3333" max="3333" width="9.21875" style="15" customWidth="1"/>
    <col min="3334" max="3339" width="8.44140625" style="15" customWidth="1"/>
    <col min="3340" max="3340" width="16.44140625" style="15" customWidth="1"/>
    <col min="3341" max="3584" width="8.88671875" style="15"/>
    <col min="3585" max="3585" width="1.109375" style="15" customWidth="1"/>
    <col min="3586" max="3586" width="5.44140625" style="15" customWidth="1"/>
    <col min="3587" max="3587" width="10.21875" style="15" customWidth="1"/>
    <col min="3588" max="3588" width="55.88671875" style="15" customWidth="1"/>
    <col min="3589" max="3589" width="9.21875" style="15" customWidth="1"/>
    <col min="3590" max="3595" width="8.44140625" style="15" customWidth="1"/>
    <col min="3596" max="3596" width="16.44140625" style="15" customWidth="1"/>
    <col min="3597" max="3840" width="8.88671875" style="15"/>
    <col min="3841" max="3841" width="1.109375" style="15" customWidth="1"/>
    <col min="3842" max="3842" width="5.44140625" style="15" customWidth="1"/>
    <col min="3843" max="3843" width="10.21875" style="15" customWidth="1"/>
    <col min="3844" max="3844" width="55.88671875" style="15" customWidth="1"/>
    <col min="3845" max="3845" width="9.21875" style="15" customWidth="1"/>
    <col min="3846" max="3851" width="8.44140625" style="15" customWidth="1"/>
    <col min="3852" max="3852" width="16.44140625" style="15" customWidth="1"/>
    <col min="3853" max="4096" width="8.88671875" style="15"/>
    <col min="4097" max="4097" width="1.109375" style="15" customWidth="1"/>
    <col min="4098" max="4098" width="5.44140625" style="15" customWidth="1"/>
    <col min="4099" max="4099" width="10.21875" style="15" customWidth="1"/>
    <col min="4100" max="4100" width="55.88671875" style="15" customWidth="1"/>
    <col min="4101" max="4101" width="9.21875" style="15" customWidth="1"/>
    <col min="4102" max="4107" width="8.44140625" style="15" customWidth="1"/>
    <col min="4108" max="4108" width="16.44140625" style="15" customWidth="1"/>
    <col min="4109" max="4352" width="8.88671875" style="15"/>
    <col min="4353" max="4353" width="1.109375" style="15" customWidth="1"/>
    <col min="4354" max="4354" width="5.44140625" style="15" customWidth="1"/>
    <col min="4355" max="4355" width="10.21875" style="15" customWidth="1"/>
    <col min="4356" max="4356" width="55.88671875" style="15" customWidth="1"/>
    <col min="4357" max="4357" width="9.21875" style="15" customWidth="1"/>
    <col min="4358" max="4363" width="8.44140625" style="15" customWidth="1"/>
    <col min="4364" max="4364" width="16.44140625" style="15" customWidth="1"/>
    <col min="4365" max="4608" width="8.88671875" style="15"/>
    <col min="4609" max="4609" width="1.109375" style="15" customWidth="1"/>
    <col min="4610" max="4610" width="5.44140625" style="15" customWidth="1"/>
    <col min="4611" max="4611" width="10.21875" style="15" customWidth="1"/>
    <col min="4612" max="4612" width="55.88671875" style="15" customWidth="1"/>
    <col min="4613" max="4613" width="9.21875" style="15" customWidth="1"/>
    <col min="4614" max="4619" width="8.44140625" style="15" customWidth="1"/>
    <col min="4620" max="4620" width="16.44140625" style="15" customWidth="1"/>
    <col min="4621" max="4864" width="8.88671875" style="15"/>
    <col min="4865" max="4865" width="1.109375" style="15" customWidth="1"/>
    <col min="4866" max="4866" width="5.44140625" style="15" customWidth="1"/>
    <col min="4867" max="4867" width="10.21875" style="15" customWidth="1"/>
    <col min="4868" max="4868" width="55.88671875" style="15" customWidth="1"/>
    <col min="4869" max="4869" width="9.21875" style="15" customWidth="1"/>
    <col min="4870" max="4875" width="8.44140625" style="15" customWidth="1"/>
    <col min="4876" max="4876" width="16.44140625" style="15" customWidth="1"/>
    <col min="4877" max="5120" width="8.88671875" style="15"/>
    <col min="5121" max="5121" width="1.109375" style="15" customWidth="1"/>
    <col min="5122" max="5122" width="5.44140625" style="15" customWidth="1"/>
    <col min="5123" max="5123" width="10.21875" style="15" customWidth="1"/>
    <col min="5124" max="5124" width="55.88671875" style="15" customWidth="1"/>
    <col min="5125" max="5125" width="9.21875" style="15" customWidth="1"/>
    <col min="5126" max="5131" width="8.44140625" style="15" customWidth="1"/>
    <col min="5132" max="5132" width="16.44140625" style="15" customWidth="1"/>
    <col min="5133" max="5376" width="8.88671875" style="15"/>
    <col min="5377" max="5377" width="1.109375" style="15" customWidth="1"/>
    <col min="5378" max="5378" width="5.44140625" style="15" customWidth="1"/>
    <col min="5379" max="5379" width="10.21875" style="15" customWidth="1"/>
    <col min="5380" max="5380" width="55.88671875" style="15" customWidth="1"/>
    <col min="5381" max="5381" width="9.21875" style="15" customWidth="1"/>
    <col min="5382" max="5387" width="8.44140625" style="15" customWidth="1"/>
    <col min="5388" max="5388" width="16.44140625" style="15" customWidth="1"/>
    <col min="5389" max="5632" width="8.88671875" style="15"/>
    <col min="5633" max="5633" width="1.109375" style="15" customWidth="1"/>
    <col min="5634" max="5634" width="5.44140625" style="15" customWidth="1"/>
    <col min="5635" max="5635" width="10.21875" style="15" customWidth="1"/>
    <col min="5636" max="5636" width="55.88671875" style="15" customWidth="1"/>
    <col min="5637" max="5637" width="9.21875" style="15" customWidth="1"/>
    <col min="5638" max="5643" width="8.44140625" style="15" customWidth="1"/>
    <col min="5644" max="5644" width="16.44140625" style="15" customWidth="1"/>
    <col min="5645" max="5888" width="8.88671875" style="15"/>
    <col min="5889" max="5889" width="1.109375" style="15" customWidth="1"/>
    <col min="5890" max="5890" width="5.44140625" style="15" customWidth="1"/>
    <col min="5891" max="5891" width="10.21875" style="15" customWidth="1"/>
    <col min="5892" max="5892" width="55.88671875" style="15" customWidth="1"/>
    <col min="5893" max="5893" width="9.21875" style="15" customWidth="1"/>
    <col min="5894" max="5899" width="8.44140625" style="15" customWidth="1"/>
    <col min="5900" max="5900" width="16.44140625" style="15" customWidth="1"/>
    <col min="5901" max="6144" width="8.88671875" style="15"/>
    <col min="6145" max="6145" width="1.109375" style="15" customWidth="1"/>
    <col min="6146" max="6146" width="5.44140625" style="15" customWidth="1"/>
    <col min="6147" max="6147" width="10.21875" style="15" customWidth="1"/>
    <col min="6148" max="6148" width="55.88671875" style="15" customWidth="1"/>
    <col min="6149" max="6149" width="9.21875" style="15" customWidth="1"/>
    <col min="6150" max="6155" width="8.44140625" style="15" customWidth="1"/>
    <col min="6156" max="6156" width="16.44140625" style="15" customWidth="1"/>
    <col min="6157" max="6400" width="8.88671875" style="15"/>
    <col min="6401" max="6401" width="1.109375" style="15" customWidth="1"/>
    <col min="6402" max="6402" width="5.44140625" style="15" customWidth="1"/>
    <col min="6403" max="6403" width="10.21875" style="15" customWidth="1"/>
    <col min="6404" max="6404" width="55.88671875" style="15" customWidth="1"/>
    <col min="6405" max="6405" width="9.21875" style="15" customWidth="1"/>
    <col min="6406" max="6411" width="8.44140625" style="15" customWidth="1"/>
    <col min="6412" max="6412" width="16.44140625" style="15" customWidth="1"/>
    <col min="6413" max="6656" width="8.88671875" style="15"/>
    <col min="6657" max="6657" width="1.109375" style="15" customWidth="1"/>
    <col min="6658" max="6658" width="5.44140625" style="15" customWidth="1"/>
    <col min="6659" max="6659" width="10.21875" style="15" customWidth="1"/>
    <col min="6660" max="6660" width="55.88671875" style="15" customWidth="1"/>
    <col min="6661" max="6661" width="9.21875" style="15" customWidth="1"/>
    <col min="6662" max="6667" width="8.44140625" style="15" customWidth="1"/>
    <col min="6668" max="6668" width="16.44140625" style="15" customWidth="1"/>
    <col min="6669" max="6912" width="8.88671875" style="15"/>
    <col min="6913" max="6913" width="1.109375" style="15" customWidth="1"/>
    <col min="6914" max="6914" width="5.44140625" style="15" customWidth="1"/>
    <col min="6915" max="6915" width="10.21875" style="15" customWidth="1"/>
    <col min="6916" max="6916" width="55.88671875" style="15" customWidth="1"/>
    <col min="6917" max="6917" width="9.21875" style="15" customWidth="1"/>
    <col min="6918" max="6923" width="8.44140625" style="15" customWidth="1"/>
    <col min="6924" max="6924" width="16.44140625" style="15" customWidth="1"/>
    <col min="6925" max="7168" width="8.88671875" style="15"/>
    <col min="7169" max="7169" width="1.109375" style="15" customWidth="1"/>
    <col min="7170" max="7170" width="5.44140625" style="15" customWidth="1"/>
    <col min="7171" max="7171" width="10.21875" style="15" customWidth="1"/>
    <col min="7172" max="7172" width="55.88671875" style="15" customWidth="1"/>
    <col min="7173" max="7173" width="9.21875" style="15" customWidth="1"/>
    <col min="7174" max="7179" width="8.44140625" style="15" customWidth="1"/>
    <col min="7180" max="7180" width="16.44140625" style="15" customWidth="1"/>
    <col min="7181" max="7424" width="8.88671875" style="15"/>
    <col min="7425" max="7425" width="1.109375" style="15" customWidth="1"/>
    <col min="7426" max="7426" width="5.44140625" style="15" customWidth="1"/>
    <col min="7427" max="7427" width="10.21875" style="15" customWidth="1"/>
    <col min="7428" max="7428" width="55.88671875" style="15" customWidth="1"/>
    <col min="7429" max="7429" width="9.21875" style="15" customWidth="1"/>
    <col min="7430" max="7435" width="8.44140625" style="15" customWidth="1"/>
    <col min="7436" max="7436" width="16.44140625" style="15" customWidth="1"/>
    <col min="7437" max="7680" width="8.88671875" style="15"/>
    <col min="7681" max="7681" width="1.109375" style="15" customWidth="1"/>
    <col min="7682" max="7682" width="5.44140625" style="15" customWidth="1"/>
    <col min="7683" max="7683" width="10.21875" style="15" customWidth="1"/>
    <col min="7684" max="7684" width="55.88671875" style="15" customWidth="1"/>
    <col min="7685" max="7685" width="9.21875" style="15" customWidth="1"/>
    <col min="7686" max="7691" width="8.44140625" style="15" customWidth="1"/>
    <col min="7692" max="7692" width="16.44140625" style="15" customWidth="1"/>
    <col min="7693" max="7936" width="8.88671875" style="15"/>
    <col min="7937" max="7937" width="1.109375" style="15" customWidth="1"/>
    <col min="7938" max="7938" width="5.44140625" style="15" customWidth="1"/>
    <col min="7939" max="7939" width="10.21875" style="15" customWidth="1"/>
    <col min="7940" max="7940" width="55.88671875" style="15" customWidth="1"/>
    <col min="7941" max="7941" width="9.21875" style="15" customWidth="1"/>
    <col min="7942" max="7947" width="8.44140625" style="15" customWidth="1"/>
    <col min="7948" max="7948" width="16.44140625" style="15" customWidth="1"/>
    <col min="7949" max="8192" width="8.88671875" style="15"/>
    <col min="8193" max="8193" width="1.109375" style="15" customWidth="1"/>
    <col min="8194" max="8194" width="5.44140625" style="15" customWidth="1"/>
    <col min="8195" max="8195" width="10.21875" style="15" customWidth="1"/>
    <col min="8196" max="8196" width="55.88671875" style="15" customWidth="1"/>
    <col min="8197" max="8197" width="9.21875" style="15" customWidth="1"/>
    <col min="8198" max="8203" width="8.44140625" style="15" customWidth="1"/>
    <col min="8204" max="8204" width="16.44140625" style="15" customWidth="1"/>
    <col min="8205" max="8448" width="8.88671875" style="15"/>
    <col min="8449" max="8449" width="1.109375" style="15" customWidth="1"/>
    <col min="8450" max="8450" width="5.44140625" style="15" customWidth="1"/>
    <col min="8451" max="8451" width="10.21875" style="15" customWidth="1"/>
    <col min="8452" max="8452" width="55.88671875" style="15" customWidth="1"/>
    <col min="8453" max="8453" width="9.21875" style="15" customWidth="1"/>
    <col min="8454" max="8459" width="8.44140625" style="15" customWidth="1"/>
    <col min="8460" max="8460" width="16.44140625" style="15" customWidth="1"/>
    <col min="8461" max="8704" width="8.88671875" style="15"/>
    <col min="8705" max="8705" width="1.109375" style="15" customWidth="1"/>
    <col min="8706" max="8706" width="5.44140625" style="15" customWidth="1"/>
    <col min="8707" max="8707" width="10.21875" style="15" customWidth="1"/>
    <col min="8708" max="8708" width="55.88671875" style="15" customWidth="1"/>
    <col min="8709" max="8709" width="9.21875" style="15" customWidth="1"/>
    <col min="8710" max="8715" width="8.44140625" style="15" customWidth="1"/>
    <col min="8716" max="8716" width="16.44140625" style="15" customWidth="1"/>
    <col min="8717" max="8960" width="8.88671875" style="15"/>
    <col min="8961" max="8961" width="1.109375" style="15" customWidth="1"/>
    <col min="8962" max="8962" width="5.44140625" style="15" customWidth="1"/>
    <col min="8963" max="8963" width="10.21875" style="15" customWidth="1"/>
    <col min="8964" max="8964" width="55.88671875" style="15" customWidth="1"/>
    <col min="8965" max="8965" width="9.21875" style="15" customWidth="1"/>
    <col min="8966" max="8971" width="8.44140625" style="15" customWidth="1"/>
    <col min="8972" max="8972" width="16.44140625" style="15" customWidth="1"/>
    <col min="8973" max="9216" width="8.88671875" style="15"/>
    <col min="9217" max="9217" width="1.109375" style="15" customWidth="1"/>
    <col min="9218" max="9218" width="5.44140625" style="15" customWidth="1"/>
    <col min="9219" max="9219" width="10.21875" style="15" customWidth="1"/>
    <col min="9220" max="9220" width="55.88671875" style="15" customWidth="1"/>
    <col min="9221" max="9221" width="9.21875" style="15" customWidth="1"/>
    <col min="9222" max="9227" width="8.44140625" style="15" customWidth="1"/>
    <col min="9228" max="9228" width="16.44140625" style="15" customWidth="1"/>
    <col min="9229" max="9472" width="8.88671875" style="15"/>
    <col min="9473" max="9473" width="1.109375" style="15" customWidth="1"/>
    <col min="9474" max="9474" width="5.44140625" style="15" customWidth="1"/>
    <col min="9475" max="9475" width="10.21875" style="15" customWidth="1"/>
    <col min="9476" max="9476" width="55.88671875" style="15" customWidth="1"/>
    <col min="9477" max="9477" width="9.21875" style="15" customWidth="1"/>
    <col min="9478" max="9483" width="8.44140625" style="15" customWidth="1"/>
    <col min="9484" max="9484" width="16.44140625" style="15" customWidth="1"/>
    <col min="9485" max="9728" width="8.88671875" style="15"/>
    <col min="9729" max="9729" width="1.109375" style="15" customWidth="1"/>
    <col min="9730" max="9730" width="5.44140625" style="15" customWidth="1"/>
    <col min="9731" max="9731" width="10.21875" style="15" customWidth="1"/>
    <col min="9732" max="9732" width="55.88671875" style="15" customWidth="1"/>
    <col min="9733" max="9733" width="9.21875" style="15" customWidth="1"/>
    <col min="9734" max="9739" width="8.44140625" style="15" customWidth="1"/>
    <col min="9740" max="9740" width="16.44140625" style="15" customWidth="1"/>
    <col min="9741" max="9984" width="8.88671875" style="15"/>
    <col min="9985" max="9985" width="1.109375" style="15" customWidth="1"/>
    <col min="9986" max="9986" width="5.44140625" style="15" customWidth="1"/>
    <col min="9987" max="9987" width="10.21875" style="15" customWidth="1"/>
    <col min="9988" max="9988" width="55.88671875" style="15" customWidth="1"/>
    <col min="9989" max="9989" width="9.21875" style="15" customWidth="1"/>
    <col min="9990" max="9995" width="8.44140625" style="15" customWidth="1"/>
    <col min="9996" max="9996" width="16.44140625" style="15" customWidth="1"/>
    <col min="9997" max="10240" width="8.88671875" style="15"/>
    <col min="10241" max="10241" width="1.109375" style="15" customWidth="1"/>
    <col min="10242" max="10242" width="5.44140625" style="15" customWidth="1"/>
    <col min="10243" max="10243" width="10.21875" style="15" customWidth="1"/>
    <col min="10244" max="10244" width="55.88671875" style="15" customWidth="1"/>
    <col min="10245" max="10245" width="9.21875" style="15" customWidth="1"/>
    <col min="10246" max="10251" width="8.44140625" style="15" customWidth="1"/>
    <col min="10252" max="10252" width="16.44140625" style="15" customWidth="1"/>
    <col min="10253" max="10496" width="8.88671875" style="15"/>
    <col min="10497" max="10497" width="1.109375" style="15" customWidth="1"/>
    <col min="10498" max="10498" width="5.44140625" style="15" customWidth="1"/>
    <col min="10499" max="10499" width="10.21875" style="15" customWidth="1"/>
    <col min="10500" max="10500" width="55.88671875" style="15" customWidth="1"/>
    <col min="10501" max="10501" width="9.21875" style="15" customWidth="1"/>
    <col min="10502" max="10507" width="8.44140625" style="15" customWidth="1"/>
    <col min="10508" max="10508" width="16.44140625" style="15" customWidth="1"/>
    <col min="10509" max="10752" width="8.88671875" style="15"/>
    <col min="10753" max="10753" width="1.109375" style="15" customWidth="1"/>
    <col min="10754" max="10754" width="5.44140625" style="15" customWidth="1"/>
    <col min="10755" max="10755" width="10.21875" style="15" customWidth="1"/>
    <col min="10756" max="10756" width="55.88671875" style="15" customWidth="1"/>
    <col min="10757" max="10757" width="9.21875" style="15" customWidth="1"/>
    <col min="10758" max="10763" width="8.44140625" style="15" customWidth="1"/>
    <col min="10764" max="10764" width="16.44140625" style="15" customWidth="1"/>
    <col min="10765" max="11008" width="8.88671875" style="15"/>
    <col min="11009" max="11009" width="1.109375" style="15" customWidth="1"/>
    <col min="11010" max="11010" width="5.44140625" style="15" customWidth="1"/>
    <col min="11011" max="11011" width="10.21875" style="15" customWidth="1"/>
    <col min="11012" max="11012" width="55.88671875" style="15" customWidth="1"/>
    <col min="11013" max="11013" width="9.21875" style="15" customWidth="1"/>
    <col min="11014" max="11019" width="8.44140625" style="15" customWidth="1"/>
    <col min="11020" max="11020" width="16.44140625" style="15" customWidth="1"/>
    <col min="11021" max="11264" width="8.88671875" style="15"/>
    <col min="11265" max="11265" width="1.109375" style="15" customWidth="1"/>
    <col min="11266" max="11266" width="5.44140625" style="15" customWidth="1"/>
    <col min="11267" max="11267" width="10.21875" style="15" customWidth="1"/>
    <col min="11268" max="11268" width="55.88671875" style="15" customWidth="1"/>
    <col min="11269" max="11269" width="9.21875" style="15" customWidth="1"/>
    <col min="11270" max="11275" width="8.44140625" style="15" customWidth="1"/>
    <col min="11276" max="11276" width="16.44140625" style="15" customWidth="1"/>
    <col min="11277" max="11520" width="8.88671875" style="15"/>
    <col min="11521" max="11521" width="1.109375" style="15" customWidth="1"/>
    <col min="11522" max="11522" width="5.44140625" style="15" customWidth="1"/>
    <col min="11523" max="11523" width="10.21875" style="15" customWidth="1"/>
    <col min="11524" max="11524" width="55.88671875" style="15" customWidth="1"/>
    <col min="11525" max="11525" width="9.21875" style="15" customWidth="1"/>
    <col min="11526" max="11531" width="8.44140625" style="15" customWidth="1"/>
    <col min="11532" max="11532" width="16.44140625" style="15" customWidth="1"/>
    <col min="11533" max="11776" width="8.88671875" style="15"/>
    <col min="11777" max="11777" width="1.109375" style="15" customWidth="1"/>
    <col min="11778" max="11778" width="5.44140625" style="15" customWidth="1"/>
    <col min="11779" max="11779" width="10.21875" style="15" customWidth="1"/>
    <col min="11780" max="11780" width="55.88671875" style="15" customWidth="1"/>
    <col min="11781" max="11781" width="9.21875" style="15" customWidth="1"/>
    <col min="11782" max="11787" width="8.44140625" style="15" customWidth="1"/>
    <col min="11788" max="11788" width="16.44140625" style="15" customWidth="1"/>
    <col min="11789" max="12032" width="8.88671875" style="15"/>
    <col min="12033" max="12033" width="1.109375" style="15" customWidth="1"/>
    <col min="12034" max="12034" width="5.44140625" style="15" customWidth="1"/>
    <col min="12035" max="12035" width="10.21875" style="15" customWidth="1"/>
    <col min="12036" max="12036" width="55.88671875" style="15" customWidth="1"/>
    <col min="12037" max="12037" width="9.21875" style="15" customWidth="1"/>
    <col min="12038" max="12043" width="8.44140625" style="15" customWidth="1"/>
    <col min="12044" max="12044" width="16.44140625" style="15" customWidth="1"/>
    <col min="12045" max="12288" width="8.88671875" style="15"/>
    <col min="12289" max="12289" width="1.109375" style="15" customWidth="1"/>
    <col min="12290" max="12290" width="5.44140625" style="15" customWidth="1"/>
    <col min="12291" max="12291" width="10.21875" style="15" customWidth="1"/>
    <col min="12292" max="12292" width="55.88671875" style="15" customWidth="1"/>
    <col min="12293" max="12293" width="9.21875" style="15" customWidth="1"/>
    <col min="12294" max="12299" width="8.44140625" style="15" customWidth="1"/>
    <col min="12300" max="12300" width="16.44140625" style="15" customWidth="1"/>
    <col min="12301" max="12544" width="8.88671875" style="15"/>
    <col min="12545" max="12545" width="1.109375" style="15" customWidth="1"/>
    <col min="12546" max="12546" width="5.44140625" style="15" customWidth="1"/>
    <col min="12547" max="12547" width="10.21875" style="15" customWidth="1"/>
    <col min="12548" max="12548" width="55.88671875" style="15" customWidth="1"/>
    <col min="12549" max="12549" width="9.21875" style="15" customWidth="1"/>
    <col min="12550" max="12555" width="8.44140625" style="15" customWidth="1"/>
    <col min="12556" max="12556" width="16.44140625" style="15" customWidth="1"/>
    <col min="12557" max="12800" width="8.88671875" style="15"/>
    <col min="12801" max="12801" width="1.109375" style="15" customWidth="1"/>
    <col min="12802" max="12802" width="5.44140625" style="15" customWidth="1"/>
    <col min="12803" max="12803" width="10.21875" style="15" customWidth="1"/>
    <col min="12804" max="12804" width="55.88671875" style="15" customWidth="1"/>
    <col min="12805" max="12805" width="9.21875" style="15" customWidth="1"/>
    <col min="12806" max="12811" width="8.44140625" style="15" customWidth="1"/>
    <col min="12812" max="12812" width="16.44140625" style="15" customWidth="1"/>
    <col min="12813" max="13056" width="8.88671875" style="15"/>
    <col min="13057" max="13057" width="1.109375" style="15" customWidth="1"/>
    <col min="13058" max="13058" width="5.44140625" style="15" customWidth="1"/>
    <col min="13059" max="13059" width="10.21875" style="15" customWidth="1"/>
    <col min="13060" max="13060" width="55.88671875" style="15" customWidth="1"/>
    <col min="13061" max="13061" width="9.21875" style="15" customWidth="1"/>
    <col min="13062" max="13067" width="8.44140625" style="15" customWidth="1"/>
    <col min="13068" max="13068" width="16.44140625" style="15" customWidth="1"/>
    <col min="13069" max="13312" width="8.88671875" style="15"/>
    <col min="13313" max="13313" width="1.109375" style="15" customWidth="1"/>
    <col min="13314" max="13314" width="5.44140625" style="15" customWidth="1"/>
    <col min="13315" max="13315" width="10.21875" style="15" customWidth="1"/>
    <col min="13316" max="13316" width="55.88671875" style="15" customWidth="1"/>
    <col min="13317" max="13317" width="9.21875" style="15" customWidth="1"/>
    <col min="13318" max="13323" width="8.44140625" style="15" customWidth="1"/>
    <col min="13324" max="13324" width="16.44140625" style="15" customWidth="1"/>
    <col min="13325" max="13568" width="8.88671875" style="15"/>
    <col min="13569" max="13569" width="1.109375" style="15" customWidth="1"/>
    <col min="13570" max="13570" width="5.44140625" style="15" customWidth="1"/>
    <col min="13571" max="13571" width="10.21875" style="15" customWidth="1"/>
    <col min="13572" max="13572" width="55.88671875" style="15" customWidth="1"/>
    <col min="13573" max="13573" width="9.21875" style="15" customWidth="1"/>
    <col min="13574" max="13579" width="8.44140625" style="15" customWidth="1"/>
    <col min="13580" max="13580" width="16.44140625" style="15" customWidth="1"/>
    <col min="13581" max="13824" width="8.88671875" style="15"/>
    <col min="13825" max="13825" width="1.109375" style="15" customWidth="1"/>
    <col min="13826" max="13826" width="5.44140625" style="15" customWidth="1"/>
    <col min="13827" max="13827" width="10.21875" style="15" customWidth="1"/>
    <col min="13828" max="13828" width="55.88671875" style="15" customWidth="1"/>
    <col min="13829" max="13829" width="9.21875" style="15" customWidth="1"/>
    <col min="13830" max="13835" width="8.44140625" style="15" customWidth="1"/>
    <col min="13836" max="13836" width="16.44140625" style="15" customWidth="1"/>
    <col min="13837" max="14080" width="8.88671875" style="15"/>
    <col min="14081" max="14081" width="1.109375" style="15" customWidth="1"/>
    <col min="14082" max="14082" width="5.44140625" style="15" customWidth="1"/>
    <col min="14083" max="14083" width="10.21875" style="15" customWidth="1"/>
    <col min="14084" max="14084" width="55.88671875" style="15" customWidth="1"/>
    <col min="14085" max="14085" width="9.21875" style="15" customWidth="1"/>
    <col min="14086" max="14091" width="8.44140625" style="15" customWidth="1"/>
    <col min="14092" max="14092" width="16.44140625" style="15" customWidth="1"/>
    <col min="14093" max="14336" width="8.88671875" style="15"/>
    <col min="14337" max="14337" width="1.109375" style="15" customWidth="1"/>
    <col min="14338" max="14338" width="5.44140625" style="15" customWidth="1"/>
    <col min="14339" max="14339" width="10.21875" style="15" customWidth="1"/>
    <col min="14340" max="14340" width="55.88671875" style="15" customWidth="1"/>
    <col min="14341" max="14341" width="9.21875" style="15" customWidth="1"/>
    <col min="14342" max="14347" width="8.44140625" style="15" customWidth="1"/>
    <col min="14348" max="14348" width="16.44140625" style="15" customWidth="1"/>
    <col min="14349" max="14592" width="8.88671875" style="15"/>
    <col min="14593" max="14593" width="1.109375" style="15" customWidth="1"/>
    <col min="14594" max="14594" width="5.44140625" style="15" customWidth="1"/>
    <col min="14595" max="14595" width="10.21875" style="15" customWidth="1"/>
    <col min="14596" max="14596" width="55.88671875" style="15" customWidth="1"/>
    <col min="14597" max="14597" width="9.21875" style="15" customWidth="1"/>
    <col min="14598" max="14603" width="8.44140625" style="15" customWidth="1"/>
    <col min="14604" max="14604" width="16.44140625" style="15" customWidth="1"/>
    <col min="14605" max="14848" width="8.88671875" style="15"/>
    <col min="14849" max="14849" width="1.109375" style="15" customWidth="1"/>
    <col min="14850" max="14850" width="5.44140625" style="15" customWidth="1"/>
    <col min="14851" max="14851" width="10.21875" style="15" customWidth="1"/>
    <col min="14852" max="14852" width="55.88671875" style="15" customWidth="1"/>
    <col min="14853" max="14853" width="9.21875" style="15" customWidth="1"/>
    <col min="14854" max="14859" width="8.44140625" style="15" customWidth="1"/>
    <col min="14860" max="14860" width="16.44140625" style="15" customWidth="1"/>
    <col min="14861" max="15104" width="8.88671875" style="15"/>
    <col min="15105" max="15105" width="1.109375" style="15" customWidth="1"/>
    <col min="15106" max="15106" width="5.44140625" style="15" customWidth="1"/>
    <col min="15107" max="15107" width="10.21875" style="15" customWidth="1"/>
    <col min="15108" max="15108" width="55.88671875" style="15" customWidth="1"/>
    <col min="15109" max="15109" width="9.21875" style="15" customWidth="1"/>
    <col min="15110" max="15115" width="8.44140625" style="15" customWidth="1"/>
    <col min="15116" max="15116" width="16.44140625" style="15" customWidth="1"/>
    <col min="15117" max="15360" width="8.88671875" style="15"/>
    <col min="15361" max="15361" width="1.109375" style="15" customWidth="1"/>
    <col min="15362" max="15362" width="5.44140625" style="15" customWidth="1"/>
    <col min="15363" max="15363" width="10.21875" style="15" customWidth="1"/>
    <col min="15364" max="15364" width="55.88671875" style="15" customWidth="1"/>
    <col min="15365" max="15365" width="9.21875" style="15" customWidth="1"/>
    <col min="15366" max="15371" width="8.44140625" style="15" customWidth="1"/>
    <col min="15372" max="15372" width="16.44140625" style="15" customWidth="1"/>
    <col min="15373" max="15616" width="8.88671875" style="15"/>
    <col min="15617" max="15617" width="1.109375" style="15" customWidth="1"/>
    <col min="15618" max="15618" width="5.44140625" style="15" customWidth="1"/>
    <col min="15619" max="15619" width="10.21875" style="15" customWidth="1"/>
    <col min="15620" max="15620" width="55.88671875" style="15" customWidth="1"/>
    <col min="15621" max="15621" width="9.21875" style="15" customWidth="1"/>
    <col min="15622" max="15627" width="8.44140625" style="15" customWidth="1"/>
    <col min="15628" max="15628" width="16.44140625" style="15" customWidth="1"/>
    <col min="15629" max="15872" width="8.88671875" style="15"/>
    <col min="15873" max="15873" width="1.109375" style="15" customWidth="1"/>
    <col min="15874" max="15874" width="5.44140625" style="15" customWidth="1"/>
    <col min="15875" max="15875" width="10.21875" style="15" customWidth="1"/>
    <col min="15876" max="15876" width="55.88671875" style="15" customWidth="1"/>
    <col min="15877" max="15877" width="9.21875" style="15" customWidth="1"/>
    <col min="15878" max="15883" width="8.44140625" style="15" customWidth="1"/>
    <col min="15884" max="15884" width="16.44140625" style="15" customWidth="1"/>
    <col min="15885" max="16128" width="8.88671875" style="15"/>
    <col min="16129" max="16129" width="1.109375" style="15" customWidth="1"/>
    <col min="16130" max="16130" width="5.44140625" style="15" customWidth="1"/>
    <col min="16131" max="16131" width="10.21875" style="15" customWidth="1"/>
    <col min="16132" max="16132" width="55.88671875" style="15" customWidth="1"/>
    <col min="16133" max="16133" width="9.21875" style="15" customWidth="1"/>
    <col min="16134" max="16139" width="8.44140625" style="15" customWidth="1"/>
    <col min="16140" max="16140" width="16.44140625" style="15" customWidth="1"/>
    <col min="16141" max="16384" width="8.88671875" style="15"/>
  </cols>
  <sheetData>
    <row r="2" spans="2:13">
      <c r="B2" s="100" t="s">
        <v>302</v>
      </c>
      <c r="E2" s="28" t="s">
        <v>337</v>
      </c>
    </row>
    <row r="3" spans="2:13">
      <c r="B3" s="100"/>
    </row>
    <row r="4" spans="2:13">
      <c r="B4" s="78" t="s">
        <v>303</v>
      </c>
    </row>
    <row r="5" spans="2:13" ht="13.5" thickBot="1"/>
    <row r="6" spans="2:13" s="78" customFormat="1" ht="13.9" customHeight="1">
      <c r="B6" s="303" t="s">
        <v>324</v>
      </c>
      <c r="C6" s="304"/>
      <c r="D6" s="307" t="s">
        <v>432</v>
      </c>
      <c r="E6" s="309" t="s">
        <v>304</v>
      </c>
      <c r="F6" s="310"/>
      <c r="G6" s="313" t="s">
        <v>437</v>
      </c>
      <c r="H6" s="314"/>
      <c r="I6" s="314"/>
      <c r="J6" s="314"/>
      <c r="K6" s="315"/>
      <c r="L6" s="15"/>
    </row>
    <row r="7" spans="2:13" s="78" customFormat="1" ht="14.25" customHeight="1" thickBot="1">
      <c r="B7" s="305"/>
      <c r="C7" s="306"/>
      <c r="D7" s="308"/>
      <c r="E7" s="311"/>
      <c r="F7" s="312"/>
      <c r="G7" s="316"/>
      <c r="H7" s="317"/>
      <c r="I7" s="317"/>
      <c r="J7" s="317"/>
      <c r="K7" s="318"/>
      <c r="L7" s="15"/>
    </row>
    <row r="8" spans="2:13" s="78" customFormat="1" ht="14.25" customHeight="1" thickBot="1">
      <c r="B8" s="319" t="s">
        <v>325</v>
      </c>
      <c r="C8" s="320"/>
      <c r="D8" s="122" t="s">
        <v>426</v>
      </c>
      <c r="E8" s="309" t="s">
        <v>305</v>
      </c>
      <c r="F8" s="310"/>
      <c r="G8" s="321" t="s">
        <v>435</v>
      </c>
      <c r="H8" s="322"/>
      <c r="I8" s="322"/>
      <c r="J8" s="322"/>
      <c r="K8" s="323"/>
      <c r="L8" s="15"/>
    </row>
    <row r="9" spans="2:13" s="78" customFormat="1" ht="14.25" customHeight="1" thickBot="1">
      <c r="B9" s="319" t="s">
        <v>326</v>
      </c>
      <c r="C9" s="320"/>
      <c r="D9" s="123" t="s">
        <v>434</v>
      </c>
      <c r="E9" s="311"/>
      <c r="F9" s="312"/>
      <c r="G9" s="324"/>
      <c r="H9" s="325"/>
      <c r="I9" s="325"/>
      <c r="J9" s="325"/>
      <c r="K9" s="326"/>
      <c r="L9" s="15"/>
    </row>
    <row r="10" spans="2:13" s="78" customFormat="1" ht="13.5" thickBot="1">
      <c r="B10" s="101"/>
      <c r="D10" s="101"/>
      <c r="E10" s="101"/>
      <c r="F10" s="15"/>
      <c r="G10" s="77"/>
      <c r="H10" s="102"/>
      <c r="I10" s="103"/>
      <c r="J10" s="104"/>
      <c r="K10" s="103"/>
      <c r="L10" s="103"/>
      <c r="M10" s="15"/>
    </row>
    <row r="11" spans="2:13" ht="26.25" thickBot="1">
      <c r="B11" s="79" t="s">
        <v>327</v>
      </c>
      <c r="C11" s="327" t="s">
        <v>328</v>
      </c>
      <c r="D11" s="328"/>
      <c r="E11" s="80" t="s">
        <v>306</v>
      </c>
      <c r="F11" s="81" t="s">
        <v>329</v>
      </c>
      <c r="G11" s="82" t="s">
        <v>330</v>
      </c>
      <c r="H11" s="83" t="s">
        <v>331</v>
      </c>
      <c r="I11" s="84" t="s">
        <v>332</v>
      </c>
      <c r="J11" s="85" t="s">
        <v>330</v>
      </c>
      <c r="K11" s="86" t="s">
        <v>331</v>
      </c>
      <c r="L11" s="80" t="s">
        <v>333</v>
      </c>
    </row>
    <row r="12" spans="2:13" ht="13.5" thickBot="1">
      <c r="B12" s="329" t="s">
        <v>307</v>
      </c>
      <c r="C12" s="330"/>
      <c r="D12" s="330"/>
      <c r="E12" s="330"/>
      <c r="F12" s="330"/>
      <c r="G12" s="330"/>
      <c r="H12" s="330"/>
      <c r="I12" s="330"/>
      <c r="J12" s="330"/>
      <c r="K12" s="330"/>
      <c r="L12" s="331"/>
    </row>
    <row r="13" spans="2:13" ht="12" customHeight="1">
      <c r="B13" s="332" t="s">
        <v>308</v>
      </c>
      <c r="C13" s="333"/>
      <c r="D13" s="333"/>
      <c r="E13" s="333"/>
      <c r="F13" s="333"/>
      <c r="G13" s="333"/>
      <c r="H13" s="333"/>
      <c r="I13" s="333"/>
      <c r="J13" s="333"/>
      <c r="K13" s="333"/>
      <c r="L13" s="334"/>
    </row>
    <row r="14" spans="2:13" ht="12" customHeight="1">
      <c r="B14" s="105">
        <v>1</v>
      </c>
      <c r="C14" s="335" t="s">
        <v>309</v>
      </c>
      <c r="D14" s="336"/>
      <c r="E14" s="87" t="s">
        <v>310</v>
      </c>
      <c r="F14" s="105" t="s">
        <v>311</v>
      </c>
      <c r="G14" s="106" t="s">
        <v>437</v>
      </c>
      <c r="H14" s="107" t="s">
        <v>429</v>
      </c>
      <c r="I14" s="105" t="s">
        <v>311</v>
      </c>
      <c r="J14" s="106" t="s">
        <v>437</v>
      </c>
      <c r="K14" s="107" t="s">
        <v>435</v>
      </c>
      <c r="L14" s="88"/>
    </row>
    <row r="15" spans="2:13" ht="25.5" customHeight="1">
      <c r="B15" s="105">
        <v>2</v>
      </c>
      <c r="C15" s="335" t="s">
        <v>312</v>
      </c>
      <c r="D15" s="336"/>
      <c r="E15" s="87" t="s">
        <v>313</v>
      </c>
      <c r="F15" s="105" t="s">
        <v>311</v>
      </c>
      <c r="G15" s="106" t="s">
        <v>437</v>
      </c>
      <c r="H15" s="107" t="s">
        <v>429</v>
      </c>
      <c r="I15" s="105" t="s">
        <v>311</v>
      </c>
      <c r="J15" s="106" t="s">
        <v>437</v>
      </c>
      <c r="K15" s="107" t="s">
        <v>435</v>
      </c>
      <c r="L15" s="88"/>
    </row>
    <row r="16" spans="2:13">
      <c r="B16" s="105">
        <v>3</v>
      </c>
      <c r="C16" s="300" t="s">
        <v>314</v>
      </c>
      <c r="D16" s="299"/>
      <c r="E16" s="87" t="s">
        <v>313</v>
      </c>
      <c r="F16" s="105" t="s">
        <v>311</v>
      </c>
      <c r="G16" s="106" t="s">
        <v>437</v>
      </c>
      <c r="H16" s="107" t="s">
        <v>429</v>
      </c>
      <c r="I16" s="105" t="s">
        <v>311</v>
      </c>
      <c r="J16" s="106" t="s">
        <v>437</v>
      </c>
      <c r="K16" s="107" t="s">
        <v>435</v>
      </c>
      <c r="L16" s="88"/>
    </row>
    <row r="17" spans="2:12">
      <c r="B17" s="105">
        <v>4</v>
      </c>
      <c r="C17" s="234" t="s">
        <v>315</v>
      </c>
      <c r="D17" s="234"/>
      <c r="E17" s="87" t="s">
        <v>313</v>
      </c>
      <c r="F17" s="105" t="s">
        <v>311</v>
      </c>
      <c r="G17" s="106" t="s">
        <v>437</v>
      </c>
      <c r="H17" s="107" t="s">
        <v>429</v>
      </c>
      <c r="I17" s="105" t="s">
        <v>311</v>
      </c>
      <c r="J17" s="106" t="s">
        <v>437</v>
      </c>
      <c r="K17" s="107" t="s">
        <v>435</v>
      </c>
      <c r="L17" s="88"/>
    </row>
    <row r="18" spans="2:12">
      <c r="B18" s="105">
        <v>5</v>
      </c>
      <c r="C18" s="234" t="s">
        <v>316</v>
      </c>
      <c r="D18" s="234"/>
      <c r="E18" s="87" t="s">
        <v>313</v>
      </c>
      <c r="F18" s="105" t="s">
        <v>311</v>
      </c>
      <c r="G18" s="106" t="s">
        <v>437</v>
      </c>
      <c r="H18" s="107" t="s">
        <v>429</v>
      </c>
      <c r="I18" s="105" t="s">
        <v>311</v>
      </c>
      <c r="J18" s="106" t="s">
        <v>437</v>
      </c>
      <c r="K18" s="107" t="s">
        <v>435</v>
      </c>
      <c r="L18" s="88"/>
    </row>
    <row r="19" spans="2:12" ht="60" customHeight="1">
      <c r="B19" s="105">
        <v>6</v>
      </c>
      <c r="C19" s="233" t="s">
        <v>336</v>
      </c>
      <c r="D19" s="299"/>
      <c r="E19" s="87" t="s">
        <v>313</v>
      </c>
      <c r="F19" s="105" t="s">
        <v>311</v>
      </c>
      <c r="G19" s="106" t="s">
        <v>437</v>
      </c>
      <c r="H19" s="107" t="s">
        <v>429</v>
      </c>
      <c r="I19" s="105" t="s">
        <v>311</v>
      </c>
      <c r="J19" s="106" t="s">
        <v>437</v>
      </c>
      <c r="K19" s="107" t="s">
        <v>435</v>
      </c>
      <c r="L19" s="88"/>
    </row>
    <row r="20" spans="2:12">
      <c r="B20" s="105">
        <v>7</v>
      </c>
      <c r="C20" s="300" t="s">
        <v>317</v>
      </c>
      <c r="D20" s="299"/>
      <c r="E20" s="87" t="s">
        <v>318</v>
      </c>
      <c r="F20" s="105" t="s">
        <v>311</v>
      </c>
      <c r="G20" s="106" t="s">
        <v>437</v>
      </c>
      <c r="H20" s="107" t="s">
        <v>429</v>
      </c>
      <c r="I20" s="105" t="s">
        <v>311</v>
      </c>
      <c r="J20" s="106" t="s">
        <v>437</v>
      </c>
      <c r="K20" s="107" t="s">
        <v>435</v>
      </c>
      <c r="L20" s="88"/>
    </row>
    <row r="21" spans="2:12">
      <c r="B21" s="108">
        <v>8</v>
      </c>
      <c r="C21" s="301" t="s">
        <v>338</v>
      </c>
      <c r="D21" s="302"/>
      <c r="E21" s="109" t="s">
        <v>318</v>
      </c>
      <c r="F21" s="105" t="s">
        <v>311</v>
      </c>
      <c r="G21" s="106" t="s">
        <v>437</v>
      </c>
      <c r="H21" s="107" t="s">
        <v>429</v>
      </c>
      <c r="I21" s="105" t="s">
        <v>311</v>
      </c>
      <c r="J21" s="106" t="s">
        <v>437</v>
      </c>
      <c r="K21" s="107" t="s">
        <v>435</v>
      </c>
      <c r="L21" s="110"/>
    </row>
    <row r="22" spans="2:12">
      <c r="B22" s="111" t="s">
        <v>319</v>
      </c>
      <c r="C22" s="112"/>
      <c r="D22" s="112"/>
      <c r="E22" s="112"/>
      <c r="F22" s="112"/>
      <c r="G22" s="89"/>
      <c r="H22" s="112"/>
      <c r="I22" s="112"/>
      <c r="J22" s="89"/>
      <c r="K22" s="112"/>
      <c r="L22" s="113"/>
    </row>
    <row r="23" spans="2:12">
      <c r="B23" s="105">
        <v>1</v>
      </c>
      <c r="C23" s="300" t="s">
        <v>320</v>
      </c>
      <c r="D23" s="299"/>
      <c r="E23" s="87" t="s">
        <v>313</v>
      </c>
      <c r="F23" s="105" t="s">
        <v>311</v>
      </c>
      <c r="G23" s="106" t="s">
        <v>437</v>
      </c>
      <c r="H23" s="107" t="s">
        <v>429</v>
      </c>
      <c r="I23" s="105" t="s">
        <v>311</v>
      </c>
      <c r="J23" s="106" t="s">
        <v>437</v>
      </c>
      <c r="K23" s="107" t="s">
        <v>435</v>
      </c>
      <c r="L23" s="88"/>
    </row>
    <row r="24" spans="2:12" ht="13.5" thickBot="1">
      <c r="B24" s="114">
        <v>2</v>
      </c>
      <c r="C24" s="297" t="s">
        <v>321</v>
      </c>
      <c r="D24" s="298"/>
      <c r="E24" s="115" t="s">
        <v>313</v>
      </c>
      <c r="F24" s="114" t="s">
        <v>311</v>
      </c>
      <c r="G24" s="116" t="s">
        <v>437</v>
      </c>
      <c r="H24" s="117" t="s">
        <v>429</v>
      </c>
      <c r="I24" s="114" t="s">
        <v>311</v>
      </c>
      <c r="J24" s="116" t="s">
        <v>437</v>
      </c>
      <c r="K24" s="117" t="s">
        <v>435</v>
      </c>
      <c r="L24" s="90"/>
    </row>
    <row r="26" spans="2:12">
      <c r="B26" s="78" t="s">
        <v>334</v>
      </c>
      <c r="C26" s="78"/>
      <c r="D26" s="91"/>
      <c r="E26" s="91"/>
      <c r="F26" s="92"/>
      <c r="G26" s="93"/>
      <c r="H26" s="94"/>
      <c r="I26" s="94"/>
      <c r="J26" s="93"/>
      <c r="K26" s="94"/>
      <c r="L26" s="95"/>
    </row>
    <row r="27" spans="2:12">
      <c r="B27" s="78" t="s">
        <v>322</v>
      </c>
      <c r="C27" s="78"/>
      <c r="D27" s="91"/>
      <c r="E27" s="91"/>
      <c r="F27" s="92"/>
      <c r="G27" s="93"/>
      <c r="H27" s="94"/>
      <c r="I27" s="94"/>
      <c r="J27" s="93"/>
      <c r="K27" s="94"/>
      <c r="L27" s="94"/>
    </row>
    <row r="28" spans="2:12">
      <c r="B28" s="78"/>
      <c r="C28" s="78"/>
      <c r="D28" s="91"/>
      <c r="E28" s="91"/>
      <c r="F28" s="92"/>
      <c r="G28" s="93"/>
      <c r="H28" s="94"/>
      <c r="I28" s="94"/>
      <c r="J28" s="93"/>
      <c r="K28" s="94"/>
      <c r="L28" s="94"/>
    </row>
  </sheetData>
  <dataConsolidate/>
  <mergeCells count="21">
    <mergeCell ref="C16:D16"/>
    <mergeCell ref="B6:C7"/>
    <mergeCell ref="D6:D7"/>
    <mergeCell ref="E6:F7"/>
    <mergeCell ref="G6:K7"/>
    <mergeCell ref="B8:C8"/>
    <mergeCell ref="E8:F9"/>
    <mergeCell ref="G8:K9"/>
    <mergeCell ref="B9:C9"/>
    <mergeCell ref="C11:D11"/>
    <mergeCell ref="B12:L12"/>
    <mergeCell ref="B13:L13"/>
    <mergeCell ref="C14:D14"/>
    <mergeCell ref="C15:D15"/>
    <mergeCell ref="C24:D24"/>
    <mergeCell ref="C17:D17"/>
    <mergeCell ref="C18:D18"/>
    <mergeCell ref="C19:D19"/>
    <mergeCell ref="C20:D20"/>
    <mergeCell ref="C21:D21"/>
    <mergeCell ref="C23:D23"/>
  </mergeCells>
  <conditionalFormatting sqref="F14:K14 F21 F15:G15 F16:F19 H15:H21 J16 J18 J20 G16:H21 K15:K21 F23:K24">
    <cfRule type="containsBlanks" dxfId="32" priority="4" stopIfTrue="1">
      <formula>LEN(TRIM(F14))=0</formula>
    </cfRule>
  </conditionalFormatting>
  <conditionalFormatting sqref="F20">
    <cfRule type="containsBlanks" dxfId="31" priority="3" stopIfTrue="1">
      <formula>LEN(TRIM(F20))=0</formula>
    </cfRule>
  </conditionalFormatting>
  <conditionalFormatting sqref="I15:I21">
    <cfRule type="containsBlanks" dxfId="30" priority="2" stopIfTrue="1">
      <formula>LEN(TRIM(I15))=0</formula>
    </cfRule>
  </conditionalFormatting>
  <conditionalFormatting sqref="J15 J17 J19 J21">
    <cfRule type="containsBlanks" dxfId="29" priority="1" stopIfTrue="1">
      <formula>LEN(TRIM(J15))=0</formula>
    </cfRule>
  </conditionalFormatting>
  <dataValidations count="2">
    <dataValidation type="list" showInputMessage="1" showErrorMessage="1" sqref="I14:I21 JE23:JE24 TA23:TA24 ACW23:ACW24 AMS23:AMS24 AWO23:AWO24 BGK23:BGK24 BQG23:BQG24 CAC23:CAC24 CJY23:CJY24 CTU23:CTU24 DDQ23:DDQ24 DNM23:DNM24 DXI23:DXI24 EHE23:EHE24 ERA23:ERA24 FAW23:FAW24 FKS23:FKS24 FUO23:FUO24 GEK23:GEK24 GOG23:GOG24 GYC23:GYC24 HHY23:HHY24 HRU23:HRU24 IBQ23:IBQ24 ILM23:ILM24 IVI23:IVI24 JFE23:JFE24 JPA23:JPA24 JYW23:JYW24 KIS23:KIS24 KSO23:KSO24 LCK23:LCK24 LMG23:LMG24 LWC23:LWC24 MFY23:MFY24 MPU23:MPU24 MZQ23:MZQ24 NJM23:NJM24 NTI23:NTI24 ODE23:ODE24 ONA23:ONA24 OWW23:OWW24 PGS23:PGS24 PQO23:PQO24 QAK23:QAK24 QKG23:QKG24 QUC23:QUC24 RDY23:RDY24 RNU23:RNU24 RXQ23:RXQ24 SHM23:SHM24 SRI23:SRI24 TBE23:TBE24 TLA23:TLA24 TUW23:TUW24 UES23:UES24 UOO23:UOO24 UYK23:UYK24 VIG23:VIG24 VSC23:VSC24 WBY23:WBY24 WLU23:WLU24 WVQ23:WVQ24 I65559:I65560 JE65559:JE65560 TA65559:TA65560 ACW65559:ACW65560 AMS65559:AMS65560 AWO65559:AWO65560 BGK65559:BGK65560 BQG65559:BQG65560 CAC65559:CAC65560 CJY65559:CJY65560 CTU65559:CTU65560 DDQ65559:DDQ65560 DNM65559:DNM65560 DXI65559:DXI65560 EHE65559:EHE65560 ERA65559:ERA65560 FAW65559:FAW65560 FKS65559:FKS65560 FUO65559:FUO65560 GEK65559:GEK65560 GOG65559:GOG65560 GYC65559:GYC65560 HHY65559:HHY65560 HRU65559:HRU65560 IBQ65559:IBQ65560 ILM65559:ILM65560 IVI65559:IVI65560 JFE65559:JFE65560 JPA65559:JPA65560 JYW65559:JYW65560 KIS65559:KIS65560 KSO65559:KSO65560 LCK65559:LCK65560 LMG65559:LMG65560 LWC65559:LWC65560 MFY65559:MFY65560 MPU65559:MPU65560 MZQ65559:MZQ65560 NJM65559:NJM65560 NTI65559:NTI65560 ODE65559:ODE65560 ONA65559:ONA65560 OWW65559:OWW65560 PGS65559:PGS65560 PQO65559:PQO65560 QAK65559:QAK65560 QKG65559:QKG65560 QUC65559:QUC65560 RDY65559:RDY65560 RNU65559:RNU65560 RXQ65559:RXQ65560 SHM65559:SHM65560 SRI65559:SRI65560 TBE65559:TBE65560 TLA65559:TLA65560 TUW65559:TUW65560 UES65559:UES65560 UOO65559:UOO65560 UYK65559:UYK65560 VIG65559:VIG65560 VSC65559:VSC65560 WBY65559:WBY65560 WLU65559:WLU65560 WVQ65559:WVQ65560 I131095:I131096 JE131095:JE131096 TA131095:TA131096 ACW131095:ACW131096 AMS131095:AMS131096 AWO131095:AWO131096 BGK131095:BGK131096 BQG131095:BQG131096 CAC131095:CAC131096 CJY131095:CJY131096 CTU131095:CTU131096 DDQ131095:DDQ131096 DNM131095:DNM131096 DXI131095:DXI131096 EHE131095:EHE131096 ERA131095:ERA131096 FAW131095:FAW131096 FKS131095:FKS131096 FUO131095:FUO131096 GEK131095:GEK131096 GOG131095:GOG131096 GYC131095:GYC131096 HHY131095:HHY131096 HRU131095:HRU131096 IBQ131095:IBQ131096 ILM131095:ILM131096 IVI131095:IVI131096 JFE131095:JFE131096 JPA131095:JPA131096 JYW131095:JYW131096 KIS131095:KIS131096 KSO131095:KSO131096 LCK131095:LCK131096 LMG131095:LMG131096 LWC131095:LWC131096 MFY131095:MFY131096 MPU131095:MPU131096 MZQ131095:MZQ131096 NJM131095:NJM131096 NTI131095:NTI131096 ODE131095:ODE131096 ONA131095:ONA131096 OWW131095:OWW131096 PGS131095:PGS131096 PQO131095:PQO131096 QAK131095:QAK131096 QKG131095:QKG131096 QUC131095:QUC131096 RDY131095:RDY131096 RNU131095:RNU131096 RXQ131095:RXQ131096 SHM131095:SHM131096 SRI131095:SRI131096 TBE131095:TBE131096 TLA131095:TLA131096 TUW131095:TUW131096 UES131095:UES131096 UOO131095:UOO131096 UYK131095:UYK131096 VIG131095:VIG131096 VSC131095:VSC131096 WBY131095:WBY131096 WLU131095:WLU131096 WVQ131095:WVQ131096 I196631:I196632 JE196631:JE196632 TA196631:TA196632 ACW196631:ACW196632 AMS196631:AMS196632 AWO196631:AWO196632 BGK196631:BGK196632 BQG196631:BQG196632 CAC196631:CAC196632 CJY196631:CJY196632 CTU196631:CTU196632 DDQ196631:DDQ196632 DNM196631:DNM196632 DXI196631:DXI196632 EHE196631:EHE196632 ERA196631:ERA196632 FAW196631:FAW196632 FKS196631:FKS196632 FUO196631:FUO196632 GEK196631:GEK196632 GOG196631:GOG196632 GYC196631:GYC196632 HHY196631:HHY196632 HRU196631:HRU196632 IBQ196631:IBQ196632 ILM196631:ILM196632 IVI196631:IVI196632 JFE196631:JFE196632 JPA196631:JPA196632 JYW196631:JYW196632 KIS196631:KIS196632 KSO196631:KSO196632 LCK196631:LCK196632 LMG196631:LMG196632 LWC196631:LWC196632 MFY196631:MFY196632 MPU196631:MPU196632 MZQ196631:MZQ196632 NJM196631:NJM196632 NTI196631:NTI196632 ODE196631:ODE196632 ONA196631:ONA196632 OWW196631:OWW196632 PGS196631:PGS196632 PQO196631:PQO196632 QAK196631:QAK196632 QKG196631:QKG196632 QUC196631:QUC196632 RDY196631:RDY196632 RNU196631:RNU196632 RXQ196631:RXQ196632 SHM196631:SHM196632 SRI196631:SRI196632 TBE196631:TBE196632 TLA196631:TLA196632 TUW196631:TUW196632 UES196631:UES196632 UOO196631:UOO196632 UYK196631:UYK196632 VIG196631:VIG196632 VSC196631:VSC196632 WBY196631:WBY196632 WLU196631:WLU196632 WVQ196631:WVQ196632 I262167:I262168 JE262167:JE262168 TA262167:TA262168 ACW262167:ACW262168 AMS262167:AMS262168 AWO262167:AWO262168 BGK262167:BGK262168 BQG262167:BQG262168 CAC262167:CAC262168 CJY262167:CJY262168 CTU262167:CTU262168 DDQ262167:DDQ262168 DNM262167:DNM262168 DXI262167:DXI262168 EHE262167:EHE262168 ERA262167:ERA262168 FAW262167:FAW262168 FKS262167:FKS262168 FUO262167:FUO262168 GEK262167:GEK262168 GOG262167:GOG262168 GYC262167:GYC262168 HHY262167:HHY262168 HRU262167:HRU262168 IBQ262167:IBQ262168 ILM262167:ILM262168 IVI262167:IVI262168 JFE262167:JFE262168 JPA262167:JPA262168 JYW262167:JYW262168 KIS262167:KIS262168 KSO262167:KSO262168 LCK262167:LCK262168 LMG262167:LMG262168 LWC262167:LWC262168 MFY262167:MFY262168 MPU262167:MPU262168 MZQ262167:MZQ262168 NJM262167:NJM262168 NTI262167:NTI262168 ODE262167:ODE262168 ONA262167:ONA262168 OWW262167:OWW262168 PGS262167:PGS262168 PQO262167:PQO262168 QAK262167:QAK262168 QKG262167:QKG262168 QUC262167:QUC262168 RDY262167:RDY262168 RNU262167:RNU262168 RXQ262167:RXQ262168 SHM262167:SHM262168 SRI262167:SRI262168 TBE262167:TBE262168 TLA262167:TLA262168 TUW262167:TUW262168 UES262167:UES262168 UOO262167:UOO262168 UYK262167:UYK262168 VIG262167:VIG262168 VSC262167:VSC262168 WBY262167:WBY262168 WLU262167:WLU262168 WVQ262167:WVQ262168 I327703:I327704 JE327703:JE327704 TA327703:TA327704 ACW327703:ACW327704 AMS327703:AMS327704 AWO327703:AWO327704 BGK327703:BGK327704 BQG327703:BQG327704 CAC327703:CAC327704 CJY327703:CJY327704 CTU327703:CTU327704 DDQ327703:DDQ327704 DNM327703:DNM327704 DXI327703:DXI327704 EHE327703:EHE327704 ERA327703:ERA327704 FAW327703:FAW327704 FKS327703:FKS327704 FUO327703:FUO327704 GEK327703:GEK327704 GOG327703:GOG327704 GYC327703:GYC327704 HHY327703:HHY327704 HRU327703:HRU327704 IBQ327703:IBQ327704 ILM327703:ILM327704 IVI327703:IVI327704 JFE327703:JFE327704 JPA327703:JPA327704 JYW327703:JYW327704 KIS327703:KIS327704 KSO327703:KSO327704 LCK327703:LCK327704 LMG327703:LMG327704 LWC327703:LWC327704 MFY327703:MFY327704 MPU327703:MPU327704 MZQ327703:MZQ327704 NJM327703:NJM327704 NTI327703:NTI327704 ODE327703:ODE327704 ONA327703:ONA327704 OWW327703:OWW327704 PGS327703:PGS327704 PQO327703:PQO327704 QAK327703:QAK327704 QKG327703:QKG327704 QUC327703:QUC327704 RDY327703:RDY327704 RNU327703:RNU327704 RXQ327703:RXQ327704 SHM327703:SHM327704 SRI327703:SRI327704 TBE327703:TBE327704 TLA327703:TLA327704 TUW327703:TUW327704 UES327703:UES327704 UOO327703:UOO327704 UYK327703:UYK327704 VIG327703:VIG327704 VSC327703:VSC327704 WBY327703:WBY327704 WLU327703:WLU327704 WVQ327703:WVQ327704 I393239:I393240 JE393239:JE393240 TA393239:TA393240 ACW393239:ACW393240 AMS393239:AMS393240 AWO393239:AWO393240 BGK393239:BGK393240 BQG393239:BQG393240 CAC393239:CAC393240 CJY393239:CJY393240 CTU393239:CTU393240 DDQ393239:DDQ393240 DNM393239:DNM393240 DXI393239:DXI393240 EHE393239:EHE393240 ERA393239:ERA393240 FAW393239:FAW393240 FKS393239:FKS393240 FUO393239:FUO393240 GEK393239:GEK393240 GOG393239:GOG393240 GYC393239:GYC393240 HHY393239:HHY393240 HRU393239:HRU393240 IBQ393239:IBQ393240 ILM393239:ILM393240 IVI393239:IVI393240 JFE393239:JFE393240 JPA393239:JPA393240 JYW393239:JYW393240 KIS393239:KIS393240 KSO393239:KSO393240 LCK393239:LCK393240 LMG393239:LMG393240 LWC393239:LWC393240 MFY393239:MFY393240 MPU393239:MPU393240 MZQ393239:MZQ393240 NJM393239:NJM393240 NTI393239:NTI393240 ODE393239:ODE393240 ONA393239:ONA393240 OWW393239:OWW393240 PGS393239:PGS393240 PQO393239:PQO393240 QAK393239:QAK393240 QKG393239:QKG393240 QUC393239:QUC393240 RDY393239:RDY393240 RNU393239:RNU393240 RXQ393239:RXQ393240 SHM393239:SHM393240 SRI393239:SRI393240 TBE393239:TBE393240 TLA393239:TLA393240 TUW393239:TUW393240 UES393239:UES393240 UOO393239:UOO393240 UYK393239:UYK393240 VIG393239:VIG393240 VSC393239:VSC393240 WBY393239:WBY393240 WLU393239:WLU393240 WVQ393239:WVQ393240 I458775:I458776 JE458775:JE458776 TA458775:TA458776 ACW458775:ACW458776 AMS458775:AMS458776 AWO458775:AWO458776 BGK458775:BGK458776 BQG458775:BQG458776 CAC458775:CAC458776 CJY458775:CJY458776 CTU458775:CTU458776 DDQ458775:DDQ458776 DNM458775:DNM458776 DXI458775:DXI458776 EHE458775:EHE458776 ERA458775:ERA458776 FAW458775:FAW458776 FKS458775:FKS458776 FUO458775:FUO458776 GEK458775:GEK458776 GOG458775:GOG458776 GYC458775:GYC458776 HHY458775:HHY458776 HRU458775:HRU458776 IBQ458775:IBQ458776 ILM458775:ILM458776 IVI458775:IVI458776 JFE458775:JFE458776 JPA458775:JPA458776 JYW458775:JYW458776 KIS458775:KIS458776 KSO458775:KSO458776 LCK458775:LCK458776 LMG458775:LMG458776 LWC458775:LWC458776 MFY458775:MFY458776 MPU458775:MPU458776 MZQ458775:MZQ458776 NJM458775:NJM458776 NTI458775:NTI458776 ODE458775:ODE458776 ONA458775:ONA458776 OWW458775:OWW458776 PGS458775:PGS458776 PQO458775:PQO458776 QAK458775:QAK458776 QKG458775:QKG458776 QUC458775:QUC458776 RDY458775:RDY458776 RNU458775:RNU458776 RXQ458775:RXQ458776 SHM458775:SHM458776 SRI458775:SRI458776 TBE458775:TBE458776 TLA458775:TLA458776 TUW458775:TUW458776 UES458775:UES458776 UOO458775:UOO458776 UYK458775:UYK458776 VIG458775:VIG458776 VSC458775:VSC458776 WBY458775:WBY458776 WLU458775:WLU458776 WVQ458775:WVQ458776 I524311:I524312 JE524311:JE524312 TA524311:TA524312 ACW524311:ACW524312 AMS524311:AMS524312 AWO524311:AWO524312 BGK524311:BGK524312 BQG524311:BQG524312 CAC524311:CAC524312 CJY524311:CJY524312 CTU524311:CTU524312 DDQ524311:DDQ524312 DNM524311:DNM524312 DXI524311:DXI524312 EHE524311:EHE524312 ERA524311:ERA524312 FAW524311:FAW524312 FKS524311:FKS524312 FUO524311:FUO524312 GEK524311:GEK524312 GOG524311:GOG524312 GYC524311:GYC524312 HHY524311:HHY524312 HRU524311:HRU524312 IBQ524311:IBQ524312 ILM524311:ILM524312 IVI524311:IVI524312 JFE524311:JFE524312 JPA524311:JPA524312 JYW524311:JYW524312 KIS524311:KIS524312 KSO524311:KSO524312 LCK524311:LCK524312 LMG524311:LMG524312 LWC524311:LWC524312 MFY524311:MFY524312 MPU524311:MPU524312 MZQ524311:MZQ524312 NJM524311:NJM524312 NTI524311:NTI524312 ODE524311:ODE524312 ONA524311:ONA524312 OWW524311:OWW524312 PGS524311:PGS524312 PQO524311:PQO524312 QAK524311:QAK524312 QKG524311:QKG524312 QUC524311:QUC524312 RDY524311:RDY524312 RNU524311:RNU524312 RXQ524311:RXQ524312 SHM524311:SHM524312 SRI524311:SRI524312 TBE524311:TBE524312 TLA524311:TLA524312 TUW524311:TUW524312 UES524311:UES524312 UOO524311:UOO524312 UYK524311:UYK524312 VIG524311:VIG524312 VSC524311:VSC524312 WBY524311:WBY524312 WLU524311:WLU524312 WVQ524311:WVQ524312 I589847:I589848 JE589847:JE589848 TA589847:TA589848 ACW589847:ACW589848 AMS589847:AMS589848 AWO589847:AWO589848 BGK589847:BGK589848 BQG589847:BQG589848 CAC589847:CAC589848 CJY589847:CJY589848 CTU589847:CTU589848 DDQ589847:DDQ589848 DNM589847:DNM589848 DXI589847:DXI589848 EHE589847:EHE589848 ERA589847:ERA589848 FAW589847:FAW589848 FKS589847:FKS589848 FUO589847:FUO589848 GEK589847:GEK589848 GOG589847:GOG589848 GYC589847:GYC589848 HHY589847:HHY589848 HRU589847:HRU589848 IBQ589847:IBQ589848 ILM589847:ILM589848 IVI589847:IVI589848 JFE589847:JFE589848 JPA589847:JPA589848 JYW589847:JYW589848 KIS589847:KIS589848 KSO589847:KSO589848 LCK589847:LCK589848 LMG589847:LMG589848 LWC589847:LWC589848 MFY589847:MFY589848 MPU589847:MPU589848 MZQ589847:MZQ589848 NJM589847:NJM589848 NTI589847:NTI589848 ODE589847:ODE589848 ONA589847:ONA589848 OWW589847:OWW589848 PGS589847:PGS589848 PQO589847:PQO589848 QAK589847:QAK589848 QKG589847:QKG589848 QUC589847:QUC589848 RDY589847:RDY589848 RNU589847:RNU589848 RXQ589847:RXQ589848 SHM589847:SHM589848 SRI589847:SRI589848 TBE589847:TBE589848 TLA589847:TLA589848 TUW589847:TUW589848 UES589847:UES589848 UOO589847:UOO589848 UYK589847:UYK589848 VIG589847:VIG589848 VSC589847:VSC589848 WBY589847:WBY589848 WLU589847:WLU589848 WVQ589847:WVQ589848 I655383:I655384 JE655383:JE655384 TA655383:TA655384 ACW655383:ACW655384 AMS655383:AMS655384 AWO655383:AWO655384 BGK655383:BGK655384 BQG655383:BQG655384 CAC655383:CAC655384 CJY655383:CJY655384 CTU655383:CTU655384 DDQ655383:DDQ655384 DNM655383:DNM655384 DXI655383:DXI655384 EHE655383:EHE655384 ERA655383:ERA655384 FAW655383:FAW655384 FKS655383:FKS655384 FUO655383:FUO655384 GEK655383:GEK655384 GOG655383:GOG655384 GYC655383:GYC655384 HHY655383:HHY655384 HRU655383:HRU655384 IBQ655383:IBQ655384 ILM655383:ILM655384 IVI655383:IVI655384 JFE655383:JFE655384 JPA655383:JPA655384 JYW655383:JYW655384 KIS655383:KIS655384 KSO655383:KSO655384 LCK655383:LCK655384 LMG655383:LMG655384 LWC655383:LWC655384 MFY655383:MFY655384 MPU655383:MPU655384 MZQ655383:MZQ655384 NJM655383:NJM655384 NTI655383:NTI655384 ODE655383:ODE655384 ONA655383:ONA655384 OWW655383:OWW655384 PGS655383:PGS655384 PQO655383:PQO655384 QAK655383:QAK655384 QKG655383:QKG655384 QUC655383:QUC655384 RDY655383:RDY655384 RNU655383:RNU655384 RXQ655383:RXQ655384 SHM655383:SHM655384 SRI655383:SRI655384 TBE655383:TBE655384 TLA655383:TLA655384 TUW655383:TUW655384 UES655383:UES655384 UOO655383:UOO655384 UYK655383:UYK655384 VIG655383:VIG655384 VSC655383:VSC655384 WBY655383:WBY655384 WLU655383:WLU655384 WVQ655383:WVQ655384 I720919:I720920 JE720919:JE720920 TA720919:TA720920 ACW720919:ACW720920 AMS720919:AMS720920 AWO720919:AWO720920 BGK720919:BGK720920 BQG720919:BQG720920 CAC720919:CAC720920 CJY720919:CJY720920 CTU720919:CTU720920 DDQ720919:DDQ720920 DNM720919:DNM720920 DXI720919:DXI720920 EHE720919:EHE720920 ERA720919:ERA720920 FAW720919:FAW720920 FKS720919:FKS720920 FUO720919:FUO720920 GEK720919:GEK720920 GOG720919:GOG720920 GYC720919:GYC720920 HHY720919:HHY720920 HRU720919:HRU720920 IBQ720919:IBQ720920 ILM720919:ILM720920 IVI720919:IVI720920 JFE720919:JFE720920 JPA720919:JPA720920 JYW720919:JYW720920 KIS720919:KIS720920 KSO720919:KSO720920 LCK720919:LCK720920 LMG720919:LMG720920 LWC720919:LWC720920 MFY720919:MFY720920 MPU720919:MPU720920 MZQ720919:MZQ720920 NJM720919:NJM720920 NTI720919:NTI720920 ODE720919:ODE720920 ONA720919:ONA720920 OWW720919:OWW720920 PGS720919:PGS720920 PQO720919:PQO720920 QAK720919:QAK720920 QKG720919:QKG720920 QUC720919:QUC720920 RDY720919:RDY720920 RNU720919:RNU720920 RXQ720919:RXQ720920 SHM720919:SHM720920 SRI720919:SRI720920 TBE720919:TBE720920 TLA720919:TLA720920 TUW720919:TUW720920 UES720919:UES720920 UOO720919:UOO720920 UYK720919:UYK720920 VIG720919:VIG720920 VSC720919:VSC720920 WBY720919:WBY720920 WLU720919:WLU720920 WVQ720919:WVQ720920 I786455:I786456 JE786455:JE786456 TA786455:TA786456 ACW786455:ACW786456 AMS786455:AMS786456 AWO786455:AWO786456 BGK786455:BGK786456 BQG786455:BQG786456 CAC786455:CAC786456 CJY786455:CJY786456 CTU786455:CTU786456 DDQ786455:DDQ786456 DNM786455:DNM786456 DXI786455:DXI786456 EHE786455:EHE786456 ERA786455:ERA786456 FAW786455:FAW786456 FKS786455:FKS786456 FUO786455:FUO786456 GEK786455:GEK786456 GOG786455:GOG786456 GYC786455:GYC786456 HHY786455:HHY786456 HRU786455:HRU786456 IBQ786455:IBQ786456 ILM786455:ILM786456 IVI786455:IVI786456 JFE786455:JFE786456 JPA786455:JPA786456 JYW786455:JYW786456 KIS786455:KIS786456 KSO786455:KSO786456 LCK786455:LCK786456 LMG786455:LMG786456 LWC786455:LWC786456 MFY786455:MFY786456 MPU786455:MPU786456 MZQ786455:MZQ786456 NJM786455:NJM786456 NTI786455:NTI786456 ODE786455:ODE786456 ONA786455:ONA786456 OWW786455:OWW786456 PGS786455:PGS786456 PQO786455:PQO786456 QAK786455:QAK786456 QKG786455:QKG786456 QUC786455:QUC786456 RDY786455:RDY786456 RNU786455:RNU786456 RXQ786455:RXQ786456 SHM786455:SHM786456 SRI786455:SRI786456 TBE786455:TBE786456 TLA786455:TLA786456 TUW786455:TUW786456 UES786455:UES786456 UOO786455:UOO786456 UYK786455:UYK786456 VIG786455:VIG786456 VSC786455:VSC786456 WBY786455:WBY786456 WLU786455:WLU786456 WVQ786455:WVQ786456 I851991:I851992 JE851991:JE851992 TA851991:TA851992 ACW851991:ACW851992 AMS851991:AMS851992 AWO851991:AWO851992 BGK851991:BGK851992 BQG851991:BQG851992 CAC851991:CAC851992 CJY851991:CJY851992 CTU851991:CTU851992 DDQ851991:DDQ851992 DNM851991:DNM851992 DXI851991:DXI851992 EHE851991:EHE851992 ERA851991:ERA851992 FAW851991:FAW851992 FKS851991:FKS851992 FUO851991:FUO851992 GEK851991:GEK851992 GOG851991:GOG851992 GYC851991:GYC851992 HHY851991:HHY851992 HRU851991:HRU851992 IBQ851991:IBQ851992 ILM851991:ILM851992 IVI851991:IVI851992 JFE851991:JFE851992 JPA851991:JPA851992 JYW851991:JYW851992 KIS851991:KIS851992 KSO851991:KSO851992 LCK851991:LCK851992 LMG851991:LMG851992 LWC851991:LWC851992 MFY851991:MFY851992 MPU851991:MPU851992 MZQ851991:MZQ851992 NJM851991:NJM851992 NTI851991:NTI851992 ODE851991:ODE851992 ONA851991:ONA851992 OWW851991:OWW851992 PGS851991:PGS851992 PQO851991:PQO851992 QAK851991:QAK851992 QKG851991:QKG851992 QUC851991:QUC851992 RDY851991:RDY851992 RNU851991:RNU851992 RXQ851991:RXQ851992 SHM851991:SHM851992 SRI851991:SRI851992 TBE851991:TBE851992 TLA851991:TLA851992 TUW851991:TUW851992 UES851991:UES851992 UOO851991:UOO851992 UYK851991:UYK851992 VIG851991:VIG851992 VSC851991:VSC851992 WBY851991:WBY851992 WLU851991:WLU851992 WVQ851991:WVQ851992 I917527:I917528 JE917527:JE917528 TA917527:TA917528 ACW917527:ACW917528 AMS917527:AMS917528 AWO917527:AWO917528 BGK917527:BGK917528 BQG917527:BQG917528 CAC917527:CAC917528 CJY917527:CJY917528 CTU917527:CTU917528 DDQ917527:DDQ917528 DNM917527:DNM917528 DXI917527:DXI917528 EHE917527:EHE917528 ERA917527:ERA917528 FAW917527:FAW917528 FKS917527:FKS917528 FUO917527:FUO917528 GEK917527:GEK917528 GOG917527:GOG917528 GYC917527:GYC917528 HHY917527:HHY917528 HRU917527:HRU917528 IBQ917527:IBQ917528 ILM917527:ILM917528 IVI917527:IVI917528 JFE917527:JFE917528 JPA917527:JPA917528 JYW917527:JYW917528 KIS917527:KIS917528 KSO917527:KSO917528 LCK917527:LCK917528 LMG917527:LMG917528 LWC917527:LWC917528 MFY917527:MFY917528 MPU917527:MPU917528 MZQ917527:MZQ917528 NJM917527:NJM917528 NTI917527:NTI917528 ODE917527:ODE917528 ONA917527:ONA917528 OWW917527:OWW917528 PGS917527:PGS917528 PQO917527:PQO917528 QAK917527:QAK917528 QKG917527:QKG917528 QUC917527:QUC917528 RDY917527:RDY917528 RNU917527:RNU917528 RXQ917527:RXQ917528 SHM917527:SHM917528 SRI917527:SRI917528 TBE917527:TBE917528 TLA917527:TLA917528 TUW917527:TUW917528 UES917527:UES917528 UOO917527:UOO917528 UYK917527:UYK917528 VIG917527:VIG917528 VSC917527:VSC917528 WBY917527:WBY917528 WLU917527:WLU917528 WVQ917527:WVQ917528 I983063:I983064 JE983063:JE983064 TA983063:TA983064 ACW983063:ACW983064 AMS983063:AMS983064 AWO983063:AWO983064 BGK983063:BGK983064 BQG983063:BQG983064 CAC983063:CAC983064 CJY983063:CJY983064 CTU983063:CTU983064 DDQ983063:DDQ983064 DNM983063:DNM983064 DXI983063:DXI983064 EHE983063:EHE983064 ERA983063:ERA983064 FAW983063:FAW983064 FKS983063:FKS983064 FUO983063:FUO983064 GEK983063:GEK983064 GOG983063:GOG983064 GYC983063:GYC983064 HHY983063:HHY983064 HRU983063:HRU983064 IBQ983063:IBQ983064 ILM983063:ILM983064 IVI983063:IVI983064 JFE983063:JFE983064 JPA983063:JPA983064 JYW983063:JYW983064 KIS983063:KIS983064 KSO983063:KSO983064 LCK983063:LCK983064 LMG983063:LMG983064 LWC983063:LWC983064 MFY983063:MFY983064 MPU983063:MPU983064 MZQ983063:MZQ983064 NJM983063:NJM983064 NTI983063:NTI983064 ODE983063:ODE983064 ONA983063:ONA983064 OWW983063:OWW983064 PGS983063:PGS983064 PQO983063:PQO983064 QAK983063:QAK983064 QKG983063:QKG983064 QUC983063:QUC983064 RDY983063:RDY983064 RNU983063:RNU983064 RXQ983063:RXQ983064 SHM983063:SHM983064 SRI983063:SRI983064 TBE983063:TBE983064 TLA983063:TLA983064 TUW983063:TUW983064 UES983063:UES983064 UOO983063:UOO983064 UYK983063:UYK983064 VIG983063:VIG983064 VSC983063:VSC983064 WBY983063:WBY983064 WLU983063:WLU983064 WVQ983063:WVQ983064 F23:F24 JB23:JB24 SX23:SX24 ACT23:ACT24 AMP23:AMP24 AWL23:AWL24 BGH23:BGH24 BQD23:BQD24 BZZ23:BZZ24 CJV23:CJV24 CTR23:CTR24 DDN23:DDN24 DNJ23:DNJ24 DXF23:DXF24 EHB23:EHB24 EQX23:EQX24 FAT23:FAT24 FKP23:FKP24 FUL23:FUL24 GEH23:GEH24 GOD23:GOD24 GXZ23:GXZ24 HHV23:HHV24 HRR23:HRR24 IBN23:IBN24 ILJ23:ILJ24 IVF23:IVF24 JFB23:JFB24 JOX23:JOX24 JYT23:JYT24 KIP23:KIP24 KSL23:KSL24 LCH23:LCH24 LMD23:LMD24 LVZ23:LVZ24 MFV23:MFV24 MPR23:MPR24 MZN23:MZN24 NJJ23:NJJ24 NTF23:NTF24 ODB23:ODB24 OMX23:OMX24 OWT23:OWT24 PGP23:PGP24 PQL23:PQL24 QAH23:QAH24 QKD23:QKD24 QTZ23:QTZ24 RDV23:RDV24 RNR23:RNR24 RXN23:RXN24 SHJ23:SHJ24 SRF23:SRF24 TBB23:TBB24 TKX23:TKX24 TUT23:TUT24 UEP23:UEP24 UOL23:UOL24 UYH23:UYH24 VID23:VID24 VRZ23:VRZ24 WBV23:WBV24 WLR23:WLR24 WVN23:WVN24 F65559:F65560 JB65559:JB65560 SX65559:SX65560 ACT65559:ACT65560 AMP65559:AMP65560 AWL65559:AWL65560 BGH65559:BGH65560 BQD65559:BQD65560 BZZ65559:BZZ65560 CJV65559:CJV65560 CTR65559:CTR65560 DDN65559:DDN65560 DNJ65559:DNJ65560 DXF65559:DXF65560 EHB65559:EHB65560 EQX65559:EQX65560 FAT65559:FAT65560 FKP65559:FKP65560 FUL65559:FUL65560 GEH65559:GEH65560 GOD65559:GOD65560 GXZ65559:GXZ65560 HHV65559:HHV65560 HRR65559:HRR65560 IBN65559:IBN65560 ILJ65559:ILJ65560 IVF65559:IVF65560 JFB65559:JFB65560 JOX65559:JOX65560 JYT65559:JYT65560 KIP65559:KIP65560 KSL65559:KSL65560 LCH65559:LCH65560 LMD65559:LMD65560 LVZ65559:LVZ65560 MFV65559:MFV65560 MPR65559:MPR65560 MZN65559:MZN65560 NJJ65559:NJJ65560 NTF65559:NTF65560 ODB65559:ODB65560 OMX65559:OMX65560 OWT65559:OWT65560 PGP65559:PGP65560 PQL65559:PQL65560 QAH65559:QAH65560 QKD65559:QKD65560 QTZ65559:QTZ65560 RDV65559:RDV65560 RNR65559:RNR65560 RXN65559:RXN65560 SHJ65559:SHJ65560 SRF65559:SRF65560 TBB65559:TBB65560 TKX65559:TKX65560 TUT65559:TUT65560 UEP65559:UEP65560 UOL65559:UOL65560 UYH65559:UYH65560 VID65559:VID65560 VRZ65559:VRZ65560 WBV65559:WBV65560 WLR65559:WLR65560 WVN65559:WVN65560 F131095:F131096 JB131095:JB131096 SX131095:SX131096 ACT131095:ACT131096 AMP131095:AMP131096 AWL131095:AWL131096 BGH131095:BGH131096 BQD131095:BQD131096 BZZ131095:BZZ131096 CJV131095:CJV131096 CTR131095:CTR131096 DDN131095:DDN131096 DNJ131095:DNJ131096 DXF131095:DXF131096 EHB131095:EHB131096 EQX131095:EQX131096 FAT131095:FAT131096 FKP131095:FKP131096 FUL131095:FUL131096 GEH131095:GEH131096 GOD131095:GOD131096 GXZ131095:GXZ131096 HHV131095:HHV131096 HRR131095:HRR131096 IBN131095:IBN131096 ILJ131095:ILJ131096 IVF131095:IVF131096 JFB131095:JFB131096 JOX131095:JOX131096 JYT131095:JYT131096 KIP131095:KIP131096 KSL131095:KSL131096 LCH131095:LCH131096 LMD131095:LMD131096 LVZ131095:LVZ131096 MFV131095:MFV131096 MPR131095:MPR131096 MZN131095:MZN131096 NJJ131095:NJJ131096 NTF131095:NTF131096 ODB131095:ODB131096 OMX131095:OMX131096 OWT131095:OWT131096 PGP131095:PGP131096 PQL131095:PQL131096 QAH131095:QAH131096 QKD131095:QKD131096 QTZ131095:QTZ131096 RDV131095:RDV131096 RNR131095:RNR131096 RXN131095:RXN131096 SHJ131095:SHJ131096 SRF131095:SRF131096 TBB131095:TBB131096 TKX131095:TKX131096 TUT131095:TUT131096 UEP131095:UEP131096 UOL131095:UOL131096 UYH131095:UYH131096 VID131095:VID131096 VRZ131095:VRZ131096 WBV131095:WBV131096 WLR131095:WLR131096 WVN131095:WVN131096 F196631:F196632 JB196631:JB196632 SX196631:SX196632 ACT196631:ACT196632 AMP196631:AMP196632 AWL196631:AWL196632 BGH196631:BGH196632 BQD196631:BQD196632 BZZ196631:BZZ196632 CJV196631:CJV196632 CTR196631:CTR196632 DDN196631:DDN196632 DNJ196631:DNJ196632 DXF196631:DXF196632 EHB196631:EHB196632 EQX196631:EQX196632 FAT196631:FAT196632 FKP196631:FKP196632 FUL196631:FUL196632 GEH196631:GEH196632 GOD196631:GOD196632 GXZ196631:GXZ196632 HHV196631:HHV196632 HRR196631:HRR196632 IBN196631:IBN196632 ILJ196631:ILJ196632 IVF196631:IVF196632 JFB196631:JFB196632 JOX196631:JOX196632 JYT196631:JYT196632 KIP196631:KIP196632 KSL196631:KSL196632 LCH196631:LCH196632 LMD196631:LMD196632 LVZ196631:LVZ196632 MFV196631:MFV196632 MPR196631:MPR196632 MZN196631:MZN196632 NJJ196631:NJJ196632 NTF196631:NTF196632 ODB196631:ODB196632 OMX196631:OMX196632 OWT196631:OWT196632 PGP196631:PGP196632 PQL196631:PQL196632 QAH196631:QAH196632 QKD196631:QKD196632 QTZ196631:QTZ196632 RDV196631:RDV196632 RNR196631:RNR196632 RXN196631:RXN196632 SHJ196631:SHJ196632 SRF196631:SRF196632 TBB196631:TBB196632 TKX196631:TKX196632 TUT196631:TUT196632 UEP196631:UEP196632 UOL196631:UOL196632 UYH196631:UYH196632 VID196631:VID196632 VRZ196631:VRZ196632 WBV196631:WBV196632 WLR196631:WLR196632 WVN196631:WVN196632 F262167:F262168 JB262167:JB262168 SX262167:SX262168 ACT262167:ACT262168 AMP262167:AMP262168 AWL262167:AWL262168 BGH262167:BGH262168 BQD262167:BQD262168 BZZ262167:BZZ262168 CJV262167:CJV262168 CTR262167:CTR262168 DDN262167:DDN262168 DNJ262167:DNJ262168 DXF262167:DXF262168 EHB262167:EHB262168 EQX262167:EQX262168 FAT262167:FAT262168 FKP262167:FKP262168 FUL262167:FUL262168 GEH262167:GEH262168 GOD262167:GOD262168 GXZ262167:GXZ262168 HHV262167:HHV262168 HRR262167:HRR262168 IBN262167:IBN262168 ILJ262167:ILJ262168 IVF262167:IVF262168 JFB262167:JFB262168 JOX262167:JOX262168 JYT262167:JYT262168 KIP262167:KIP262168 KSL262167:KSL262168 LCH262167:LCH262168 LMD262167:LMD262168 LVZ262167:LVZ262168 MFV262167:MFV262168 MPR262167:MPR262168 MZN262167:MZN262168 NJJ262167:NJJ262168 NTF262167:NTF262168 ODB262167:ODB262168 OMX262167:OMX262168 OWT262167:OWT262168 PGP262167:PGP262168 PQL262167:PQL262168 QAH262167:QAH262168 QKD262167:QKD262168 QTZ262167:QTZ262168 RDV262167:RDV262168 RNR262167:RNR262168 RXN262167:RXN262168 SHJ262167:SHJ262168 SRF262167:SRF262168 TBB262167:TBB262168 TKX262167:TKX262168 TUT262167:TUT262168 UEP262167:UEP262168 UOL262167:UOL262168 UYH262167:UYH262168 VID262167:VID262168 VRZ262167:VRZ262168 WBV262167:WBV262168 WLR262167:WLR262168 WVN262167:WVN262168 F327703:F327704 JB327703:JB327704 SX327703:SX327704 ACT327703:ACT327704 AMP327703:AMP327704 AWL327703:AWL327704 BGH327703:BGH327704 BQD327703:BQD327704 BZZ327703:BZZ327704 CJV327703:CJV327704 CTR327703:CTR327704 DDN327703:DDN327704 DNJ327703:DNJ327704 DXF327703:DXF327704 EHB327703:EHB327704 EQX327703:EQX327704 FAT327703:FAT327704 FKP327703:FKP327704 FUL327703:FUL327704 GEH327703:GEH327704 GOD327703:GOD327704 GXZ327703:GXZ327704 HHV327703:HHV327704 HRR327703:HRR327704 IBN327703:IBN327704 ILJ327703:ILJ327704 IVF327703:IVF327704 JFB327703:JFB327704 JOX327703:JOX327704 JYT327703:JYT327704 KIP327703:KIP327704 KSL327703:KSL327704 LCH327703:LCH327704 LMD327703:LMD327704 LVZ327703:LVZ327704 MFV327703:MFV327704 MPR327703:MPR327704 MZN327703:MZN327704 NJJ327703:NJJ327704 NTF327703:NTF327704 ODB327703:ODB327704 OMX327703:OMX327704 OWT327703:OWT327704 PGP327703:PGP327704 PQL327703:PQL327704 QAH327703:QAH327704 QKD327703:QKD327704 QTZ327703:QTZ327704 RDV327703:RDV327704 RNR327703:RNR327704 RXN327703:RXN327704 SHJ327703:SHJ327704 SRF327703:SRF327704 TBB327703:TBB327704 TKX327703:TKX327704 TUT327703:TUT327704 UEP327703:UEP327704 UOL327703:UOL327704 UYH327703:UYH327704 VID327703:VID327704 VRZ327703:VRZ327704 WBV327703:WBV327704 WLR327703:WLR327704 WVN327703:WVN327704 F393239:F393240 JB393239:JB393240 SX393239:SX393240 ACT393239:ACT393240 AMP393239:AMP393240 AWL393239:AWL393240 BGH393239:BGH393240 BQD393239:BQD393240 BZZ393239:BZZ393240 CJV393239:CJV393240 CTR393239:CTR393240 DDN393239:DDN393240 DNJ393239:DNJ393240 DXF393239:DXF393240 EHB393239:EHB393240 EQX393239:EQX393240 FAT393239:FAT393240 FKP393239:FKP393240 FUL393239:FUL393240 GEH393239:GEH393240 GOD393239:GOD393240 GXZ393239:GXZ393240 HHV393239:HHV393240 HRR393239:HRR393240 IBN393239:IBN393240 ILJ393239:ILJ393240 IVF393239:IVF393240 JFB393239:JFB393240 JOX393239:JOX393240 JYT393239:JYT393240 KIP393239:KIP393240 KSL393239:KSL393240 LCH393239:LCH393240 LMD393239:LMD393240 LVZ393239:LVZ393240 MFV393239:MFV393240 MPR393239:MPR393240 MZN393239:MZN393240 NJJ393239:NJJ393240 NTF393239:NTF393240 ODB393239:ODB393240 OMX393239:OMX393240 OWT393239:OWT393240 PGP393239:PGP393240 PQL393239:PQL393240 QAH393239:QAH393240 QKD393239:QKD393240 QTZ393239:QTZ393240 RDV393239:RDV393240 RNR393239:RNR393240 RXN393239:RXN393240 SHJ393239:SHJ393240 SRF393239:SRF393240 TBB393239:TBB393240 TKX393239:TKX393240 TUT393239:TUT393240 UEP393239:UEP393240 UOL393239:UOL393240 UYH393239:UYH393240 VID393239:VID393240 VRZ393239:VRZ393240 WBV393239:WBV393240 WLR393239:WLR393240 WVN393239:WVN393240 F458775:F458776 JB458775:JB458776 SX458775:SX458776 ACT458775:ACT458776 AMP458775:AMP458776 AWL458775:AWL458776 BGH458775:BGH458776 BQD458775:BQD458776 BZZ458775:BZZ458776 CJV458775:CJV458776 CTR458775:CTR458776 DDN458775:DDN458776 DNJ458775:DNJ458776 DXF458775:DXF458776 EHB458775:EHB458776 EQX458775:EQX458776 FAT458775:FAT458776 FKP458775:FKP458776 FUL458775:FUL458776 GEH458775:GEH458776 GOD458775:GOD458776 GXZ458775:GXZ458776 HHV458775:HHV458776 HRR458775:HRR458776 IBN458775:IBN458776 ILJ458775:ILJ458776 IVF458775:IVF458776 JFB458775:JFB458776 JOX458775:JOX458776 JYT458775:JYT458776 KIP458775:KIP458776 KSL458775:KSL458776 LCH458775:LCH458776 LMD458775:LMD458776 LVZ458775:LVZ458776 MFV458775:MFV458776 MPR458775:MPR458776 MZN458775:MZN458776 NJJ458775:NJJ458776 NTF458775:NTF458776 ODB458775:ODB458776 OMX458775:OMX458776 OWT458775:OWT458776 PGP458775:PGP458776 PQL458775:PQL458776 QAH458775:QAH458776 QKD458775:QKD458776 QTZ458775:QTZ458776 RDV458775:RDV458776 RNR458775:RNR458776 RXN458775:RXN458776 SHJ458775:SHJ458776 SRF458775:SRF458776 TBB458775:TBB458776 TKX458775:TKX458776 TUT458775:TUT458776 UEP458775:UEP458776 UOL458775:UOL458776 UYH458775:UYH458776 VID458775:VID458776 VRZ458775:VRZ458776 WBV458775:WBV458776 WLR458775:WLR458776 WVN458775:WVN458776 F524311:F524312 JB524311:JB524312 SX524311:SX524312 ACT524311:ACT524312 AMP524311:AMP524312 AWL524311:AWL524312 BGH524311:BGH524312 BQD524311:BQD524312 BZZ524311:BZZ524312 CJV524311:CJV524312 CTR524311:CTR524312 DDN524311:DDN524312 DNJ524311:DNJ524312 DXF524311:DXF524312 EHB524311:EHB524312 EQX524311:EQX524312 FAT524311:FAT524312 FKP524311:FKP524312 FUL524311:FUL524312 GEH524311:GEH524312 GOD524311:GOD524312 GXZ524311:GXZ524312 HHV524311:HHV524312 HRR524311:HRR524312 IBN524311:IBN524312 ILJ524311:ILJ524312 IVF524311:IVF524312 JFB524311:JFB524312 JOX524311:JOX524312 JYT524311:JYT524312 KIP524311:KIP524312 KSL524311:KSL524312 LCH524311:LCH524312 LMD524311:LMD524312 LVZ524311:LVZ524312 MFV524311:MFV524312 MPR524311:MPR524312 MZN524311:MZN524312 NJJ524311:NJJ524312 NTF524311:NTF524312 ODB524311:ODB524312 OMX524311:OMX524312 OWT524311:OWT524312 PGP524311:PGP524312 PQL524311:PQL524312 QAH524311:QAH524312 QKD524311:QKD524312 QTZ524311:QTZ524312 RDV524311:RDV524312 RNR524311:RNR524312 RXN524311:RXN524312 SHJ524311:SHJ524312 SRF524311:SRF524312 TBB524311:TBB524312 TKX524311:TKX524312 TUT524311:TUT524312 UEP524311:UEP524312 UOL524311:UOL524312 UYH524311:UYH524312 VID524311:VID524312 VRZ524311:VRZ524312 WBV524311:WBV524312 WLR524311:WLR524312 WVN524311:WVN524312 F589847:F589848 JB589847:JB589848 SX589847:SX589848 ACT589847:ACT589848 AMP589847:AMP589848 AWL589847:AWL589848 BGH589847:BGH589848 BQD589847:BQD589848 BZZ589847:BZZ589848 CJV589847:CJV589848 CTR589847:CTR589848 DDN589847:DDN589848 DNJ589847:DNJ589848 DXF589847:DXF589848 EHB589847:EHB589848 EQX589847:EQX589848 FAT589847:FAT589848 FKP589847:FKP589848 FUL589847:FUL589848 GEH589847:GEH589848 GOD589847:GOD589848 GXZ589847:GXZ589848 HHV589847:HHV589848 HRR589847:HRR589848 IBN589847:IBN589848 ILJ589847:ILJ589848 IVF589847:IVF589848 JFB589847:JFB589848 JOX589847:JOX589848 JYT589847:JYT589848 KIP589847:KIP589848 KSL589847:KSL589848 LCH589847:LCH589848 LMD589847:LMD589848 LVZ589847:LVZ589848 MFV589847:MFV589848 MPR589847:MPR589848 MZN589847:MZN589848 NJJ589847:NJJ589848 NTF589847:NTF589848 ODB589847:ODB589848 OMX589847:OMX589848 OWT589847:OWT589848 PGP589847:PGP589848 PQL589847:PQL589848 QAH589847:QAH589848 QKD589847:QKD589848 QTZ589847:QTZ589848 RDV589847:RDV589848 RNR589847:RNR589848 RXN589847:RXN589848 SHJ589847:SHJ589848 SRF589847:SRF589848 TBB589847:TBB589848 TKX589847:TKX589848 TUT589847:TUT589848 UEP589847:UEP589848 UOL589847:UOL589848 UYH589847:UYH589848 VID589847:VID589848 VRZ589847:VRZ589848 WBV589847:WBV589848 WLR589847:WLR589848 WVN589847:WVN589848 F655383:F655384 JB655383:JB655384 SX655383:SX655384 ACT655383:ACT655384 AMP655383:AMP655384 AWL655383:AWL655384 BGH655383:BGH655384 BQD655383:BQD655384 BZZ655383:BZZ655384 CJV655383:CJV655384 CTR655383:CTR655384 DDN655383:DDN655384 DNJ655383:DNJ655384 DXF655383:DXF655384 EHB655383:EHB655384 EQX655383:EQX655384 FAT655383:FAT655384 FKP655383:FKP655384 FUL655383:FUL655384 GEH655383:GEH655384 GOD655383:GOD655384 GXZ655383:GXZ655384 HHV655383:HHV655384 HRR655383:HRR655384 IBN655383:IBN655384 ILJ655383:ILJ655384 IVF655383:IVF655384 JFB655383:JFB655384 JOX655383:JOX655384 JYT655383:JYT655384 KIP655383:KIP655384 KSL655383:KSL655384 LCH655383:LCH655384 LMD655383:LMD655384 LVZ655383:LVZ655384 MFV655383:MFV655384 MPR655383:MPR655384 MZN655383:MZN655384 NJJ655383:NJJ655384 NTF655383:NTF655384 ODB655383:ODB655384 OMX655383:OMX655384 OWT655383:OWT655384 PGP655383:PGP655384 PQL655383:PQL655384 QAH655383:QAH655384 QKD655383:QKD655384 QTZ655383:QTZ655384 RDV655383:RDV655384 RNR655383:RNR655384 RXN655383:RXN655384 SHJ655383:SHJ655384 SRF655383:SRF655384 TBB655383:TBB655384 TKX655383:TKX655384 TUT655383:TUT655384 UEP655383:UEP655384 UOL655383:UOL655384 UYH655383:UYH655384 VID655383:VID655384 VRZ655383:VRZ655384 WBV655383:WBV655384 WLR655383:WLR655384 WVN655383:WVN655384 F720919:F720920 JB720919:JB720920 SX720919:SX720920 ACT720919:ACT720920 AMP720919:AMP720920 AWL720919:AWL720920 BGH720919:BGH720920 BQD720919:BQD720920 BZZ720919:BZZ720920 CJV720919:CJV720920 CTR720919:CTR720920 DDN720919:DDN720920 DNJ720919:DNJ720920 DXF720919:DXF720920 EHB720919:EHB720920 EQX720919:EQX720920 FAT720919:FAT720920 FKP720919:FKP720920 FUL720919:FUL720920 GEH720919:GEH720920 GOD720919:GOD720920 GXZ720919:GXZ720920 HHV720919:HHV720920 HRR720919:HRR720920 IBN720919:IBN720920 ILJ720919:ILJ720920 IVF720919:IVF720920 JFB720919:JFB720920 JOX720919:JOX720920 JYT720919:JYT720920 KIP720919:KIP720920 KSL720919:KSL720920 LCH720919:LCH720920 LMD720919:LMD720920 LVZ720919:LVZ720920 MFV720919:MFV720920 MPR720919:MPR720920 MZN720919:MZN720920 NJJ720919:NJJ720920 NTF720919:NTF720920 ODB720919:ODB720920 OMX720919:OMX720920 OWT720919:OWT720920 PGP720919:PGP720920 PQL720919:PQL720920 QAH720919:QAH720920 QKD720919:QKD720920 QTZ720919:QTZ720920 RDV720919:RDV720920 RNR720919:RNR720920 RXN720919:RXN720920 SHJ720919:SHJ720920 SRF720919:SRF720920 TBB720919:TBB720920 TKX720919:TKX720920 TUT720919:TUT720920 UEP720919:UEP720920 UOL720919:UOL720920 UYH720919:UYH720920 VID720919:VID720920 VRZ720919:VRZ720920 WBV720919:WBV720920 WLR720919:WLR720920 WVN720919:WVN720920 F786455:F786456 JB786455:JB786456 SX786455:SX786456 ACT786455:ACT786456 AMP786455:AMP786456 AWL786455:AWL786456 BGH786455:BGH786456 BQD786455:BQD786456 BZZ786455:BZZ786456 CJV786455:CJV786456 CTR786455:CTR786456 DDN786455:DDN786456 DNJ786455:DNJ786456 DXF786455:DXF786456 EHB786455:EHB786456 EQX786455:EQX786456 FAT786455:FAT786456 FKP786455:FKP786456 FUL786455:FUL786456 GEH786455:GEH786456 GOD786455:GOD786456 GXZ786455:GXZ786456 HHV786455:HHV786456 HRR786455:HRR786456 IBN786455:IBN786456 ILJ786455:ILJ786456 IVF786455:IVF786456 JFB786455:JFB786456 JOX786455:JOX786456 JYT786455:JYT786456 KIP786455:KIP786456 KSL786455:KSL786456 LCH786455:LCH786456 LMD786455:LMD786456 LVZ786455:LVZ786456 MFV786455:MFV786456 MPR786455:MPR786456 MZN786455:MZN786456 NJJ786455:NJJ786456 NTF786455:NTF786456 ODB786455:ODB786456 OMX786455:OMX786456 OWT786455:OWT786456 PGP786455:PGP786456 PQL786455:PQL786456 QAH786455:QAH786456 QKD786455:QKD786456 QTZ786455:QTZ786456 RDV786455:RDV786456 RNR786455:RNR786456 RXN786455:RXN786456 SHJ786455:SHJ786456 SRF786455:SRF786456 TBB786455:TBB786456 TKX786455:TKX786456 TUT786455:TUT786456 UEP786455:UEP786456 UOL786455:UOL786456 UYH786455:UYH786456 VID786455:VID786456 VRZ786455:VRZ786456 WBV786455:WBV786456 WLR786455:WLR786456 WVN786455:WVN786456 F851991:F851992 JB851991:JB851992 SX851991:SX851992 ACT851991:ACT851992 AMP851991:AMP851992 AWL851991:AWL851992 BGH851991:BGH851992 BQD851991:BQD851992 BZZ851991:BZZ851992 CJV851991:CJV851992 CTR851991:CTR851992 DDN851991:DDN851992 DNJ851991:DNJ851992 DXF851991:DXF851992 EHB851991:EHB851992 EQX851991:EQX851992 FAT851991:FAT851992 FKP851991:FKP851992 FUL851991:FUL851992 GEH851991:GEH851992 GOD851991:GOD851992 GXZ851991:GXZ851992 HHV851991:HHV851992 HRR851991:HRR851992 IBN851991:IBN851992 ILJ851991:ILJ851992 IVF851991:IVF851992 JFB851991:JFB851992 JOX851991:JOX851992 JYT851991:JYT851992 KIP851991:KIP851992 KSL851991:KSL851992 LCH851991:LCH851992 LMD851991:LMD851992 LVZ851991:LVZ851992 MFV851991:MFV851992 MPR851991:MPR851992 MZN851991:MZN851992 NJJ851991:NJJ851992 NTF851991:NTF851992 ODB851991:ODB851992 OMX851991:OMX851992 OWT851991:OWT851992 PGP851991:PGP851992 PQL851991:PQL851992 QAH851991:QAH851992 QKD851991:QKD851992 QTZ851991:QTZ851992 RDV851991:RDV851992 RNR851991:RNR851992 RXN851991:RXN851992 SHJ851991:SHJ851992 SRF851991:SRF851992 TBB851991:TBB851992 TKX851991:TKX851992 TUT851991:TUT851992 UEP851991:UEP851992 UOL851991:UOL851992 UYH851991:UYH851992 VID851991:VID851992 VRZ851991:VRZ851992 WBV851991:WBV851992 WLR851991:WLR851992 WVN851991:WVN851992 F917527:F917528 JB917527:JB917528 SX917527:SX917528 ACT917527:ACT917528 AMP917527:AMP917528 AWL917527:AWL917528 BGH917527:BGH917528 BQD917527:BQD917528 BZZ917527:BZZ917528 CJV917527:CJV917528 CTR917527:CTR917528 DDN917527:DDN917528 DNJ917527:DNJ917528 DXF917527:DXF917528 EHB917527:EHB917528 EQX917527:EQX917528 FAT917527:FAT917528 FKP917527:FKP917528 FUL917527:FUL917528 GEH917527:GEH917528 GOD917527:GOD917528 GXZ917527:GXZ917528 HHV917527:HHV917528 HRR917527:HRR917528 IBN917527:IBN917528 ILJ917527:ILJ917528 IVF917527:IVF917528 JFB917527:JFB917528 JOX917527:JOX917528 JYT917527:JYT917528 KIP917527:KIP917528 KSL917527:KSL917528 LCH917527:LCH917528 LMD917527:LMD917528 LVZ917527:LVZ917528 MFV917527:MFV917528 MPR917527:MPR917528 MZN917527:MZN917528 NJJ917527:NJJ917528 NTF917527:NTF917528 ODB917527:ODB917528 OMX917527:OMX917528 OWT917527:OWT917528 PGP917527:PGP917528 PQL917527:PQL917528 QAH917527:QAH917528 QKD917527:QKD917528 QTZ917527:QTZ917528 RDV917527:RDV917528 RNR917527:RNR917528 RXN917527:RXN917528 SHJ917527:SHJ917528 SRF917527:SRF917528 TBB917527:TBB917528 TKX917527:TKX917528 TUT917527:TUT917528 UEP917527:UEP917528 UOL917527:UOL917528 UYH917527:UYH917528 VID917527:VID917528 VRZ917527:VRZ917528 WBV917527:WBV917528 WLR917527:WLR917528 WVN917527:WVN917528 F983063:F983064 JB983063:JB983064 SX983063:SX983064 ACT983063:ACT983064 AMP983063:AMP983064 AWL983063:AWL983064 BGH983063:BGH983064 BQD983063:BQD983064 BZZ983063:BZZ983064 CJV983063:CJV983064 CTR983063:CTR983064 DDN983063:DDN983064 DNJ983063:DNJ983064 DXF983063:DXF983064 EHB983063:EHB983064 EQX983063:EQX983064 FAT983063:FAT983064 FKP983063:FKP983064 FUL983063:FUL983064 GEH983063:GEH983064 GOD983063:GOD983064 GXZ983063:GXZ983064 HHV983063:HHV983064 HRR983063:HRR983064 IBN983063:IBN983064 ILJ983063:ILJ983064 IVF983063:IVF983064 JFB983063:JFB983064 JOX983063:JOX983064 JYT983063:JYT983064 KIP983063:KIP983064 KSL983063:KSL983064 LCH983063:LCH983064 LMD983063:LMD983064 LVZ983063:LVZ983064 MFV983063:MFV983064 MPR983063:MPR983064 MZN983063:MZN983064 NJJ983063:NJJ983064 NTF983063:NTF983064 ODB983063:ODB983064 OMX983063:OMX983064 OWT983063:OWT983064 PGP983063:PGP983064 PQL983063:PQL983064 QAH983063:QAH983064 QKD983063:QKD983064 QTZ983063:QTZ983064 RDV983063:RDV983064 RNR983063:RNR983064 RXN983063:RXN983064 SHJ983063:SHJ983064 SRF983063:SRF983064 TBB983063:TBB983064 TKX983063:TKX983064 TUT983063:TUT983064 UEP983063:UEP983064 UOL983063:UOL983064 UYH983063:UYH983064 VID983063:VID983064 VRZ983063:VRZ983064 WBV983063:WBV983064 WLR983063:WLR983064 WVN983063:WVN983064 F14:F21 JB14:JB21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F65550:F65557 JB65550:JB65557 SX65550:SX65557 ACT65550:ACT65557 AMP65550:AMP65557 AWL65550:AWL65557 BGH65550:BGH65557 BQD65550:BQD65557 BZZ65550:BZZ65557 CJV65550:CJV65557 CTR65550:CTR65557 DDN65550:DDN65557 DNJ65550:DNJ65557 DXF65550:DXF65557 EHB65550:EHB65557 EQX65550:EQX65557 FAT65550:FAT65557 FKP65550:FKP65557 FUL65550:FUL65557 GEH65550:GEH65557 GOD65550:GOD65557 GXZ65550:GXZ65557 HHV65550:HHV65557 HRR65550:HRR65557 IBN65550:IBN65557 ILJ65550:ILJ65557 IVF65550:IVF65557 JFB65550:JFB65557 JOX65550:JOX65557 JYT65550:JYT65557 KIP65550:KIP65557 KSL65550:KSL65557 LCH65550:LCH65557 LMD65550:LMD65557 LVZ65550:LVZ65557 MFV65550:MFV65557 MPR65550:MPR65557 MZN65550:MZN65557 NJJ65550:NJJ65557 NTF65550:NTF65557 ODB65550:ODB65557 OMX65550:OMX65557 OWT65550:OWT65557 PGP65550:PGP65557 PQL65550:PQL65557 QAH65550:QAH65557 QKD65550:QKD65557 QTZ65550:QTZ65557 RDV65550:RDV65557 RNR65550:RNR65557 RXN65550:RXN65557 SHJ65550:SHJ65557 SRF65550:SRF65557 TBB65550:TBB65557 TKX65550:TKX65557 TUT65550:TUT65557 UEP65550:UEP65557 UOL65550:UOL65557 UYH65550:UYH65557 VID65550:VID65557 VRZ65550:VRZ65557 WBV65550:WBV65557 WLR65550:WLR65557 WVN65550:WVN65557 F131086:F131093 JB131086:JB131093 SX131086:SX131093 ACT131086:ACT131093 AMP131086:AMP131093 AWL131086:AWL131093 BGH131086:BGH131093 BQD131086:BQD131093 BZZ131086:BZZ131093 CJV131086:CJV131093 CTR131086:CTR131093 DDN131086:DDN131093 DNJ131086:DNJ131093 DXF131086:DXF131093 EHB131086:EHB131093 EQX131086:EQX131093 FAT131086:FAT131093 FKP131086:FKP131093 FUL131086:FUL131093 GEH131086:GEH131093 GOD131086:GOD131093 GXZ131086:GXZ131093 HHV131086:HHV131093 HRR131086:HRR131093 IBN131086:IBN131093 ILJ131086:ILJ131093 IVF131086:IVF131093 JFB131086:JFB131093 JOX131086:JOX131093 JYT131086:JYT131093 KIP131086:KIP131093 KSL131086:KSL131093 LCH131086:LCH131093 LMD131086:LMD131093 LVZ131086:LVZ131093 MFV131086:MFV131093 MPR131086:MPR131093 MZN131086:MZN131093 NJJ131086:NJJ131093 NTF131086:NTF131093 ODB131086:ODB131093 OMX131086:OMX131093 OWT131086:OWT131093 PGP131086:PGP131093 PQL131086:PQL131093 QAH131086:QAH131093 QKD131086:QKD131093 QTZ131086:QTZ131093 RDV131086:RDV131093 RNR131086:RNR131093 RXN131086:RXN131093 SHJ131086:SHJ131093 SRF131086:SRF131093 TBB131086:TBB131093 TKX131086:TKX131093 TUT131086:TUT131093 UEP131086:UEP131093 UOL131086:UOL131093 UYH131086:UYH131093 VID131086:VID131093 VRZ131086:VRZ131093 WBV131086:WBV131093 WLR131086:WLR131093 WVN131086:WVN131093 F196622:F196629 JB196622:JB196629 SX196622:SX196629 ACT196622:ACT196629 AMP196622:AMP196629 AWL196622:AWL196629 BGH196622:BGH196629 BQD196622:BQD196629 BZZ196622:BZZ196629 CJV196622:CJV196629 CTR196622:CTR196629 DDN196622:DDN196629 DNJ196622:DNJ196629 DXF196622:DXF196629 EHB196622:EHB196629 EQX196622:EQX196629 FAT196622:FAT196629 FKP196622:FKP196629 FUL196622:FUL196629 GEH196622:GEH196629 GOD196622:GOD196629 GXZ196622:GXZ196629 HHV196622:HHV196629 HRR196622:HRR196629 IBN196622:IBN196629 ILJ196622:ILJ196629 IVF196622:IVF196629 JFB196622:JFB196629 JOX196622:JOX196629 JYT196622:JYT196629 KIP196622:KIP196629 KSL196622:KSL196629 LCH196622:LCH196629 LMD196622:LMD196629 LVZ196622:LVZ196629 MFV196622:MFV196629 MPR196622:MPR196629 MZN196622:MZN196629 NJJ196622:NJJ196629 NTF196622:NTF196629 ODB196622:ODB196629 OMX196622:OMX196629 OWT196622:OWT196629 PGP196622:PGP196629 PQL196622:PQL196629 QAH196622:QAH196629 QKD196622:QKD196629 QTZ196622:QTZ196629 RDV196622:RDV196629 RNR196622:RNR196629 RXN196622:RXN196629 SHJ196622:SHJ196629 SRF196622:SRF196629 TBB196622:TBB196629 TKX196622:TKX196629 TUT196622:TUT196629 UEP196622:UEP196629 UOL196622:UOL196629 UYH196622:UYH196629 VID196622:VID196629 VRZ196622:VRZ196629 WBV196622:WBV196629 WLR196622:WLR196629 WVN196622:WVN196629 F262158:F262165 JB262158:JB262165 SX262158:SX262165 ACT262158:ACT262165 AMP262158:AMP262165 AWL262158:AWL262165 BGH262158:BGH262165 BQD262158:BQD262165 BZZ262158:BZZ262165 CJV262158:CJV262165 CTR262158:CTR262165 DDN262158:DDN262165 DNJ262158:DNJ262165 DXF262158:DXF262165 EHB262158:EHB262165 EQX262158:EQX262165 FAT262158:FAT262165 FKP262158:FKP262165 FUL262158:FUL262165 GEH262158:GEH262165 GOD262158:GOD262165 GXZ262158:GXZ262165 HHV262158:HHV262165 HRR262158:HRR262165 IBN262158:IBN262165 ILJ262158:ILJ262165 IVF262158:IVF262165 JFB262158:JFB262165 JOX262158:JOX262165 JYT262158:JYT262165 KIP262158:KIP262165 KSL262158:KSL262165 LCH262158:LCH262165 LMD262158:LMD262165 LVZ262158:LVZ262165 MFV262158:MFV262165 MPR262158:MPR262165 MZN262158:MZN262165 NJJ262158:NJJ262165 NTF262158:NTF262165 ODB262158:ODB262165 OMX262158:OMX262165 OWT262158:OWT262165 PGP262158:PGP262165 PQL262158:PQL262165 QAH262158:QAH262165 QKD262158:QKD262165 QTZ262158:QTZ262165 RDV262158:RDV262165 RNR262158:RNR262165 RXN262158:RXN262165 SHJ262158:SHJ262165 SRF262158:SRF262165 TBB262158:TBB262165 TKX262158:TKX262165 TUT262158:TUT262165 UEP262158:UEP262165 UOL262158:UOL262165 UYH262158:UYH262165 VID262158:VID262165 VRZ262158:VRZ262165 WBV262158:WBV262165 WLR262158:WLR262165 WVN262158:WVN262165 F327694:F327701 JB327694:JB327701 SX327694:SX327701 ACT327694:ACT327701 AMP327694:AMP327701 AWL327694:AWL327701 BGH327694:BGH327701 BQD327694:BQD327701 BZZ327694:BZZ327701 CJV327694:CJV327701 CTR327694:CTR327701 DDN327694:DDN327701 DNJ327694:DNJ327701 DXF327694:DXF327701 EHB327694:EHB327701 EQX327694:EQX327701 FAT327694:FAT327701 FKP327694:FKP327701 FUL327694:FUL327701 GEH327694:GEH327701 GOD327694:GOD327701 GXZ327694:GXZ327701 HHV327694:HHV327701 HRR327694:HRR327701 IBN327694:IBN327701 ILJ327694:ILJ327701 IVF327694:IVF327701 JFB327694:JFB327701 JOX327694:JOX327701 JYT327694:JYT327701 KIP327694:KIP327701 KSL327694:KSL327701 LCH327694:LCH327701 LMD327694:LMD327701 LVZ327694:LVZ327701 MFV327694:MFV327701 MPR327694:MPR327701 MZN327694:MZN327701 NJJ327694:NJJ327701 NTF327694:NTF327701 ODB327694:ODB327701 OMX327694:OMX327701 OWT327694:OWT327701 PGP327694:PGP327701 PQL327694:PQL327701 QAH327694:QAH327701 QKD327694:QKD327701 QTZ327694:QTZ327701 RDV327694:RDV327701 RNR327694:RNR327701 RXN327694:RXN327701 SHJ327694:SHJ327701 SRF327694:SRF327701 TBB327694:TBB327701 TKX327694:TKX327701 TUT327694:TUT327701 UEP327694:UEP327701 UOL327694:UOL327701 UYH327694:UYH327701 VID327694:VID327701 VRZ327694:VRZ327701 WBV327694:WBV327701 WLR327694:WLR327701 WVN327694:WVN327701 F393230:F393237 JB393230:JB393237 SX393230:SX393237 ACT393230:ACT393237 AMP393230:AMP393237 AWL393230:AWL393237 BGH393230:BGH393237 BQD393230:BQD393237 BZZ393230:BZZ393237 CJV393230:CJV393237 CTR393230:CTR393237 DDN393230:DDN393237 DNJ393230:DNJ393237 DXF393230:DXF393237 EHB393230:EHB393237 EQX393230:EQX393237 FAT393230:FAT393237 FKP393230:FKP393237 FUL393230:FUL393237 GEH393230:GEH393237 GOD393230:GOD393237 GXZ393230:GXZ393237 HHV393230:HHV393237 HRR393230:HRR393237 IBN393230:IBN393237 ILJ393230:ILJ393237 IVF393230:IVF393237 JFB393230:JFB393237 JOX393230:JOX393237 JYT393230:JYT393237 KIP393230:KIP393237 KSL393230:KSL393237 LCH393230:LCH393237 LMD393230:LMD393237 LVZ393230:LVZ393237 MFV393230:MFV393237 MPR393230:MPR393237 MZN393230:MZN393237 NJJ393230:NJJ393237 NTF393230:NTF393237 ODB393230:ODB393237 OMX393230:OMX393237 OWT393230:OWT393237 PGP393230:PGP393237 PQL393230:PQL393237 QAH393230:QAH393237 QKD393230:QKD393237 QTZ393230:QTZ393237 RDV393230:RDV393237 RNR393230:RNR393237 RXN393230:RXN393237 SHJ393230:SHJ393237 SRF393230:SRF393237 TBB393230:TBB393237 TKX393230:TKX393237 TUT393230:TUT393237 UEP393230:UEP393237 UOL393230:UOL393237 UYH393230:UYH393237 VID393230:VID393237 VRZ393230:VRZ393237 WBV393230:WBV393237 WLR393230:WLR393237 WVN393230:WVN393237 F458766:F458773 JB458766:JB458773 SX458766:SX458773 ACT458766:ACT458773 AMP458766:AMP458773 AWL458766:AWL458773 BGH458766:BGH458773 BQD458766:BQD458773 BZZ458766:BZZ458773 CJV458766:CJV458773 CTR458766:CTR458773 DDN458766:DDN458773 DNJ458766:DNJ458773 DXF458766:DXF458773 EHB458766:EHB458773 EQX458766:EQX458773 FAT458766:FAT458773 FKP458766:FKP458773 FUL458766:FUL458773 GEH458766:GEH458773 GOD458766:GOD458773 GXZ458766:GXZ458773 HHV458766:HHV458773 HRR458766:HRR458773 IBN458766:IBN458773 ILJ458766:ILJ458773 IVF458766:IVF458773 JFB458766:JFB458773 JOX458766:JOX458773 JYT458766:JYT458773 KIP458766:KIP458773 KSL458766:KSL458773 LCH458766:LCH458773 LMD458766:LMD458773 LVZ458766:LVZ458773 MFV458766:MFV458773 MPR458766:MPR458773 MZN458766:MZN458773 NJJ458766:NJJ458773 NTF458766:NTF458773 ODB458766:ODB458773 OMX458766:OMX458773 OWT458766:OWT458773 PGP458766:PGP458773 PQL458766:PQL458773 QAH458766:QAH458773 QKD458766:QKD458773 QTZ458766:QTZ458773 RDV458766:RDV458773 RNR458766:RNR458773 RXN458766:RXN458773 SHJ458766:SHJ458773 SRF458766:SRF458773 TBB458766:TBB458773 TKX458766:TKX458773 TUT458766:TUT458773 UEP458766:UEP458773 UOL458766:UOL458773 UYH458766:UYH458773 VID458766:VID458773 VRZ458766:VRZ458773 WBV458766:WBV458773 WLR458766:WLR458773 WVN458766:WVN458773 F524302:F524309 JB524302:JB524309 SX524302:SX524309 ACT524302:ACT524309 AMP524302:AMP524309 AWL524302:AWL524309 BGH524302:BGH524309 BQD524302:BQD524309 BZZ524302:BZZ524309 CJV524302:CJV524309 CTR524302:CTR524309 DDN524302:DDN524309 DNJ524302:DNJ524309 DXF524302:DXF524309 EHB524302:EHB524309 EQX524302:EQX524309 FAT524302:FAT524309 FKP524302:FKP524309 FUL524302:FUL524309 GEH524302:GEH524309 GOD524302:GOD524309 GXZ524302:GXZ524309 HHV524302:HHV524309 HRR524302:HRR524309 IBN524302:IBN524309 ILJ524302:ILJ524309 IVF524302:IVF524309 JFB524302:JFB524309 JOX524302:JOX524309 JYT524302:JYT524309 KIP524302:KIP524309 KSL524302:KSL524309 LCH524302:LCH524309 LMD524302:LMD524309 LVZ524302:LVZ524309 MFV524302:MFV524309 MPR524302:MPR524309 MZN524302:MZN524309 NJJ524302:NJJ524309 NTF524302:NTF524309 ODB524302:ODB524309 OMX524302:OMX524309 OWT524302:OWT524309 PGP524302:PGP524309 PQL524302:PQL524309 QAH524302:QAH524309 QKD524302:QKD524309 QTZ524302:QTZ524309 RDV524302:RDV524309 RNR524302:RNR524309 RXN524302:RXN524309 SHJ524302:SHJ524309 SRF524302:SRF524309 TBB524302:TBB524309 TKX524302:TKX524309 TUT524302:TUT524309 UEP524302:UEP524309 UOL524302:UOL524309 UYH524302:UYH524309 VID524302:VID524309 VRZ524302:VRZ524309 WBV524302:WBV524309 WLR524302:WLR524309 WVN524302:WVN524309 F589838:F589845 JB589838:JB589845 SX589838:SX589845 ACT589838:ACT589845 AMP589838:AMP589845 AWL589838:AWL589845 BGH589838:BGH589845 BQD589838:BQD589845 BZZ589838:BZZ589845 CJV589838:CJV589845 CTR589838:CTR589845 DDN589838:DDN589845 DNJ589838:DNJ589845 DXF589838:DXF589845 EHB589838:EHB589845 EQX589838:EQX589845 FAT589838:FAT589845 FKP589838:FKP589845 FUL589838:FUL589845 GEH589838:GEH589845 GOD589838:GOD589845 GXZ589838:GXZ589845 HHV589838:HHV589845 HRR589838:HRR589845 IBN589838:IBN589845 ILJ589838:ILJ589845 IVF589838:IVF589845 JFB589838:JFB589845 JOX589838:JOX589845 JYT589838:JYT589845 KIP589838:KIP589845 KSL589838:KSL589845 LCH589838:LCH589845 LMD589838:LMD589845 LVZ589838:LVZ589845 MFV589838:MFV589845 MPR589838:MPR589845 MZN589838:MZN589845 NJJ589838:NJJ589845 NTF589838:NTF589845 ODB589838:ODB589845 OMX589838:OMX589845 OWT589838:OWT589845 PGP589838:PGP589845 PQL589838:PQL589845 QAH589838:QAH589845 QKD589838:QKD589845 QTZ589838:QTZ589845 RDV589838:RDV589845 RNR589838:RNR589845 RXN589838:RXN589845 SHJ589838:SHJ589845 SRF589838:SRF589845 TBB589838:TBB589845 TKX589838:TKX589845 TUT589838:TUT589845 UEP589838:UEP589845 UOL589838:UOL589845 UYH589838:UYH589845 VID589838:VID589845 VRZ589838:VRZ589845 WBV589838:WBV589845 WLR589838:WLR589845 WVN589838:WVN589845 F655374:F655381 JB655374:JB655381 SX655374:SX655381 ACT655374:ACT655381 AMP655374:AMP655381 AWL655374:AWL655381 BGH655374:BGH655381 BQD655374:BQD655381 BZZ655374:BZZ655381 CJV655374:CJV655381 CTR655374:CTR655381 DDN655374:DDN655381 DNJ655374:DNJ655381 DXF655374:DXF655381 EHB655374:EHB655381 EQX655374:EQX655381 FAT655374:FAT655381 FKP655374:FKP655381 FUL655374:FUL655381 GEH655374:GEH655381 GOD655374:GOD655381 GXZ655374:GXZ655381 HHV655374:HHV655381 HRR655374:HRR655381 IBN655374:IBN655381 ILJ655374:ILJ655381 IVF655374:IVF655381 JFB655374:JFB655381 JOX655374:JOX655381 JYT655374:JYT655381 KIP655374:KIP655381 KSL655374:KSL655381 LCH655374:LCH655381 LMD655374:LMD655381 LVZ655374:LVZ655381 MFV655374:MFV655381 MPR655374:MPR655381 MZN655374:MZN655381 NJJ655374:NJJ655381 NTF655374:NTF655381 ODB655374:ODB655381 OMX655374:OMX655381 OWT655374:OWT655381 PGP655374:PGP655381 PQL655374:PQL655381 QAH655374:QAH655381 QKD655374:QKD655381 QTZ655374:QTZ655381 RDV655374:RDV655381 RNR655374:RNR655381 RXN655374:RXN655381 SHJ655374:SHJ655381 SRF655374:SRF655381 TBB655374:TBB655381 TKX655374:TKX655381 TUT655374:TUT655381 UEP655374:UEP655381 UOL655374:UOL655381 UYH655374:UYH655381 VID655374:VID655381 VRZ655374:VRZ655381 WBV655374:WBV655381 WLR655374:WLR655381 WVN655374:WVN655381 F720910:F720917 JB720910:JB720917 SX720910:SX720917 ACT720910:ACT720917 AMP720910:AMP720917 AWL720910:AWL720917 BGH720910:BGH720917 BQD720910:BQD720917 BZZ720910:BZZ720917 CJV720910:CJV720917 CTR720910:CTR720917 DDN720910:DDN720917 DNJ720910:DNJ720917 DXF720910:DXF720917 EHB720910:EHB720917 EQX720910:EQX720917 FAT720910:FAT720917 FKP720910:FKP720917 FUL720910:FUL720917 GEH720910:GEH720917 GOD720910:GOD720917 GXZ720910:GXZ720917 HHV720910:HHV720917 HRR720910:HRR720917 IBN720910:IBN720917 ILJ720910:ILJ720917 IVF720910:IVF720917 JFB720910:JFB720917 JOX720910:JOX720917 JYT720910:JYT720917 KIP720910:KIP720917 KSL720910:KSL720917 LCH720910:LCH720917 LMD720910:LMD720917 LVZ720910:LVZ720917 MFV720910:MFV720917 MPR720910:MPR720917 MZN720910:MZN720917 NJJ720910:NJJ720917 NTF720910:NTF720917 ODB720910:ODB720917 OMX720910:OMX720917 OWT720910:OWT720917 PGP720910:PGP720917 PQL720910:PQL720917 QAH720910:QAH720917 QKD720910:QKD720917 QTZ720910:QTZ720917 RDV720910:RDV720917 RNR720910:RNR720917 RXN720910:RXN720917 SHJ720910:SHJ720917 SRF720910:SRF720917 TBB720910:TBB720917 TKX720910:TKX720917 TUT720910:TUT720917 UEP720910:UEP720917 UOL720910:UOL720917 UYH720910:UYH720917 VID720910:VID720917 VRZ720910:VRZ720917 WBV720910:WBV720917 WLR720910:WLR720917 WVN720910:WVN720917 F786446:F786453 JB786446:JB786453 SX786446:SX786453 ACT786446:ACT786453 AMP786446:AMP786453 AWL786446:AWL786453 BGH786446:BGH786453 BQD786446:BQD786453 BZZ786446:BZZ786453 CJV786446:CJV786453 CTR786446:CTR786453 DDN786446:DDN786453 DNJ786446:DNJ786453 DXF786446:DXF786453 EHB786446:EHB786453 EQX786446:EQX786453 FAT786446:FAT786453 FKP786446:FKP786453 FUL786446:FUL786453 GEH786446:GEH786453 GOD786446:GOD786453 GXZ786446:GXZ786453 HHV786446:HHV786453 HRR786446:HRR786453 IBN786446:IBN786453 ILJ786446:ILJ786453 IVF786446:IVF786453 JFB786446:JFB786453 JOX786446:JOX786453 JYT786446:JYT786453 KIP786446:KIP786453 KSL786446:KSL786453 LCH786446:LCH786453 LMD786446:LMD786453 LVZ786446:LVZ786453 MFV786446:MFV786453 MPR786446:MPR786453 MZN786446:MZN786453 NJJ786446:NJJ786453 NTF786446:NTF786453 ODB786446:ODB786453 OMX786446:OMX786453 OWT786446:OWT786453 PGP786446:PGP786453 PQL786446:PQL786453 QAH786446:QAH786453 QKD786446:QKD786453 QTZ786446:QTZ786453 RDV786446:RDV786453 RNR786446:RNR786453 RXN786446:RXN786453 SHJ786446:SHJ786453 SRF786446:SRF786453 TBB786446:TBB786453 TKX786446:TKX786453 TUT786446:TUT786453 UEP786446:UEP786453 UOL786446:UOL786453 UYH786446:UYH786453 VID786446:VID786453 VRZ786446:VRZ786453 WBV786446:WBV786453 WLR786446:WLR786453 WVN786446:WVN786453 F851982:F851989 JB851982:JB851989 SX851982:SX851989 ACT851982:ACT851989 AMP851982:AMP851989 AWL851982:AWL851989 BGH851982:BGH851989 BQD851982:BQD851989 BZZ851982:BZZ851989 CJV851982:CJV851989 CTR851982:CTR851989 DDN851982:DDN851989 DNJ851982:DNJ851989 DXF851982:DXF851989 EHB851982:EHB851989 EQX851982:EQX851989 FAT851982:FAT851989 FKP851982:FKP851989 FUL851982:FUL851989 GEH851982:GEH851989 GOD851982:GOD851989 GXZ851982:GXZ851989 HHV851982:HHV851989 HRR851982:HRR851989 IBN851982:IBN851989 ILJ851982:ILJ851989 IVF851982:IVF851989 JFB851982:JFB851989 JOX851982:JOX851989 JYT851982:JYT851989 KIP851982:KIP851989 KSL851982:KSL851989 LCH851982:LCH851989 LMD851982:LMD851989 LVZ851982:LVZ851989 MFV851982:MFV851989 MPR851982:MPR851989 MZN851982:MZN851989 NJJ851982:NJJ851989 NTF851982:NTF851989 ODB851982:ODB851989 OMX851982:OMX851989 OWT851982:OWT851989 PGP851982:PGP851989 PQL851982:PQL851989 QAH851982:QAH851989 QKD851982:QKD851989 QTZ851982:QTZ851989 RDV851982:RDV851989 RNR851982:RNR851989 RXN851982:RXN851989 SHJ851982:SHJ851989 SRF851982:SRF851989 TBB851982:TBB851989 TKX851982:TKX851989 TUT851982:TUT851989 UEP851982:UEP851989 UOL851982:UOL851989 UYH851982:UYH851989 VID851982:VID851989 VRZ851982:VRZ851989 WBV851982:WBV851989 WLR851982:WLR851989 WVN851982:WVN851989 F917518:F917525 JB917518:JB917525 SX917518:SX917525 ACT917518:ACT917525 AMP917518:AMP917525 AWL917518:AWL917525 BGH917518:BGH917525 BQD917518:BQD917525 BZZ917518:BZZ917525 CJV917518:CJV917525 CTR917518:CTR917525 DDN917518:DDN917525 DNJ917518:DNJ917525 DXF917518:DXF917525 EHB917518:EHB917525 EQX917518:EQX917525 FAT917518:FAT917525 FKP917518:FKP917525 FUL917518:FUL917525 GEH917518:GEH917525 GOD917518:GOD917525 GXZ917518:GXZ917525 HHV917518:HHV917525 HRR917518:HRR917525 IBN917518:IBN917525 ILJ917518:ILJ917525 IVF917518:IVF917525 JFB917518:JFB917525 JOX917518:JOX917525 JYT917518:JYT917525 KIP917518:KIP917525 KSL917518:KSL917525 LCH917518:LCH917525 LMD917518:LMD917525 LVZ917518:LVZ917525 MFV917518:MFV917525 MPR917518:MPR917525 MZN917518:MZN917525 NJJ917518:NJJ917525 NTF917518:NTF917525 ODB917518:ODB917525 OMX917518:OMX917525 OWT917518:OWT917525 PGP917518:PGP917525 PQL917518:PQL917525 QAH917518:QAH917525 QKD917518:QKD917525 QTZ917518:QTZ917525 RDV917518:RDV917525 RNR917518:RNR917525 RXN917518:RXN917525 SHJ917518:SHJ917525 SRF917518:SRF917525 TBB917518:TBB917525 TKX917518:TKX917525 TUT917518:TUT917525 UEP917518:UEP917525 UOL917518:UOL917525 UYH917518:UYH917525 VID917518:VID917525 VRZ917518:VRZ917525 WBV917518:WBV917525 WLR917518:WLR917525 WVN917518:WVN917525 F983054:F983061 JB983054:JB983061 SX983054:SX983061 ACT983054:ACT983061 AMP983054:AMP983061 AWL983054:AWL983061 BGH983054:BGH983061 BQD983054:BQD983061 BZZ983054:BZZ983061 CJV983054:CJV983061 CTR983054:CTR983061 DDN983054:DDN983061 DNJ983054:DNJ983061 DXF983054:DXF983061 EHB983054:EHB983061 EQX983054:EQX983061 FAT983054:FAT983061 FKP983054:FKP983061 FUL983054:FUL983061 GEH983054:GEH983061 GOD983054:GOD983061 GXZ983054:GXZ983061 HHV983054:HHV983061 HRR983054:HRR983061 IBN983054:IBN983061 ILJ983054:ILJ983061 IVF983054:IVF983061 JFB983054:JFB983061 JOX983054:JOX983061 JYT983054:JYT983061 KIP983054:KIP983061 KSL983054:KSL983061 LCH983054:LCH983061 LMD983054:LMD983061 LVZ983054:LVZ983061 MFV983054:MFV983061 MPR983054:MPR983061 MZN983054:MZN983061 NJJ983054:NJJ983061 NTF983054:NTF983061 ODB983054:ODB983061 OMX983054:OMX983061 OWT983054:OWT983061 PGP983054:PGP983061 PQL983054:PQL983061 QAH983054:QAH983061 QKD983054:QKD983061 QTZ983054:QTZ983061 RDV983054:RDV983061 RNR983054:RNR983061 RXN983054:RXN983061 SHJ983054:SHJ983061 SRF983054:SRF983061 TBB983054:TBB983061 TKX983054:TKX983061 TUT983054:TUT983061 UEP983054:UEP983061 UOL983054:UOL983061 UYH983054:UYH983061 VID983054:VID983061 VRZ983054:VRZ983061 WBV983054:WBV983061 WLR983054:WLR983061 WVN983054:WVN983061 WVQ983054:WVQ983061 JE14:JE21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I65550:I65557 JE65550:JE65557 TA65550:TA65557 ACW65550:ACW65557 AMS65550:AMS65557 AWO65550:AWO65557 BGK65550:BGK65557 BQG65550:BQG65557 CAC65550:CAC65557 CJY65550:CJY65557 CTU65550:CTU65557 DDQ65550:DDQ65557 DNM65550:DNM65557 DXI65550:DXI65557 EHE65550:EHE65557 ERA65550:ERA65557 FAW65550:FAW65557 FKS65550:FKS65557 FUO65550:FUO65557 GEK65550:GEK65557 GOG65550:GOG65557 GYC65550:GYC65557 HHY65550:HHY65557 HRU65550:HRU65557 IBQ65550:IBQ65557 ILM65550:ILM65557 IVI65550:IVI65557 JFE65550:JFE65557 JPA65550:JPA65557 JYW65550:JYW65557 KIS65550:KIS65557 KSO65550:KSO65557 LCK65550:LCK65557 LMG65550:LMG65557 LWC65550:LWC65557 MFY65550:MFY65557 MPU65550:MPU65557 MZQ65550:MZQ65557 NJM65550:NJM65557 NTI65550:NTI65557 ODE65550:ODE65557 ONA65550:ONA65557 OWW65550:OWW65557 PGS65550:PGS65557 PQO65550:PQO65557 QAK65550:QAK65557 QKG65550:QKG65557 QUC65550:QUC65557 RDY65550:RDY65557 RNU65550:RNU65557 RXQ65550:RXQ65557 SHM65550:SHM65557 SRI65550:SRI65557 TBE65550:TBE65557 TLA65550:TLA65557 TUW65550:TUW65557 UES65550:UES65557 UOO65550:UOO65557 UYK65550:UYK65557 VIG65550:VIG65557 VSC65550:VSC65557 WBY65550:WBY65557 WLU65550:WLU65557 WVQ65550:WVQ65557 I131086:I131093 JE131086:JE131093 TA131086:TA131093 ACW131086:ACW131093 AMS131086:AMS131093 AWO131086:AWO131093 BGK131086:BGK131093 BQG131086:BQG131093 CAC131086:CAC131093 CJY131086:CJY131093 CTU131086:CTU131093 DDQ131086:DDQ131093 DNM131086:DNM131093 DXI131086:DXI131093 EHE131086:EHE131093 ERA131086:ERA131093 FAW131086:FAW131093 FKS131086:FKS131093 FUO131086:FUO131093 GEK131086:GEK131093 GOG131086:GOG131093 GYC131086:GYC131093 HHY131086:HHY131093 HRU131086:HRU131093 IBQ131086:IBQ131093 ILM131086:ILM131093 IVI131086:IVI131093 JFE131086:JFE131093 JPA131086:JPA131093 JYW131086:JYW131093 KIS131086:KIS131093 KSO131086:KSO131093 LCK131086:LCK131093 LMG131086:LMG131093 LWC131086:LWC131093 MFY131086:MFY131093 MPU131086:MPU131093 MZQ131086:MZQ131093 NJM131086:NJM131093 NTI131086:NTI131093 ODE131086:ODE131093 ONA131086:ONA131093 OWW131086:OWW131093 PGS131086:PGS131093 PQO131086:PQO131093 QAK131086:QAK131093 QKG131086:QKG131093 QUC131086:QUC131093 RDY131086:RDY131093 RNU131086:RNU131093 RXQ131086:RXQ131093 SHM131086:SHM131093 SRI131086:SRI131093 TBE131086:TBE131093 TLA131086:TLA131093 TUW131086:TUW131093 UES131086:UES131093 UOO131086:UOO131093 UYK131086:UYK131093 VIG131086:VIG131093 VSC131086:VSC131093 WBY131086:WBY131093 WLU131086:WLU131093 WVQ131086:WVQ131093 I196622:I196629 JE196622:JE196629 TA196622:TA196629 ACW196622:ACW196629 AMS196622:AMS196629 AWO196622:AWO196629 BGK196622:BGK196629 BQG196622:BQG196629 CAC196622:CAC196629 CJY196622:CJY196629 CTU196622:CTU196629 DDQ196622:DDQ196629 DNM196622:DNM196629 DXI196622:DXI196629 EHE196622:EHE196629 ERA196622:ERA196629 FAW196622:FAW196629 FKS196622:FKS196629 FUO196622:FUO196629 GEK196622:GEK196629 GOG196622:GOG196629 GYC196622:GYC196629 HHY196622:HHY196629 HRU196622:HRU196629 IBQ196622:IBQ196629 ILM196622:ILM196629 IVI196622:IVI196629 JFE196622:JFE196629 JPA196622:JPA196629 JYW196622:JYW196629 KIS196622:KIS196629 KSO196622:KSO196629 LCK196622:LCK196629 LMG196622:LMG196629 LWC196622:LWC196629 MFY196622:MFY196629 MPU196622:MPU196629 MZQ196622:MZQ196629 NJM196622:NJM196629 NTI196622:NTI196629 ODE196622:ODE196629 ONA196622:ONA196629 OWW196622:OWW196629 PGS196622:PGS196629 PQO196622:PQO196629 QAK196622:QAK196629 QKG196622:QKG196629 QUC196622:QUC196629 RDY196622:RDY196629 RNU196622:RNU196629 RXQ196622:RXQ196629 SHM196622:SHM196629 SRI196622:SRI196629 TBE196622:TBE196629 TLA196622:TLA196629 TUW196622:TUW196629 UES196622:UES196629 UOO196622:UOO196629 UYK196622:UYK196629 VIG196622:VIG196629 VSC196622:VSC196629 WBY196622:WBY196629 WLU196622:WLU196629 WVQ196622:WVQ196629 I262158:I262165 JE262158:JE262165 TA262158:TA262165 ACW262158:ACW262165 AMS262158:AMS262165 AWO262158:AWO262165 BGK262158:BGK262165 BQG262158:BQG262165 CAC262158:CAC262165 CJY262158:CJY262165 CTU262158:CTU262165 DDQ262158:DDQ262165 DNM262158:DNM262165 DXI262158:DXI262165 EHE262158:EHE262165 ERA262158:ERA262165 FAW262158:FAW262165 FKS262158:FKS262165 FUO262158:FUO262165 GEK262158:GEK262165 GOG262158:GOG262165 GYC262158:GYC262165 HHY262158:HHY262165 HRU262158:HRU262165 IBQ262158:IBQ262165 ILM262158:ILM262165 IVI262158:IVI262165 JFE262158:JFE262165 JPA262158:JPA262165 JYW262158:JYW262165 KIS262158:KIS262165 KSO262158:KSO262165 LCK262158:LCK262165 LMG262158:LMG262165 LWC262158:LWC262165 MFY262158:MFY262165 MPU262158:MPU262165 MZQ262158:MZQ262165 NJM262158:NJM262165 NTI262158:NTI262165 ODE262158:ODE262165 ONA262158:ONA262165 OWW262158:OWW262165 PGS262158:PGS262165 PQO262158:PQO262165 QAK262158:QAK262165 QKG262158:QKG262165 QUC262158:QUC262165 RDY262158:RDY262165 RNU262158:RNU262165 RXQ262158:RXQ262165 SHM262158:SHM262165 SRI262158:SRI262165 TBE262158:TBE262165 TLA262158:TLA262165 TUW262158:TUW262165 UES262158:UES262165 UOO262158:UOO262165 UYK262158:UYK262165 VIG262158:VIG262165 VSC262158:VSC262165 WBY262158:WBY262165 WLU262158:WLU262165 WVQ262158:WVQ262165 I327694:I327701 JE327694:JE327701 TA327694:TA327701 ACW327694:ACW327701 AMS327694:AMS327701 AWO327694:AWO327701 BGK327694:BGK327701 BQG327694:BQG327701 CAC327694:CAC327701 CJY327694:CJY327701 CTU327694:CTU327701 DDQ327694:DDQ327701 DNM327694:DNM327701 DXI327694:DXI327701 EHE327694:EHE327701 ERA327694:ERA327701 FAW327694:FAW327701 FKS327694:FKS327701 FUO327694:FUO327701 GEK327694:GEK327701 GOG327694:GOG327701 GYC327694:GYC327701 HHY327694:HHY327701 HRU327694:HRU327701 IBQ327694:IBQ327701 ILM327694:ILM327701 IVI327694:IVI327701 JFE327694:JFE327701 JPA327694:JPA327701 JYW327694:JYW327701 KIS327694:KIS327701 KSO327694:KSO327701 LCK327694:LCK327701 LMG327694:LMG327701 LWC327694:LWC327701 MFY327694:MFY327701 MPU327694:MPU327701 MZQ327694:MZQ327701 NJM327694:NJM327701 NTI327694:NTI327701 ODE327694:ODE327701 ONA327694:ONA327701 OWW327694:OWW327701 PGS327694:PGS327701 PQO327694:PQO327701 QAK327694:QAK327701 QKG327694:QKG327701 QUC327694:QUC327701 RDY327694:RDY327701 RNU327694:RNU327701 RXQ327694:RXQ327701 SHM327694:SHM327701 SRI327694:SRI327701 TBE327694:TBE327701 TLA327694:TLA327701 TUW327694:TUW327701 UES327694:UES327701 UOO327694:UOO327701 UYK327694:UYK327701 VIG327694:VIG327701 VSC327694:VSC327701 WBY327694:WBY327701 WLU327694:WLU327701 WVQ327694:WVQ327701 I393230:I393237 JE393230:JE393237 TA393230:TA393237 ACW393230:ACW393237 AMS393230:AMS393237 AWO393230:AWO393237 BGK393230:BGK393237 BQG393230:BQG393237 CAC393230:CAC393237 CJY393230:CJY393237 CTU393230:CTU393237 DDQ393230:DDQ393237 DNM393230:DNM393237 DXI393230:DXI393237 EHE393230:EHE393237 ERA393230:ERA393237 FAW393230:FAW393237 FKS393230:FKS393237 FUO393230:FUO393237 GEK393230:GEK393237 GOG393230:GOG393237 GYC393230:GYC393237 HHY393230:HHY393237 HRU393230:HRU393237 IBQ393230:IBQ393237 ILM393230:ILM393237 IVI393230:IVI393237 JFE393230:JFE393237 JPA393230:JPA393237 JYW393230:JYW393237 KIS393230:KIS393237 KSO393230:KSO393237 LCK393230:LCK393237 LMG393230:LMG393237 LWC393230:LWC393237 MFY393230:MFY393237 MPU393230:MPU393237 MZQ393230:MZQ393237 NJM393230:NJM393237 NTI393230:NTI393237 ODE393230:ODE393237 ONA393230:ONA393237 OWW393230:OWW393237 PGS393230:PGS393237 PQO393230:PQO393237 QAK393230:QAK393237 QKG393230:QKG393237 QUC393230:QUC393237 RDY393230:RDY393237 RNU393230:RNU393237 RXQ393230:RXQ393237 SHM393230:SHM393237 SRI393230:SRI393237 TBE393230:TBE393237 TLA393230:TLA393237 TUW393230:TUW393237 UES393230:UES393237 UOO393230:UOO393237 UYK393230:UYK393237 VIG393230:VIG393237 VSC393230:VSC393237 WBY393230:WBY393237 WLU393230:WLU393237 WVQ393230:WVQ393237 I458766:I458773 JE458766:JE458773 TA458766:TA458773 ACW458766:ACW458773 AMS458766:AMS458773 AWO458766:AWO458773 BGK458766:BGK458773 BQG458766:BQG458773 CAC458766:CAC458773 CJY458766:CJY458773 CTU458766:CTU458773 DDQ458766:DDQ458773 DNM458766:DNM458773 DXI458766:DXI458773 EHE458766:EHE458773 ERA458766:ERA458773 FAW458766:FAW458773 FKS458766:FKS458773 FUO458766:FUO458773 GEK458766:GEK458773 GOG458766:GOG458773 GYC458766:GYC458773 HHY458766:HHY458773 HRU458766:HRU458773 IBQ458766:IBQ458773 ILM458766:ILM458773 IVI458766:IVI458773 JFE458766:JFE458773 JPA458766:JPA458773 JYW458766:JYW458773 KIS458766:KIS458773 KSO458766:KSO458773 LCK458766:LCK458773 LMG458766:LMG458773 LWC458766:LWC458773 MFY458766:MFY458773 MPU458766:MPU458773 MZQ458766:MZQ458773 NJM458766:NJM458773 NTI458766:NTI458773 ODE458766:ODE458773 ONA458766:ONA458773 OWW458766:OWW458773 PGS458766:PGS458773 PQO458766:PQO458773 QAK458766:QAK458773 QKG458766:QKG458773 QUC458766:QUC458773 RDY458766:RDY458773 RNU458766:RNU458773 RXQ458766:RXQ458773 SHM458766:SHM458773 SRI458766:SRI458773 TBE458766:TBE458773 TLA458766:TLA458773 TUW458766:TUW458773 UES458766:UES458773 UOO458766:UOO458773 UYK458766:UYK458773 VIG458766:VIG458773 VSC458766:VSC458773 WBY458766:WBY458773 WLU458766:WLU458773 WVQ458766:WVQ458773 I524302:I524309 JE524302:JE524309 TA524302:TA524309 ACW524302:ACW524309 AMS524302:AMS524309 AWO524302:AWO524309 BGK524302:BGK524309 BQG524302:BQG524309 CAC524302:CAC524309 CJY524302:CJY524309 CTU524302:CTU524309 DDQ524302:DDQ524309 DNM524302:DNM524309 DXI524302:DXI524309 EHE524302:EHE524309 ERA524302:ERA524309 FAW524302:FAW524309 FKS524302:FKS524309 FUO524302:FUO524309 GEK524302:GEK524309 GOG524302:GOG524309 GYC524302:GYC524309 HHY524302:HHY524309 HRU524302:HRU524309 IBQ524302:IBQ524309 ILM524302:ILM524309 IVI524302:IVI524309 JFE524302:JFE524309 JPA524302:JPA524309 JYW524302:JYW524309 KIS524302:KIS524309 KSO524302:KSO524309 LCK524302:LCK524309 LMG524302:LMG524309 LWC524302:LWC524309 MFY524302:MFY524309 MPU524302:MPU524309 MZQ524302:MZQ524309 NJM524302:NJM524309 NTI524302:NTI524309 ODE524302:ODE524309 ONA524302:ONA524309 OWW524302:OWW524309 PGS524302:PGS524309 PQO524302:PQO524309 QAK524302:QAK524309 QKG524302:QKG524309 QUC524302:QUC524309 RDY524302:RDY524309 RNU524302:RNU524309 RXQ524302:RXQ524309 SHM524302:SHM524309 SRI524302:SRI524309 TBE524302:TBE524309 TLA524302:TLA524309 TUW524302:TUW524309 UES524302:UES524309 UOO524302:UOO524309 UYK524302:UYK524309 VIG524302:VIG524309 VSC524302:VSC524309 WBY524302:WBY524309 WLU524302:WLU524309 WVQ524302:WVQ524309 I589838:I589845 JE589838:JE589845 TA589838:TA589845 ACW589838:ACW589845 AMS589838:AMS589845 AWO589838:AWO589845 BGK589838:BGK589845 BQG589838:BQG589845 CAC589838:CAC589845 CJY589838:CJY589845 CTU589838:CTU589845 DDQ589838:DDQ589845 DNM589838:DNM589845 DXI589838:DXI589845 EHE589838:EHE589845 ERA589838:ERA589845 FAW589838:FAW589845 FKS589838:FKS589845 FUO589838:FUO589845 GEK589838:GEK589845 GOG589838:GOG589845 GYC589838:GYC589845 HHY589838:HHY589845 HRU589838:HRU589845 IBQ589838:IBQ589845 ILM589838:ILM589845 IVI589838:IVI589845 JFE589838:JFE589845 JPA589838:JPA589845 JYW589838:JYW589845 KIS589838:KIS589845 KSO589838:KSO589845 LCK589838:LCK589845 LMG589838:LMG589845 LWC589838:LWC589845 MFY589838:MFY589845 MPU589838:MPU589845 MZQ589838:MZQ589845 NJM589838:NJM589845 NTI589838:NTI589845 ODE589838:ODE589845 ONA589838:ONA589845 OWW589838:OWW589845 PGS589838:PGS589845 PQO589838:PQO589845 QAK589838:QAK589845 QKG589838:QKG589845 QUC589838:QUC589845 RDY589838:RDY589845 RNU589838:RNU589845 RXQ589838:RXQ589845 SHM589838:SHM589845 SRI589838:SRI589845 TBE589838:TBE589845 TLA589838:TLA589845 TUW589838:TUW589845 UES589838:UES589845 UOO589838:UOO589845 UYK589838:UYK589845 VIG589838:VIG589845 VSC589838:VSC589845 WBY589838:WBY589845 WLU589838:WLU589845 WVQ589838:WVQ589845 I655374:I655381 JE655374:JE655381 TA655374:TA655381 ACW655374:ACW655381 AMS655374:AMS655381 AWO655374:AWO655381 BGK655374:BGK655381 BQG655374:BQG655381 CAC655374:CAC655381 CJY655374:CJY655381 CTU655374:CTU655381 DDQ655374:DDQ655381 DNM655374:DNM655381 DXI655374:DXI655381 EHE655374:EHE655381 ERA655374:ERA655381 FAW655374:FAW655381 FKS655374:FKS655381 FUO655374:FUO655381 GEK655374:GEK655381 GOG655374:GOG655381 GYC655374:GYC655381 HHY655374:HHY655381 HRU655374:HRU655381 IBQ655374:IBQ655381 ILM655374:ILM655381 IVI655374:IVI655381 JFE655374:JFE655381 JPA655374:JPA655381 JYW655374:JYW655381 KIS655374:KIS655381 KSO655374:KSO655381 LCK655374:LCK655381 LMG655374:LMG655381 LWC655374:LWC655381 MFY655374:MFY655381 MPU655374:MPU655381 MZQ655374:MZQ655381 NJM655374:NJM655381 NTI655374:NTI655381 ODE655374:ODE655381 ONA655374:ONA655381 OWW655374:OWW655381 PGS655374:PGS655381 PQO655374:PQO655381 QAK655374:QAK655381 QKG655374:QKG655381 QUC655374:QUC655381 RDY655374:RDY655381 RNU655374:RNU655381 RXQ655374:RXQ655381 SHM655374:SHM655381 SRI655374:SRI655381 TBE655374:TBE655381 TLA655374:TLA655381 TUW655374:TUW655381 UES655374:UES655381 UOO655374:UOO655381 UYK655374:UYK655381 VIG655374:VIG655381 VSC655374:VSC655381 WBY655374:WBY655381 WLU655374:WLU655381 WVQ655374:WVQ655381 I720910:I720917 JE720910:JE720917 TA720910:TA720917 ACW720910:ACW720917 AMS720910:AMS720917 AWO720910:AWO720917 BGK720910:BGK720917 BQG720910:BQG720917 CAC720910:CAC720917 CJY720910:CJY720917 CTU720910:CTU720917 DDQ720910:DDQ720917 DNM720910:DNM720917 DXI720910:DXI720917 EHE720910:EHE720917 ERA720910:ERA720917 FAW720910:FAW720917 FKS720910:FKS720917 FUO720910:FUO720917 GEK720910:GEK720917 GOG720910:GOG720917 GYC720910:GYC720917 HHY720910:HHY720917 HRU720910:HRU720917 IBQ720910:IBQ720917 ILM720910:ILM720917 IVI720910:IVI720917 JFE720910:JFE720917 JPA720910:JPA720917 JYW720910:JYW720917 KIS720910:KIS720917 KSO720910:KSO720917 LCK720910:LCK720917 LMG720910:LMG720917 LWC720910:LWC720917 MFY720910:MFY720917 MPU720910:MPU720917 MZQ720910:MZQ720917 NJM720910:NJM720917 NTI720910:NTI720917 ODE720910:ODE720917 ONA720910:ONA720917 OWW720910:OWW720917 PGS720910:PGS720917 PQO720910:PQO720917 QAK720910:QAK720917 QKG720910:QKG720917 QUC720910:QUC720917 RDY720910:RDY720917 RNU720910:RNU720917 RXQ720910:RXQ720917 SHM720910:SHM720917 SRI720910:SRI720917 TBE720910:TBE720917 TLA720910:TLA720917 TUW720910:TUW720917 UES720910:UES720917 UOO720910:UOO720917 UYK720910:UYK720917 VIG720910:VIG720917 VSC720910:VSC720917 WBY720910:WBY720917 WLU720910:WLU720917 WVQ720910:WVQ720917 I786446:I786453 JE786446:JE786453 TA786446:TA786453 ACW786446:ACW786453 AMS786446:AMS786453 AWO786446:AWO786453 BGK786446:BGK786453 BQG786446:BQG786453 CAC786446:CAC786453 CJY786446:CJY786453 CTU786446:CTU786453 DDQ786446:DDQ786453 DNM786446:DNM786453 DXI786446:DXI786453 EHE786446:EHE786453 ERA786446:ERA786453 FAW786446:FAW786453 FKS786446:FKS786453 FUO786446:FUO786453 GEK786446:GEK786453 GOG786446:GOG786453 GYC786446:GYC786453 HHY786446:HHY786453 HRU786446:HRU786453 IBQ786446:IBQ786453 ILM786446:ILM786453 IVI786446:IVI786453 JFE786446:JFE786453 JPA786446:JPA786453 JYW786446:JYW786453 KIS786446:KIS786453 KSO786446:KSO786453 LCK786446:LCK786453 LMG786446:LMG786453 LWC786446:LWC786453 MFY786446:MFY786453 MPU786446:MPU786453 MZQ786446:MZQ786453 NJM786446:NJM786453 NTI786446:NTI786453 ODE786446:ODE786453 ONA786446:ONA786453 OWW786446:OWW786453 PGS786446:PGS786453 PQO786446:PQO786453 QAK786446:QAK786453 QKG786446:QKG786453 QUC786446:QUC786453 RDY786446:RDY786453 RNU786446:RNU786453 RXQ786446:RXQ786453 SHM786446:SHM786453 SRI786446:SRI786453 TBE786446:TBE786453 TLA786446:TLA786453 TUW786446:TUW786453 UES786446:UES786453 UOO786446:UOO786453 UYK786446:UYK786453 VIG786446:VIG786453 VSC786446:VSC786453 WBY786446:WBY786453 WLU786446:WLU786453 WVQ786446:WVQ786453 I851982:I851989 JE851982:JE851989 TA851982:TA851989 ACW851982:ACW851989 AMS851982:AMS851989 AWO851982:AWO851989 BGK851982:BGK851989 BQG851982:BQG851989 CAC851982:CAC851989 CJY851982:CJY851989 CTU851982:CTU851989 DDQ851982:DDQ851989 DNM851982:DNM851989 DXI851982:DXI851989 EHE851982:EHE851989 ERA851982:ERA851989 FAW851982:FAW851989 FKS851982:FKS851989 FUO851982:FUO851989 GEK851982:GEK851989 GOG851982:GOG851989 GYC851982:GYC851989 HHY851982:HHY851989 HRU851982:HRU851989 IBQ851982:IBQ851989 ILM851982:ILM851989 IVI851982:IVI851989 JFE851982:JFE851989 JPA851982:JPA851989 JYW851982:JYW851989 KIS851982:KIS851989 KSO851982:KSO851989 LCK851982:LCK851989 LMG851982:LMG851989 LWC851982:LWC851989 MFY851982:MFY851989 MPU851982:MPU851989 MZQ851982:MZQ851989 NJM851982:NJM851989 NTI851982:NTI851989 ODE851982:ODE851989 ONA851982:ONA851989 OWW851982:OWW851989 PGS851982:PGS851989 PQO851982:PQO851989 QAK851982:QAK851989 QKG851982:QKG851989 QUC851982:QUC851989 RDY851982:RDY851989 RNU851982:RNU851989 RXQ851982:RXQ851989 SHM851982:SHM851989 SRI851982:SRI851989 TBE851982:TBE851989 TLA851982:TLA851989 TUW851982:TUW851989 UES851982:UES851989 UOO851982:UOO851989 UYK851982:UYK851989 VIG851982:VIG851989 VSC851982:VSC851989 WBY851982:WBY851989 WLU851982:WLU851989 WVQ851982:WVQ851989 I917518:I917525 JE917518:JE917525 TA917518:TA917525 ACW917518:ACW917525 AMS917518:AMS917525 AWO917518:AWO917525 BGK917518:BGK917525 BQG917518:BQG917525 CAC917518:CAC917525 CJY917518:CJY917525 CTU917518:CTU917525 DDQ917518:DDQ917525 DNM917518:DNM917525 DXI917518:DXI917525 EHE917518:EHE917525 ERA917518:ERA917525 FAW917518:FAW917525 FKS917518:FKS917525 FUO917518:FUO917525 GEK917518:GEK917525 GOG917518:GOG917525 GYC917518:GYC917525 HHY917518:HHY917525 HRU917518:HRU917525 IBQ917518:IBQ917525 ILM917518:ILM917525 IVI917518:IVI917525 JFE917518:JFE917525 JPA917518:JPA917525 JYW917518:JYW917525 KIS917518:KIS917525 KSO917518:KSO917525 LCK917518:LCK917525 LMG917518:LMG917525 LWC917518:LWC917525 MFY917518:MFY917525 MPU917518:MPU917525 MZQ917518:MZQ917525 NJM917518:NJM917525 NTI917518:NTI917525 ODE917518:ODE917525 ONA917518:ONA917525 OWW917518:OWW917525 PGS917518:PGS917525 PQO917518:PQO917525 QAK917518:QAK917525 QKG917518:QKG917525 QUC917518:QUC917525 RDY917518:RDY917525 RNU917518:RNU917525 RXQ917518:RXQ917525 SHM917518:SHM917525 SRI917518:SRI917525 TBE917518:TBE917525 TLA917518:TLA917525 TUW917518:TUW917525 UES917518:UES917525 UOO917518:UOO917525 UYK917518:UYK917525 VIG917518:VIG917525 VSC917518:VSC917525 WBY917518:WBY917525 WLU917518:WLU917525 WVQ917518:WVQ917525 I983054:I983061 JE983054:JE983061 TA983054:TA983061 ACW983054:ACW983061 AMS983054:AMS983061 AWO983054:AWO983061 BGK983054:BGK983061 BQG983054:BQG983061 CAC983054:CAC983061 CJY983054:CJY983061 CTU983054:CTU983061 DDQ983054:DDQ983061 DNM983054:DNM983061 DXI983054:DXI983061 EHE983054:EHE983061 ERA983054:ERA983061 FAW983054:FAW983061 FKS983054:FKS983061 FUO983054:FUO983061 GEK983054:GEK983061 GOG983054:GOG983061 GYC983054:GYC983061 HHY983054:HHY983061 HRU983054:HRU983061 IBQ983054:IBQ983061 ILM983054:ILM983061 IVI983054:IVI983061 JFE983054:JFE983061 JPA983054:JPA983061 JYW983054:JYW983061 KIS983054:KIS983061 KSO983054:KSO983061 LCK983054:LCK983061 LMG983054:LMG983061 LWC983054:LWC983061 MFY983054:MFY983061 MPU983054:MPU983061 MZQ983054:MZQ983061 NJM983054:NJM983061 NTI983054:NTI983061 ODE983054:ODE983061 ONA983054:ONA983061 OWW983054:OWW983061 PGS983054:PGS983061 PQO983054:PQO983061 QAK983054:QAK983061 QKG983054:QKG983061 QUC983054:QUC983061 RDY983054:RDY983061 RNU983054:RNU983061 RXQ983054:RXQ983061 SHM983054:SHM983061 SRI983054:SRI983061 TBE983054:TBE983061 TLA983054:TLA983061 TUW983054:TUW983061 UES983054:UES983061 UOO983054:UOO983061 UYK983054:UYK983061 VIG983054:VIG983061 VSC983054:VSC983061 WBY983054:WBY983061 WLU983054:WLU983061 I23:I24" xr:uid="{00000000-0002-0000-0100-000000000000}">
      <formula1>"Accepted, Not accepted, N/A"</formula1>
    </dataValidation>
    <dataValidation type="list" allowBlank="1" showInputMessage="1" showErrorMessage="1" sqref="E23:E24 JA23:JA24 SW23:SW24 ACS23:ACS24 AMO23:AMO24 AWK23:AWK24 BGG23:BGG24 BQC23:BQC24 BZY23:BZY24 CJU23:CJU24 CTQ23:CTQ24 DDM23:DDM24 DNI23:DNI24 DXE23:DXE24 EHA23:EHA24 EQW23:EQW24 FAS23:FAS24 FKO23:FKO24 FUK23:FUK24 GEG23:GEG24 GOC23:GOC24 GXY23:GXY24 HHU23:HHU24 HRQ23:HRQ24 IBM23:IBM24 ILI23:ILI24 IVE23:IVE24 JFA23:JFA24 JOW23:JOW24 JYS23:JYS24 KIO23:KIO24 KSK23:KSK24 LCG23:LCG24 LMC23:LMC24 LVY23:LVY24 MFU23:MFU24 MPQ23:MPQ24 MZM23:MZM24 NJI23:NJI24 NTE23:NTE24 ODA23:ODA24 OMW23:OMW24 OWS23:OWS24 PGO23:PGO24 PQK23:PQK24 QAG23:QAG24 QKC23:QKC24 QTY23:QTY24 RDU23:RDU24 RNQ23:RNQ24 RXM23:RXM24 SHI23:SHI24 SRE23:SRE24 TBA23:TBA24 TKW23:TKW24 TUS23:TUS24 UEO23:UEO24 UOK23:UOK24 UYG23:UYG24 VIC23:VIC24 VRY23:VRY24 WBU23:WBU24 WLQ23:WLQ24 WVM23:WVM24 E65559:E65560 JA65559:JA65560 SW65559:SW65560 ACS65559:ACS65560 AMO65559:AMO65560 AWK65559:AWK65560 BGG65559:BGG65560 BQC65559:BQC65560 BZY65559:BZY65560 CJU65559:CJU65560 CTQ65559:CTQ65560 DDM65559:DDM65560 DNI65559:DNI65560 DXE65559:DXE65560 EHA65559:EHA65560 EQW65559:EQW65560 FAS65559:FAS65560 FKO65559:FKO65560 FUK65559:FUK65560 GEG65559:GEG65560 GOC65559:GOC65560 GXY65559:GXY65560 HHU65559:HHU65560 HRQ65559:HRQ65560 IBM65559:IBM65560 ILI65559:ILI65560 IVE65559:IVE65560 JFA65559:JFA65560 JOW65559:JOW65560 JYS65559:JYS65560 KIO65559:KIO65560 KSK65559:KSK65560 LCG65559:LCG65560 LMC65559:LMC65560 LVY65559:LVY65560 MFU65559:MFU65560 MPQ65559:MPQ65560 MZM65559:MZM65560 NJI65559:NJI65560 NTE65559:NTE65560 ODA65559:ODA65560 OMW65559:OMW65560 OWS65559:OWS65560 PGO65559:PGO65560 PQK65559:PQK65560 QAG65559:QAG65560 QKC65559:QKC65560 QTY65559:QTY65560 RDU65559:RDU65560 RNQ65559:RNQ65560 RXM65559:RXM65560 SHI65559:SHI65560 SRE65559:SRE65560 TBA65559:TBA65560 TKW65559:TKW65560 TUS65559:TUS65560 UEO65559:UEO65560 UOK65559:UOK65560 UYG65559:UYG65560 VIC65559:VIC65560 VRY65559:VRY65560 WBU65559:WBU65560 WLQ65559:WLQ65560 WVM65559:WVM65560 E131095:E131096 JA131095:JA131096 SW131095:SW131096 ACS131095:ACS131096 AMO131095:AMO131096 AWK131095:AWK131096 BGG131095:BGG131096 BQC131095:BQC131096 BZY131095:BZY131096 CJU131095:CJU131096 CTQ131095:CTQ131096 DDM131095:DDM131096 DNI131095:DNI131096 DXE131095:DXE131096 EHA131095:EHA131096 EQW131095:EQW131096 FAS131095:FAS131096 FKO131095:FKO131096 FUK131095:FUK131096 GEG131095:GEG131096 GOC131095:GOC131096 GXY131095:GXY131096 HHU131095:HHU131096 HRQ131095:HRQ131096 IBM131095:IBM131096 ILI131095:ILI131096 IVE131095:IVE131096 JFA131095:JFA131096 JOW131095:JOW131096 JYS131095:JYS131096 KIO131095:KIO131096 KSK131095:KSK131096 LCG131095:LCG131096 LMC131095:LMC131096 LVY131095:LVY131096 MFU131095:MFU131096 MPQ131095:MPQ131096 MZM131095:MZM131096 NJI131095:NJI131096 NTE131095:NTE131096 ODA131095:ODA131096 OMW131095:OMW131096 OWS131095:OWS131096 PGO131095:PGO131096 PQK131095:PQK131096 QAG131095:QAG131096 QKC131095:QKC131096 QTY131095:QTY131096 RDU131095:RDU131096 RNQ131095:RNQ131096 RXM131095:RXM131096 SHI131095:SHI131096 SRE131095:SRE131096 TBA131095:TBA131096 TKW131095:TKW131096 TUS131095:TUS131096 UEO131095:UEO131096 UOK131095:UOK131096 UYG131095:UYG131096 VIC131095:VIC131096 VRY131095:VRY131096 WBU131095:WBU131096 WLQ131095:WLQ131096 WVM131095:WVM131096 E196631:E196632 JA196631:JA196632 SW196631:SW196632 ACS196631:ACS196632 AMO196631:AMO196632 AWK196631:AWK196632 BGG196631:BGG196632 BQC196631:BQC196632 BZY196631:BZY196632 CJU196631:CJU196632 CTQ196631:CTQ196632 DDM196631:DDM196632 DNI196631:DNI196632 DXE196631:DXE196632 EHA196631:EHA196632 EQW196631:EQW196632 FAS196631:FAS196632 FKO196631:FKO196632 FUK196631:FUK196632 GEG196631:GEG196632 GOC196631:GOC196632 GXY196631:GXY196632 HHU196631:HHU196632 HRQ196631:HRQ196632 IBM196631:IBM196632 ILI196631:ILI196632 IVE196631:IVE196632 JFA196631:JFA196632 JOW196631:JOW196632 JYS196631:JYS196632 KIO196631:KIO196632 KSK196631:KSK196632 LCG196631:LCG196632 LMC196631:LMC196632 LVY196631:LVY196632 MFU196631:MFU196632 MPQ196631:MPQ196632 MZM196631:MZM196632 NJI196631:NJI196632 NTE196631:NTE196632 ODA196631:ODA196632 OMW196631:OMW196632 OWS196631:OWS196632 PGO196631:PGO196632 PQK196631:PQK196632 QAG196631:QAG196632 QKC196631:QKC196632 QTY196631:QTY196632 RDU196631:RDU196632 RNQ196631:RNQ196632 RXM196631:RXM196632 SHI196631:SHI196632 SRE196631:SRE196632 TBA196631:TBA196632 TKW196631:TKW196632 TUS196631:TUS196632 UEO196631:UEO196632 UOK196631:UOK196632 UYG196631:UYG196632 VIC196631:VIC196632 VRY196631:VRY196632 WBU196631:WBU196632 WLQ196631:WLQ196632 WVM196631:WVM196632 E262167:E262168 JA262167:JA262168 SW262167:SW262168 ACS262167:ACS262168 AMO262167:AMO262168 AWK262167:AWK262168 BGG262167:BGG262168 BQC262167:BQC262168 BZY262167:BZY262168 CJU262167:CJU262168 CTQ262167:CTQ262168 DDM262167:DDM262168 DNI262167:DNI262168 DXE262167:DXE262168 EHA262167:EHA262168 EQW262167:EQW262168 FAS262167:FAS262168 FKO262167:FKO262168 FUK262167:FUK262168 GEG262167:GEG262168 GOC262167:GOC262168 GXY262167:GXY262168 HHU262167:HHU262168 HRQ262167:HRQ262168 IBM262167:IBM262168 ILI262167:ILI262168 IVE262167:IVE262168 JFA262167:JFA262168 JOW262167:JOW262168 JYS262167:JYS262168 KIO262167:KIO262168 KSK262167:KSK262168 LCG262167:LCG262168 LMC262167:LMC262168 LVY262167:LVY262168 MFU262167:MFU262168 MPQ262167:MPQ262168 MZM262167:MZM262168 NJI262167:NJI262168 NTE262167:NTE262168 ODA262167:ODA262168 OMW262167:OMW262168 OWS262167:OWS262168 PGO262167:PGO262168 PQK262167:PQK262168 QAG262167:QAG262168 QKC262167:QKC262168 QTY262167:QTY262168 RDU262167:RDU262168 RNQ262167:RNQ262168 RXM262167:RXM262168 SHI262167:SHI262168 SRE262167:SRE262168 TBA262167:TBA262168 TKW262167:TKW262168 TUS262167:TUS262168 UEO262167:UEO262168 UOK262167:UOK262168 UYG262167:UYG262168 VIC262167:VIC262168 VRY262167:VRY262168 WBU262167:WBU262168 WLQ262167:WLQ262168 WVM262167:WVM262168 E327703:E327704 JA327703:JA327704 SW327703:SW327704 ACS327703:ACS327704 AMO327703:AMO327704 AWK327703:AWK327704 BGG327703:BGG327704 BQC327703:BQC327704 BZY327703:BZY327704 CJU327703:CJU327704 CTQ327703:CTQ327704 DDM327703:DDM327704 DNI327703:DNI327704 DXE327703:DXE327704 EHA327703:EHA327704 EQW327703:EQW327704 FAS327703:FAS327704 FKO327703:FKO327704 FUK327703:FUK327704 GEG327703:GEG327704 GOC327703:GOC327704 GXY327703:GXY327704 HHU327703:HHU327704 HRQ327703:HRQ327704 IBM327703:IBM327704 ILI327703:ILI327704 IVE327703:IVE327704 JFA327703:JFA327704 JOW327703:JOW327704 JYS327703:JYS327704 KIO327703:KIO327704 KSK327703:KSK327704 LCG327703:LCG327704 LMC327703:LMC327704 LVY327703:LVY327704 MFU327703:MFU327704 MPQ327703:MPQ327704 MZM327703:MZM327704 NJI327703:NJI327704 NTE327703:NTE327704 ODA327703:ODA327704 OMW327703:OMW327704 OWS327703:OWS327704 PGO327703:PGO327704 PQK327703:PQK327704 QAG327703:QAG327704 QKC327703:QKC327704 QTY327703:QTY327704 RDU327703:RDU327704 RNQ327703:RNQ327704 RXM327703:RXM327704 SHI327703:SHI327704 SRE327703:SRE327704 TBA327703:TBA327704 TKW327703:TKW327704 TUS327703:TUS327704 UEO327703:UEO327704 UOK327703:UOK327704 UYG327703:UYG327704 VIC327703:VIC327704 VRY327703:VRY327704 WBU327703:WBU327704 WLQ327703:WLQ327704 WVM327703:WVM327704 E393239:E393240 JA393239:JA393240 SW393239:SW393240 ACS393239:ACS393240 AMO393239:AMO393240 AWK393239:AWK393240 BGG393239:BGG393240 BQC393239:BQC393240 BZY393239:BZY393240 CJU393239:CJU393240 CTQ393239:CTQ393240 DDM393239:DDM393240 DNI393239:DNI393240 DXE393239:DXE393240 EHA393239:EHA393240 EQW393239:EQW393240 FAS393239:FAS393240 FKO393239:FKO393240 FUK393239:FUK393240 GEG393239:GEG393240 GOC393239:GOC393240 GXY393239:GXY393240 HHU393239:HHU393240 HRQ393239:HRQ393240 IBM393239:IBM393240 ILI393239:ILI393240 IVE393239:IVE393240 JFA393239:JFA393240 JOW393239:JOW393240 JYS393239:JYS393240 KIO393239:KIO393240 KSK393239:KSK393240 LCG393239:LCG393240 LMC393239:LMC393240 LVY393239:LVY393240 MFU393239:MFU393240 MPQ393239:MPQ393240 MZM393239:MZM393240 NJI393239:NJI393240 NTE393239:NTE393240 ODA393239:ODA393240 OMW393239:OMW393240 OWS393239:OWS393240 PGO393239:PGO393240 PQK393239:PQK393240 QAG393239:QAG393240 QKC393239:QKC393240 QTY393239:QTY393240 RDU393239:RDU393240 RNQ393239:RNQ393240 RXM393239:RXM393240 SHI393239:SHI393240 SRE393239:SRE393240 TBA393239:TBA393240 TKW393239:TKW393240 TUS393239:TUS393240 UEO393239:UEO393240 UOK393239:UOK393240 UYG393239:UYG393240 VIC393239:VIC393240 VRY393239:VRY393240 WBU393239:WBU393240 WLQ393239:WLQ393240 WVM393239:WVM393240 E458775:E458776 JA458775:JA458776 SW458775:SW458776 ACS458775:ACS458776 AMO458775:AMO458776 AWK458775:AWK458776 BGG458775:BGG458776 BQC458775:BQC458776 BZY458775:BZY458776 CJU458775:CJU458776 CTQ458775:CTQ458776 DDM458775:DDM458776 DNI458775:DNI458776 DXE458775:DXE458776 EHA458775:EHA458776 EQW458775:EQW458776 FAS458775:FAS458776 FKO458775:FKO458776 FUK458775:FUK458776 GEG458775:GEG458776 GOC458775:GOC458776 GXY458775:GXY458776 HHU458775:HHU458776 HRQ458775:HRQ458776 IBM458775:IBM458776 ILI458775:ILI458776 IVE458775:IVE458776 JFA458775:JFA458776 JOW458775:JOW458776 JYS458775:JYS458776 KIO458775:KIO458776 KSK458775:KSK458776 LCG458775:LCG458776 LMC458775:LMC458776 LVY458775:LVY458776 MFU458775:MFU458776 MPQ458775:MPQ458776 MZM458775:MZM458776 NJI458775:NJI458776 NTE458775:NTE458776 ODA458775:ODA458776 OMW458775:OMW458776 OWS458775:OWS458776 PGO458775:PGO458776 PQK458775:PQK458776 QAG458775:QAG458776 QKC458775:QKC458776 QTY458775:QTY458776 RDU458775:RDU458776 RNQ458775:RNQ458776 RXM458775:RXM458776 SHI458775:SHI458776 SRE458775:SRE458776 TBA458775:TBA458776 TKW458775:TKW458776 TUS458775:TUS458776 UEO458775:UEO458776 UOK458775:UOK458776 UYG458775:UYG458776 VIC458775:VIC458776 VRY458775:VRY458776 WBU458775:WBU458776 WLQ458775:WLQ458776 WVM458775:WVM458776 E524311:E524312 JA524311:JA524312 SW524311:SW524312 ACS524311:ACS524312 AMO524311:AMO524312 AWK524311:AWK524312 BGG524311:BGG524312 BQC524311:BQC524312 BZY524311:BZY524312 CJU524311:CJU524312 CTQ524311:CTQ524312 DDM524311:DDM524312 DNI524311:DNI524312 DXE524311:DXE524312 EHA524311:EHA524312 EQW524311:EQW524312 FAS524311:FAS524312 FKO524311:FKO524312 FUK524311:FUK524312 GEG524311:GEG524312 GOC524311:GOC524312 GXY524311:GXY524312 HHU524311:HHU524312 HRQ524311:HRQ524312 IBM524311:IBM524312 ILI524311:ILI524312 IVE524311:IVE524312 JFA524311:JFA524312 JOW524311:JOW524312 JYS524311:JYS524312 KIO524311:KIO524312 KSK524311:KSK524312 LCG524311:LCG524312 LMC524311:LMC524312 LVY524311:LVY524312 MFU524311:MFU524312 MPQ524311:MPQ524312 MZM524311:MZM524312 NJI524311:NJI524312 NTE524311:NTE524312 ODA524311:ODA524312 OMW524311:OMW524312 OWS524311:OWS524312 PGO524311:PGO524312 PQK524311:PQK524312 QAG524311:QAG524312 QKC524311:QKC524312 QTY524311:QTY524312 RDU524311:RDU524312 RNQ524311:RNQ524312 RXM524311:RXM524312 SHI524311:SHI524312 SRE524311:SRE524312 TBA524311:TBA524312 TKW524311:TKW524312 TUS524311:TUS524312 UEO524311:UEO524312 UOK524311:UOK524312 UYG524311:UYG524312 VIC524311:VIC524312 VRY524311:VRY524312 WBU524311:WBU524312 WLQ524311:WLQ524312 WVM524311:WVM524312 E589847:E589848 JA589847:JA589848 SW589847:SW589848 ACS589847:ACS589848 AMO589847:AMO589848 AWK589847:AWK589848 BGG589847:BGG589848 BQC589847:BQC589848 BZY589847:BZY589848 CJU589847:CJU589848 CTQ589847:CTQ589848 DDM589847:DDM589848 DNI589847:DNI589848 DXE589847:DXE589848 EHA589847:EHA589848 EQW589847:EQW589848 FAS589847:FAS589848 FKO589847:FKO589848 FUK589847:FUK589848 GEG589847:GEG589848 GOC589847:GOC589848 GXY589847:GXY589848 HHU589847:HHU589848 HRQ589847:HRQ589848 IBM589847:IBM589848 ILI589847:ILI589848 IVE589847:IVE589848 JFA589847:JFA589848 JOW589847:JOW589848 JYS589847:JYS589848 KIO589847:KIO589848 KSK589847:KSK589848 LCG589847:LCG589848 LMC589847:LMC589848 LVY589847:LVY589848 MFU589847:MFU589848 MPQ589847:MPQ589848 MZM589847:MZM589848 NJI589847:NJI589848 NTE589847:NTE589848 ODA589847:ODA589848 OMW589847:OMW589848 OWS589847:OWS589848 PGO589847:PGO589848 PQK589847:PQK589848 QAG589847:QAG589848 QKC589847:QKC589848 QTY589847:QTY589848 RDU589847:RDU589848 RNQ589847:RNQ589848 RXM589847:RXM589848 SHI589847:SHI589848 SRE589847:SRE589848 TBA589847:TBA589848 TKW589847:TKW589848 TUS589847:TUS589848 UEO589847:UEO589848 UOK589847:UOK589848 UYG589847:UYG589848 VIC589847:VIC589848 VRY589847:VRY589848 WBU589847:WBU589848 WLQ589847:WLQ589848 WVM589847:WVM589848 E655383:E655384 JA655383:JA655384 SW655383:SW655384 ACS655383:ACS655384 AMO655383:AMO655384 AWK655383:AWK655384 BGG655383:BGG655384 BQC655383:BQC655384 BZY655383:BZY655384 CJU655383:CJU655384 CTQ655383:CTQ655384 DDM655383:DDM655384 DNI655383:DNI655384 DXE655383:DXE655384 EHA655383:EHA655384 EQW655383:EQW655384 FAS655383:FAS655384 FKO655383:FKO655384 FUK655383:FUK655384 GEG655383:GEG655384 GOC655383:GOC655384 GXY655383:GXY655384 HHU655383:HHU655384 HRQ655383:HRQ655384 IBM655383:IBM655384 ILI655383:ILI655384 IVE655383:IVE655384 JFA655383:JFA655384 JOW655383:JOW655384 JYS655383:JYS655384 KIO655383:KIO655384 KSK655383:KSK655384 LCG655383:LCG655384 LMC655383:LMC655384 LVY655383:LVY655384 MFU655383:MFU655384 MPQ655383:MPQ655384 MZM655383:MZM655384 NJI655383:NJI655384 NTE655383:NTE655384 ODA655383:ODA655384 OMW655383:OMW655384 OWS655383:OWS655384 PGO655383:PGO655384 PQK655383:PQK655384 QAG655383:QAG655384 QKC655383:QKC655384 QTY655383:QTY655384 RDU655383:RDU655384 RNQ655383:RNQ655384 RXM655383:RXM655384 SHI655383:SHI655384 SRE655383:SRE655384 TBA655383:TBA655384 TKW655383:TKW655384 TUS655383:TUS655384 UEO655383:UEO655384 UOK655383:UOK655384 UYG655383:UYG655384 VIC655383:VIC655384 VRY655383:VRY655384 WBU655383:WBU655384 WLQ655383:WLQ655384 WVM655383:WVM655384 E720919:E720920 JA720919:JA720920 SW720919:SW720920 ACS720919:ACS720920 AMO720919:AMO720920 AWK720919:AWK720920 BGG720919:BGG720920 BQC720919:BQC720920 BZY720919:BZY720920 CJU720919:CJU720920 CTQ720919:CTQ720920 DDM720919:DDM720920 DNI720919:DNI720920 DXE720919:DXE720920 EHA720919:EHA720920 EQW720919:EQW720920 FAS720919:FAS720920 FKO720919:FKO720920 FUK720919:FUK720920 GEG720919:GEG720920 GOC720919:GOC720920 GXY720919:GXY720920 HHU720919:HHU720920 HRQ720919:HRQ720920 IBM720919:IBM720920 ILI720919:ILI720920 IVE720919:IVE720920 JFA720919:JFA720920 JOW720919:JOW720920 JYS720919:JYS720920 KIO720919:KIO720920 KSK720919:KSK720920 LCG720919:LCG720920 LMC720919:LMC720920 LVY720919:LVY720920 MFU720919:MFU720920 MPQ720919:MPQ720920 MZM720919:MZM720920 NJI720919:NJI720920 NTE720919:NTE720920 ODA720919:ODA720920 OMW720919:OMW720920 OWS720919:OWS720920 PGO720919:PGO720920 PQK720919:PQK720920 QAG720919:QAG720920 QKC720919:QKC720920 QTY720919:QTY720920 RDU720919:RDU720920 RNQ720919:RNQ720920 RXM720919:RXM720920 SHI720919:SHI720920 SRE720919:SRE720920 TBA720919:TBA720920 TKW720919:TKW720920 TUS720919:TUS720920 UEO720919:UEO720920 UOK720919:UOK720920 UYG720919:UYG720920 VIC720919:VIC720920 VRY720919:VRY720920 WBU720919:WBU720920 WLQ720919:WLQ720920 WVM720919:WVM720920 E786455:E786456 JA786455:JA786456 SW786455:SW786456 ACS786455:ACS786456 AMO786455:AMO786456 AWK786455:AWK786456 BGG786455:BGG786456 BQC786455:BQC786456 BZY786455:BZY786456 CJU786455:CJU786456 CTQ786455:CTQ786456 DDM786455:DDM786456 DNI786455:DNI786456 DXE786455:DXE786456 EHA786455:EHA786456 EQW786455:EQW786456 FAS786455:FAS786456 FKO786455:FKO786456 FUK786455:FUK786456 GEG786455:GEG786456 GOC786455:GOC786456 GXY786455:GXY786456 HHU786455:HHU786456 HRQ786455:HRQ786456 IBM786455:IBM786456 ILI786455:ILI786456 IVE786455:IVE786456 JFA786455:JFA786456 JOW786455:JOW786456 JYS786455:JYS786456 KIO786455:KIO786456 KSK786455:KSK786456 LCG786455:LCG786456 LMC786455:LMC786456 LVY786455:LVY786456 MFU786455:MFU786456 MPQ786455:MPQ786456 MZM786455:MZM786456 NJI786455:NJI786456 NTE786455:NTE786456 ODA786455:ODA786456 OMW786455:OMW786456 OWS786455:OWS786456 PGO786455:PGO786456 PQK786455:PQK786456 QAG786455:QAG786456 QKC786455:QKC786456 QTY786455:QTY786456 RDU786455:RDU786456 RNQ786455:RNQ786456 RXM786455:RXM786456 SHI786455:SHI786456 SRE786455:SRE786456 TBA786455:TBA786456 TKW786455:TKW786456 TUS786455:TUS786456 UEO786455:UEO786456 UOK786455:UOK786456 UYG786455:UYG786456 VIC786455:VIC786456 VRY786455:VRY786456 WBU786455:WBU786456 WLQ786455:WLQ786456 WVM786455:WVM786456 E851991:E851992 JA851991:JA851992 SW851991:SW851992 ACS851991:ACS851992 AMO851991:AMO851992 AWK851991:AWK851992 BGG851991:BGG851992 BQC851991:BQC851992 BZY851991:BZY851992 CJU851991:CJU851992 CTQ851991:CTQ851992 DDM851991:DDM851992 DNI851991:DNI851992 DXE851991:DXE851992 EHA851991:EHA851992 EQW851991:EQW851992 FAS851991:FAS851992 FKO851991:FKO851992 FUK851991:FUK851992 GEG851991:GEG851992 GOC851991:GOC851992 GXY851991:GXY851992 HHU851991:HHU851992 HRQ851991:HRQ851992 IBM851991:IBM851992 ILI851991:ILI851992 IVE851991:IVE851992 JFA851991:JFA851992 JOW851991:JOW851992 JYS851991:JYS851992 KIO851991:KIO851992 KSK851991:KSK851992 LCG851991:LCG851992 LMC851991:LMC851992 LVY851991:LVY851992 MFU851991:MFU851992 MPQ851991:MPQ851992 MZM851991:MZM851992 NJI851991:NJI851992 NTE851991:NTE851992 ODA851991:ODA851992 OMW851991:OMW851992 OWS851991:OWS851992 PGO851991:PGO851992 PQK851991:PQK851992 QAG851991:QAG851992 QKC851991:QKC851992 QTY851991:QTY851992 RDU851991:RDU851992 RNQ851991:RNQ851992 RXM851991:RXM851992 SHI851991:SHI851992 SRE851991:SRE851992 TBA851991:TBA851992 TKW851991:TKW851992 TUS851991:TUS851992 UEO851991:UEO851992 UOK851991:UOK851992 UYG851991:UYG851992 VIC851991:VIC851992 VRY851991:VRY851992 WBU851991:WBU851992 WLQ851991:WLQ851992 WVM851991:WVM851992 E917527:E917528 JA917527:JA917528 SW917527:SW917528 ACS917527:ACS917528 AMO917527:AMO917528 AWK917527:AWK917528 BGG917527:BGG917528 BQC917527:BQC917528 BZY917527:BZY917528 CJU917527:CJU917528 CTQ917527:CTQ917528 DDM917527:DDM917528 DNI917527:DNI917528 DXE917527:DXE917528 EHA917527:EHA917528 EQW917527:EQW917528 FAS917527:FAS917528 FKO917527:FKO917528 FUK917527:FUK917528 GEG917527:GEG917528 GOC917527:GOC917528 GXY917527:GXY917528 HHU917527:HHU917528 HRQ917527:HRQ917528 IBM917527:IBM917528 ILI917527:ILI917528 IVE917527:IVE917528 JFA917527:JFA917528 JOW917527:JOW917528 JYS917527:JYS917528 KIO917527:KIO917528 KSK917527:KSK917528 LCG917527:LCG917528 LMC917527:LMC917528 LVY917527:LVY917528 MFU917527:MFU917528 MPQ917527:MPQ917528 MZM917527:MZM917528 NJI917527:NJI917528 NTE917527:NTE917528 ODA917527:ODA917528 OMW917527:OMW917528 OWS917527:OWS917528 PGO917527:PGO917528 PQK917527:PQK917528 QAG917527:QAG917528 QKC917527:QKC917528 QTY917527:QTY917528 RDU917527:RDU917528 RNQ917527:RNQ917528 RXM917527:RXM917528 SHI917527:SHI917528 SRE917527:SRE917528 TBA917527:TBA917528 TKW917527:TKW917528 TUS917527:TUS917528 UEO917527:UEO917528 UOK917527:UOK917528 UYG917527:UYG917528 VIC917527:VIC917528 VRY917527:VRY917528 WBU917527:WBU917528 WLQ917527:WLQ917528 WVM917527:WVM917528 E983063:E983064 JA983063:JA983064 SW983063:SW983064 ACS983063:ACS983064 AMO983063:AMO983064 AWK983063:AWK983064 BGG983063:BGG983064 BQC983063:BQC983064 BZY983063:BZY983064 CJU983063:CJU983064 CTQ983063:CTQ983064 DDM983063:DDM983064 DNI983063:DNI983064 DXE983063:DXE983064 EHA983063:EHA983064 EQW983063:EQW983064 FAS983063:FAS983064 FKO983063:FKO983064 FUK983063:FUK983064 GEG983063:GEG983064 GOC983063:GOC983064 GXY983063:GXY983064 HHU983063:HHU983064 HRQ983063:HRQ983064 IBM983063:IBM983064 ILI983063:ILI983064 IVE983063:IVE983064 JFA983063:JFA983064 JOW983063:JOW983064 JYS983063:JYS983064 KIO983063:KIO983064 KSK983063:KSK983064 LCG983063:LCG983064 LMC983063:LMC983064 LVY983063:LVY983064 MFU983063:MFU983064 MPQ983063:MPQ983064 MZM983063:MZM983064 NJI983063:NJI983064 NTE983063:NTE983064 ODA983063:ODA983064 OMW983063:OMW983064 OWS983063:OWS983064 PGO983063:PGO983064 PQK983063:PQK983064 QAG983063:QAG983064 QKC983063:QKC983064 QTY983063:QTY983064 RDU983063:RDU983064 RNQ983063:RNQ983064 RXM983063:RXM983064 SHI983063:SHI983064 SRE983063:SRE983064 TBA983063:TBA983064 TKW983063:TKW983064 TUS983063:TUS983064 UEO983063:UEO983064 UOK983063:UOK983064 UYG983063:UYG983064 VIC983063:VIC983064 VRY983063:VRY983064 WBU983063:WBU983064 WLQ983063:WLQ983064 WVM983063:WVM983064 E14:E21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E65550:E65557 JA65550:JA65557 SW65550:SW65557 ACS65550:ACS65557 AMO65550:AMO65557 AWK65550:AWK65557 BGG65550:BGG65557 BQC65550:BQC65557 BZY65550:BZY65557 CJU65550:CJU65557 CTQ65550:CTQ65557 DDM65550:DDM65557 DNI65550:DNI65557 DXE65550:DXE65557 EHA65550:EHA65557 EQW65550:EQW65557 FAS65550:FAS65557 FKO65550:FKO65557 FUK65550:FUK65557 GEG65550:GEG65557 GOC65550:GOC65557 GXY65550:GXY65557 HHU65550:HHU65557 HRQ65550:HRQ65557 IBM65550:IBM65557 ILI65550:ILI65557 IVE65550:IVE65557 JFA65550:JFA65557 JOW65550:JOW65557 JYS65550:JYS65557 KIO65550:KIO65557 KSK65550:KSK65557 LCG65550:LCG65557 LMC65550:LMC65557 LVY65550:LVY65557 MFU65550:MFU65557 MPQ65550:MPQ65557 MZM65550:MZM65557 NJI65550:NJI65557 NTE65550:NTE65557 ODA65550:ODA65557 OMW65550:OMW65557 OWS65550:OWS65557 PGO65550:PGO65557 PQK65550:PQK65557 QAG65550:QAG65557 QKC65550:QKC65557 QTY65550:QTY65557 RDU65550:RDU65557 RNQ65550:RNQ65557 RXM65550:RXM65557 SHI65550:SHI65557 SRE65550:SRE65557 TBA65550:TBA65557 TKW65550:TKW65557 TUS65550:TUS65557 UEO65550:UEO65557 UOK65550:UOK65557 UYG65550:UYG65557 VIC65550:VIC65557 VRY65550:VRY65557 WBU65550:WBU65557 WLQ65550:WLQ65557 WVM65550:WVM65557 E131086:E131093 JA131086:JA131093 SW131086:SW131093 ACS131086:ACS131093 AMO131086:AMO131093 AWK131086:AWK131093 BGG131086:BGG131093 BQC131086:BQC131093 BZY131086:BZY131093 CJU131086:CJU131093 CTQ131086:CTQ131093 DDM131086:DDM131093 DNI131086:DNI131093 DXE131086:DXE131093 EHA131086:EHA131093 EQW131086:EQW131093 FAS131086:FAS131093 FKO131086:FKO131093 FUK131086:FUK131093 GEG131086:GEG131093 GOC131086:GOC131093 GXY131086:GXY131093 HHU131086:HHU131093 HRQ131086:HRQ131093 IBM131086:IBM131093 ILI131086:ILI131093 IVE131086:IVE131093 JFA131086:JFA131093 JOW131086:JOW131093 JYS131086:JYS131093 KIO131086:KIO131093 KSK131086:KSK131093 LCG131086:LCG131093 LMC131086:LMC131093 LVY131086:LVY131093 MFU131086:MFU131093 MPQ131086:MPQ131093 MZM131086:MZM131093 NJI131086:NJI131093 NTE131086:NTE131093 ODA131086:ODA131093 OMW131086:OMW131093 OWS131086:OWS131093 PGO131086:PGO131093 PQK131086:PQK131093 QAG131086:QAG131093 QKC131086:QKC131093 QTY131086:QTY131093 RDU131086:RDU131093 RNQ131086:RNQ131093 RXM131086:RXM131093 SHI131086:SHI131093 SRE131086:SRE131093 TBA131086:TBA131093 TKW131086:TKW131093 TUS131086:TUS131093 UEO131086:UEO131093 UOK131086:UOK131093 UYG131086:UYG131093 VIC131086:VIC131093 VRY131086:VRY131093 WBU131086:WBU131093 WLQ131086:WLQ131093 WVM131086:WVM131093 E196622:E196629 JA196622:JA196629 SW196622:SW196629 ACS196622:ACS196629 AMO196622:AMO196629 AWK196622:AWK196629 BGG196622:BGG196629 BQC196622:BQC196629 BZY196622:BZY196629 CJU196622:CJU196629 CTQ196622:CTQ196629 DDM196622:DDM196629 DNI196622:DNI196629 DXE196622:DXE196629 EHA196622:EHA196629 EQW196622:EQW196629 FAS196622:FAS196629 FKO196622:FKO196629 FUK196622:FUK196629 GEG196622:GEG196629 GOC196622:GOC196629 GXY196622:GXY196629 HHU196622:HHU196629 HRQ196622:HRQ196629 IBM196622:IBM196629 ILI196622:ILI196629 IVE196622:IVE196629 JFA196622:JFA196629 JOW196622:JOW196629 JYS196622:JYS196629 KIO196622:KIO196629 KSK196622:KSK196629 LCG196622:LCG196629 LMC196622:LMC196629 LVY196622:LVY196629 MFU196622:MFU196629 MPQ196622:MPQ196629 MZM196622:MZM196629 NJI196622:NJI196629 NTE196622:NTE196629 ODA196622:ODA196629 OMW196622:OMW196629 OWS196622:OWS196629 PGO196622:PGO196629 PQK196622:PQK196629 QAG196622:QAG196629 QKC196622:QKC196629 QTY196622:QTY196629 RDU196622:RDU196629 RNQ196622:RNQ196629 RXM196622:RXM196629 SHI196622:SHI196629 SRE196622:SRE196629 TBA196622:TBA196629 TKW196622:TKW196629 TUS196622:TUS196629 UEO196622:UEO196629 UOK196622:UOK196629 UYG196622:UYG196629 VIC196622:VIC196629 VRY196622:VRY196629 WBU196622:WBU196629 WLQ196622:WLQ196629 WVM196622:WVM196629 E262158:E262165 JA262158:JA262165 SW262158:SW262165 ACS262158:ACS262165 AMO262158:AMO262165 AWK262158:AWK262165 BGG262158:BGG262165 BQC262158:BQC262165 BZY262158:BZY262165 CJU262158:CJU262165 CTQ262158:CTQ262165 DDM262158:DDM262165 DNI262158:DNI262165 DXE262158:DXE262165 EHA262158:EHA262165 EQW262158:EQW262165 FAS262158:FAS262165 FKO262158:FKO262165 FUK262158:FUK262165 GEG262158:GEG262165 GOC262158:GOC262165 GXY262158:GXY262165 HHU262158:HHU262165 HRQ262158:HRQ262165 IBM262158:IBM262165 ILI262158:ILI262165 IVE262158:IVE262165 JFA262158:JFA262165 JOW262158:JOW262165 JYS262158:JYS262165 KIO262158:KIO262165 KSK262158:KSK262165 LCG262158:LCG262165 LMC262158:LMC262165 LVY262158:LVY262165 MFU262158:MFU262165 MPQ262158:MPQ262165 MZM262158:MZM262165 NJI262158:NJI262165 NTE262158:NTE262165 ODA262158:ODA262165 OMW262158:OMW262165 OWS262158:OWS262165 PGO262158:PGO262165 PQK262158:PQK262165 QAG262158:QAG262165 QKC262158:QKC262165 QTY262158:QTY262165 RDU262158:RDU262165 RNQ262158:RNQ262165 RXM262158:RXM262165 SHI262158:SHI262165 SRE262158:SRE262165 TBA262158:TBA262165 TKW262158:TKW262165 TUS262158:TUS262165 UEO262158:UEO262165 UOK262158:UOK262165 UYG262158:UYG262165 VIC262158:VIC262165 VRY262158:VRY262165 WBU262158:WBU262165 WLQ262158:WLQ262165 WVM262158:WVM262165 E327694:E327701 JA327694:JA327701 SW327694:SW327701 ACS327694:ACS327701 AMO327694:AMO327701 AWK327694:AWK327701 BGG327694:BGG327701 BQC327694:BQC327701 BZY327694:BZY327701 CJU327694:CJU327701 CTQ327694:CTQ327701 DDM327694:DDM327701 DNI327694:DNI327701 DXE327694:DXE327701 EHA327694:EHA327701 EQW327694:EQW327701 FAS327694:FAS327701 FKO327694:FKO327701 FUK327694:FUK327701 GEG327694:GEG327701 GOC327694:GOC327701 GXY327694:GXY327701 HHU327694:HHU327701 HRQ327694:HRQ327701 IBM327694:IBM327701 ILI327694:ILI327701 IVE327694:IVE327701 JFA327694:JFA327701 JOW327694:JOW327701 JYS327694:JYS327701 KIO327694:KIO327701 KSK327694:KSK327701 LCG327694:LCG327701 LMC327694:LMC327701 LVY327694:LVY327701 MFU327694:MFU327701 MPQ327694:MPQ327701 MZM327694:MZM327701 NJI327694:NJI327701 NTE327694:NTE327701 ODA327694:ODA327701 OMW327694:OMW327701 OWS327694:OWS327701 PGO327694:PGO327701 PQK327694:PQK327701 QAG327694:QAG327701 QKC327694:QKC327701 QTY327694:QTY327701 RDU327694:RDU327701 RNQ327694:RNQ327701 RXM327694:RXM327701 SHI327694:SHI327701 SRE327694:SRE327701 TBA327694:TBA327701 TKW327694:TKW327701 TUS327694:TUS327701 UEO327694:UEO327701 UOK327694:UOK327701 UYG327694:UYG327701 VIC327694:VIC327701 VRY327694:VRY327701 WBU327694:WBU327701 WLQ327694:WLQ327701 WVM327694:WVM327701 E393230:E393237 JA393230:JA393237 SW393230:SW393237 ACS393230:ACS393237 AMO393230:AMO393237 AWK393230:AWK393237 BGG393230:BGG393237 BQC393230:BQC393237 BZY393230:BZY393237 CJU393230:CJU393237 CTQ393230:CTQ393237 DDM393230:DDM393237 DNI393230:DNI393237 DXE393230:DXE393237 EHA393230:EHA393237 EQW393230:EQW393237 FAS393230:FAS393237 FKO393230:FKO393237 FUK393230:FUK393237 GEG393230:GEG393237 GOC393230:GOC393237 GXY393230:GXY393237 HHU393230:HHU393237 HRQ393230:HRQ393237 IBM393230:IBM393237 ILI393230:ILI393237 IVE393230:IVE393237 JFA393230:JFA393237 JOW393230:JOW393237 JYS393230:JYS393237 KIO393230:KIO393237 KSK393230:KSK393237 LCG393230:LCG393237 LMC393230:LMC393237 LVY393230:LVY393237 MFU393230:MFU393237 MPQ393230:MPQ393237 MZM393230:MZM393237 NJI393230:NJI393237 NTE393230:NTE393237 ODA393230:ODA393237 OMW393230:OMW393237 OWS393230:OWS393237 PGO393230:PGO393237 PQK393230:PQK393237 QAG393230:QAG393237 QKC393230:QKC393237 QTY393230:QTY393237 RDU393230:RDU393237 RNQ393230:RNQ393237 RXM393230:RXM393237 SHI393230:SHI393237 SRE393230:SRE393237 TBA393230:TBA393237 TKW393230:TKW393237 TUS393230:TUS393237 UEO393230:UEO393237 UOK393230:UOK393237 UYG393230:UYG393237 VIC393230:VIC393237 VRY393230:VRY393237 WBU393230:WBU393237 WLQ393230:WLQ393237 WVM393230:WVM393237 E458766:E458773 JA458766:JA458773 SW458766:SW458773 ACS458766:ACS458773 AMO458766:AMO458773 AWK458766:AWK458773 BGG458766:BGG458773 BQC458766:BQC458773 BZY458766:BZY458773 CJU458766:CJU458773 CTQ458766:CTQ458773 DDM458766:DDM458773 DNI458766:DNI458773 DXE458766:DXE458773 EHA458766:EHA458773 EQW458766:EQW458773 FAS458766:FAS458773 FKO458766:FKO458773 FUK458766:FUK458773 GEG458766:GEG458773 GOC458766:GOC458773 GXY458766:GXY458773 HHU458766:HHU458773 HRQ458766:HRQ458773 IBM458766:IBM458773 ILI458766:ILI458773 IVE458766:IVE458773 JFA458766:JFA458773 JOW458766:JOW458773 JYS458766:JYS458773 KIO458766:KIO458773 KSK458766:KSK458773 LCG458766:LCG458773 LMC458766:LMC458773 LVY458766:LVY458773 MFU458766:MFU458773 MPQ458766:MPQ458773 MZM458766:MZM458773 NJI458766:NJI458773 NTE458766:NTE458773 ODA458766:ODA458773 OMW458766:OMW458773 OWS458766:OWS458773 PGO458766:PGO458773 PQK458766:PQK458773 QAG458766:QAG458773 QKC458766:QKC458773 QTY458766:QTY458773 RDU458766:RDU458773 RNQ458766:RNQ458773 RXM458766:RXM458773 SHI458766:SHI458773 SRE458766:SRE458773 TBA458766:TBA458773 TKW458766:TKW458773 TUS458766:TUS458773 UEO458766:UEO458773 UOK458766:UOK458773 UYG458766:UYG458773 VIC458766:VIC458773 VRY458766:VRY458773 WBU458766:WBU458773 WLQ458766:WLQ458773 WVM458766:WVM458773 E524302:E524309 JA524302:JA524309 SW524302:SW524309 ACS524302:ACS524309 AMO524302:AMO524309 AWK524302:AWK524309 BGG524302:BGG524309 BQC524302:BQC524309 BZY524302:BZY524309 CJU524302:CJU524309 CTQ524302:CTQ524309 DDM524302:DDM524309 DNI524302:DNI524309 DXE524302:DXE524309 EHA524302:EHA524309 EQW524302:EQW524309 FAS524302:FAS524309 FKO524302:FKO524309 FUK524302:FUK524309 GEG524302:GEG524309 GOC524302:GOC524309 GXY524302:GXY524309 HHU524302:HHU524309 HRQ524302:HRQ524309 IBM524302:IBM524309 ILI524302:ILI524309 IVE524302:IVE524309 JFA524302:JFA524309 JOW524302:JOW524309 JYS524302:JYS524309 KIO524302:KIO524309 KSK524302:KSK524309 LCG524302:LCG524309 LMC524302:LMC524309 LVY524302:LVY524309 MFU524302:MFU524309 MPQ524302:MPQ524309 MZM524302:MZM524309 NJI524302:NJI524309 NTE524302:NTE524309 ODA524302:ODA524309 OMW524302:OMW524309 OWS524302:OWS524309 PGO524302:PGO524309 PQK524302:PQK524309 QAG524302:QAG524309 QKC524302:QKC524309 QTY524302:QTY524309 RDU524302:RDU524309 RNQ524302:RNQ524309 RXM524302:RXM524309 SHI524302:SHI524309 SRE524302:SRE524309 TBA524302:TBA524309 TKW524302:TKW524309 TUS524302:TUS524309 UEO524302:UEO524309 UOK524302:UOK524309 UYG524302:UYG524309 VIC524302:VIC524309 VRY524302:VRY524309 WBU524302:WBU524309 WLQ524302:WLQ524309 WVM524302:WVM524309 E589838:E589845 JA589838:JA589845 SW589838:SW589845 ACS589838:ACS589845 AMO589838:AMO589845 AWK589838:AWK589845 BGG589838:BGG589845 BQC589838:BQC589845 BZY589838:BZY589845 CJU589838:CJU589845 CTQ589838:CTQ589845 DDM589838:DDM589845 DNI589838:DNI589845 DXE589838:DXE589845 EHA589838:EHA589845 EQW589838:EQW589845 FAS589838:FAS589845 FKO589838:FKO589845 FUK589838:FUK589845 GEG589838:GEG589845 GOC589838:GOC589845 GXY589838:GXY589845 HHU589838:HHU589845 HRQ589838:HRQ589845 IBM589838:IBM589845 ILI589838:ILI589845 IVE589838:IVE589845 JFA589838:JFA589845 JOW589838:JOW589845 JYS589838:JYS589845 KIO589838:KIO589845 KSK589838:KSK589845 LCG589838:LCG589845 LMC589838:LMC589845 LVY589838:LVY589845 MFU589838:MFU589845 MPQ589838:MPQ589845 MZM589838:MZM589845 NJI589838:NJI589845 NTE589838:NTE589845 ODA589838:ODA589845 OMW589838:OMW589845 OWS589838:OWS589845 PGO589838:PGO589845 PQK589838:PQK589845 QAG589838:QAG589845 QKC589838:QKC589845 QTY589838:QTY589845 RDU589838:RDU589845 RNQ589838:RNQ589845 RXM589838:RXM589845 SHI589838:SHI589845 SRE589838:SRE589845 TBA589838:TBA589845 TKW589838:TKW589845 TUS589838:TUS589845 UEO589838:UEO589845 UOK589838:UOK589845 UYG589838:UYG589845 VIC589838:VIC589845 VRY589838:VRY589845 WBU589838:WBU589845 WLQ589838:WLQ589845 WVM589838:WVM589845 E655374:E655381 JA655374:JA655381 SW655374:SW655381 ACS655374:ACS655381 AMO655374:AMO655381 AWK655374:AWK655381 BGG655374:BGG655381 BQC655374:BQC655381 BZY655374:BZY655381 CJU655374:CJU655381 CTQ655374:CTQ655381 DDM655374:DDM655381 DNI655374:DNI655381 DXE655374:DXE655381 EHA655374:EHA655381 EQW655374:EQW655381 FAS655374:FAS655381 FKO655374:FKO655381 FUK655374:FUK655381 GEG655374:GEG655381 GOC655374:GOC655381 GXY655374:GXY655381 HHU655374:HHU655381 HRQ655374:HRQ655381 IBM655374:IBM655381 ILI655374:ILI655381 IVE655374:IVE655381 JFA655374:JFA655381 JOW655374:JOW655381 JYS655374:JYS655381 KIO655374:KIO655381 KSK655374:KSK655381 LCG655374:LCG655381 LMC655374:LMC655381 LVY655374:LVY655381 MFU655374:MFU655381 MPQ655374:MPQ655381 MZM655374:MZM655381 NJI655374:NJI655381 NTE655374:NTE655381 ODA655374:ODA655381 OMW655374:OMW655381 OWS655374:OWS655381 PGO655374:PGO655381 PQK655374:PQK655381 QAG655374:QAG655381 QKC655374:QKC655381 QTY655374:QTY655381 RDU655374:RDU655381 RNQ655374:RNQ655381 RXM655374:RXM655381 SHI655374:SHI655381 SRE655374:SRE655381 TBA655374:TBA655381 TKW655374:TKW655381 TUS655374:TUS655381 UEO655374:UEO655381 UOK655374:UOK655381 UYG655374:UYG655381 VIC655374:VIC655381 VRY655374:VRY655381 WBU655374:WBU655381 WLQ655374:WLQ655381 WVM655374:WVM655381 E720910:E720917 JA720910:JA720917 SW720910:SW720917 ACS720910:ACS720917 AMO720910:AMO720917 AWK720910:AWK720917 BGG720910:BGG720917 BQC720910:BQC720917 BZY720910:BZY720917 CJU720910:CJU720917 CTQ720910:CTQ720917 DDM720910:DDM720917 DNI720910:DNI720917 DXE720910:DXE720917 EHA720910:EHA720917 EQW720910:EQW720917 FAS720910:FAS720917 FKO720910:FKO720917 FUK720910:FUK720917 GEG720910:GEG720917 GOC720910:GOC720917 GXY720910:GXY720917 HHU720910:HHU720917 HRQ720910:HRQ720917 IBM720910:IBM720917 ILI720910:ILI720917 IVE720910:IVE720917 JFA720910:JFA720917 JOW720910:JOW720917 JYS720910:JYS720917 KIO720910:KIO720917 KSK720910:KSK720917 LCG720910:LCG720917 LMC720910:LMC720917 LVY720910:LVY720917 MFU720910:MFU720917 MPQ720910:MPQ720917 MZM720910:MZM720917 NJI720910:NJI720917 NTE720910:NTE720917 ODA720910:ODA720917 OMW720910:OMW720917 OWS720910:OWS720917 PGO720910:PGO720917 PQK720910:PQK720917 QAG720910:QAG720917 QKC720910:QKC720917 QTY720910:QTY720917 RDU720910:RDU720917 RNQ720910:RNQ720917 RXM720910:RXM720917 SHI720910:SHI720917 SRE720910:SRE720917 TBA720910:TBA720917 TKW720910:TKW720917 TUS720910:TUS720917 UEO720910:UEO720917 UOK720910:UOK720917 UYG720910:UYG720917 VIC720910:VIC720917 VRY720910:VRY720917 WBU720910:WBU720917 WLQ720910:WLQ720917 WVM720910:WVM720917 E786446:E786453 JA786446:JA786453 SW786446:SW786453 ACS786446:ACS786453 AMO786446:AMO786453 AWK786446:AWK786453 BGG786446:BGG786453 BQC786446:BQC786453 BZY786446:BZY786453 CJU786446:CJU786453 CTQ786446:CTQ786453 DDM786446:DDM786453 DNI786446:DNI786453 DXE786446:DXE786453 EHA786446:EHA786453 EQW786446:EQW786453 FAS786446:FAS786453 FKO786446:FKO786453 FUK786446:FUK786453 GEG786446:GEG786453 GOC786446:GOC786453 GXY786446:GXY786453 HHU786446:HHU786453 HRQ786446:HRQ786453 IBM786446:IBM786453 ILI786446:ILI786453 IVE786446:IVE786453 JFA786446:JFA786453 JOW786446:JOW786453 JYS786446:JYS786453 KIO786446:KIO786453 KSK786446:KSK786453 LCG786446:LCG786453 LMC786446:LMC786453 LVY786446:LVY786453 MFU786446:MFU786453 MPQ786446:MPQ786453 MZM786446:MZM786453 NJI786446:NJI786453 NTE786446:NTE786453 ODA786446:ODA786453 OMW786446:OMW786453 OWS786446:OWS786453 PGO786446:PGO786453 PQK786446:PQK786453 QAG786446:QAG786453 QKC786446:QKC786453 QTY786446:QTY786453 RDU786446:RDU786453 RNQ786446:RNQ786453 RXM786446:RXM786453 SHI786446:SHI786453 SRE786446:SRE786453 TBA786446:TBA786453 TKW786446:TKW786453 TUS786446:TUS786453 UEO786446:UEO786453 UOK786446:UOK786453 UYG786446:UYG786453 VIC786446:VIC786453 VRY786446:VRY786453 WBU786446:WBU786453 WLQ786446:WLQ786453 WVM786446:WVM786453 E851982:E851989 JA851982:JA851989 SW851982:SW851989 ACS851982:ACS851989 AMO851982:AMO851989 AWK851982:AWK851989 BGG851982:BGG851989 BQC851982:BQC851989 BZY851982:BZY851989 CJU851982:CJU851989 CTQ851982:CTQ851989 DDM851982:DDM851989 DNI851982:DNI851989 DXE851982:DXE851989 EHA851982:EHA851989 EQW851982:EQW851989 FAS851982:FAS851989 FKO851982:FKO851989 FUK851982:FUK851989 GEG851982:GEG851989 GOC851982:GOC851989 GXY851982:GXY851989 HHU851982:HHU851989 HRQ851982:HRQ851989 IBM851982:IBM851989 ILI851982:ILI851989 IVE851982:IVE851989 JFA851982:JFA851989 JOW851982:JOW851989 JYS851982:JYS851989 KIO851982:KIO851989 KSK851982:KSK851989 LCG851982:LCG851989 LMC851982:LMC851989 LVY851982:LVY851989 MFU851982:MFU851989 MPQ851982:MPQ851989 MZM851982:MZM851989 NJI851982:NJI851989 NTE851982:NTE851989 ODA851982:ODA851989 OMW851982:OMW851989 OWS851982:OWS851989 PGO851982:PGO851989 PQK851982:PQK851989 QAG851982:QAG851989 QKC851982:QKC851989 QTY851982:QTY851989 RDU851982:RDU851989 RNQ851982:RNQ851989 RXM851982:RXM851989 SHI851982:SHI851989 SRE851982:SRE851989 TBA851982:TBA851989 TKW851982:TKW851989 TUS851982:TUS851989 UEO851982:UEO851989 UOK851982:UOK851989 UYG851982:UYG851989 VIC851982:VIC851989 VRY851982:VRY851989 WBU851982:WBU851989 WLQ851982:WLQ851989 WVM851982:WVM851989 E917518:E917525 JA917518:JA917525 SW917518:SW917525 ACS917518:ACS917525 AMO917518:AMO917525 AWK917518:AWK917525 BGG917518:BGG917525 BQC917518:BQC917525 BZY917518:BZY917525 CJU917518:CJU917525 CTQ917518:CTQ917525 DDM917518:DDM917525 DNI917518:DNI917525 DXE917518:DXE917525 EHA917518:EHA917525 EQW917518:EQW917525 FAS917518:FAS917525 FKO917518:FKO917525 FUK917518:FUK917525 GEG917518:GEG917525 GOC917518:GOC917525 GXY917518:GXY917525 HHU917518:HHU917525 HRQ917518:HRQ917525 IBM917518:IBM917525 ILI917518:ILI917525 IVE917518:IVE917525 JFA917518:JFA917525 JOW917518:JOW917525 JYS917518:JYS917525 KIO917518:KIO917525 KSK917518:KSK917525 LCG917518:LCG917525 LMC917518:LMC917525 LVY917518:LVY917525 MFU917518:MFU917525 MPQ917518:MPQ917525 MZM917518:MZM917525 NJI917518:NJI917525 NTE917518:NTE917525 ODA917518:ODA917525 OMW917518:OMW917525 OWS917518:OWS917525 PGO917518:PGO917525 PQK917518:PQK917525 QAG917518:QAG917525 QKC917518:QKC917525 QTY917518:QTY917525 RDU917518:RDU917525 RNQ917518:RNQ917525 RXM917518:RXM917525 SHI917518:SHI917525 SRE917518:SRE917525 TBA917518:TBA917525 TKW917518:TKW917525 TUS917518:TUS917525 UEO917518:UEO917525 UOK917518:UOK917525 UYG917518:UYG917525 VIC917518:VIC917525 VRY917518:VRY917525 WBU917518:WBU917525 WLQ917518:WLQ917525 WVM917518:WVM917525 E983054:E983061 JA983054:JA983061 SW983054:SW983061 ACS983054:ACS983061 AMO983054:AMO983061 AWK983054:AWK983061 BGG983054:BGG983061 BQC983054:BQC983061 BZY983054:BZY983061 CJU983054:CJU983061 CTQ983054:CTQ983061 DDM983054:DDM983061 DNI983054:DNI983061 DXE983054:DXE983061 EHA983054:EHA983061 EQW983054:EQW983061 FAS983054:FAS983061 FKO983054:FKO983061 FUK983054:FUK983061 GEG983054:GEG983061 GOC983054:GOC983061 GXY983054:GXY983061 HHU983054:HHU983061 HRQ983054:HRQ983061 IBM983054:IBM983061 ILI983054:ILI983061 IVE983054:IVE983061 JFA983054:JFA983061 JOW983054:JOW983061 JYS983054:JYS983061 KIO983054:KIO983061 KSK983054:KSK983061 LCG983054:LCG983061 LMC983054:LMC983061 LVY983054:LVY983061 MFU983054:MFU983061 MPQ983054:MPQ983061 MZM983054:MZM983061 NJI983054:NJI983061 NTE983054:NTE983061 ODA983054:ODA983061 OMW983054:OMW983061 OWS983054:OWS983061 PGO983054:PGO983061 PQK983054:PQK983061 QAG983054:QAG983061 QKC983054:QKC983061 QTY983054:QTY983061 RDU983054:RDU983061 RNQ983054:RNQ983061 RXM983054:RXM983061 SHI983054:SHI983061 SRE983054:SRE983061 TBA983054:TBA983061 TKW983054:TKW983061 TUS983054:TUS983061 UEO983054:UEO983061 UOK983054:UOK983061 UYG983054:UYG983061 VIC983054:VIC983061 VRY983054:VRY983061 WBU983054:WBU983061 WLQ983054:WLQ983061 WVM983054:WVM983061" xr:uid="{00000000-0002-0000-0100-000001000000}">
      <formula1>"Low, Medium, High"</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64" customWidth="1"/>
    <col min="2" max="2" width="18.6640625" style="64" bestFit="1" customWidth="1"/>
    <col min="3" max="3" width="9.33203125" style="64" customWidth="1"/>
    <col min="4" max="4" width="38.33203125" style="64" customWidth="1"/>
    <col min="5" max="5" width="37.6640625" style="64" customWidth="1"/>
    <col min="6" max="6" width="24.77734375" style="64" customWidth="1"/>
    <col min="7" max="7" width="45.44140625" style="64" customWidth="1"/>
    <col min="8" max="8" width="38.21875" style="64" customWidth="1"/>
    <col min="9" max="9" width="25.21875" style="64" customWidth="1"/>
    <col min="10" max="16384" width="8.88671875" style="64"/>
  </cols>
  <sheetData>
    <row r="1" spans="1:9" ht="38.25">
      <c r="A1" s="57" t="s">
        <v>295</v>
      </c>
      <c r="B1" s="61" t="s">
        <v>187</v>
      </c>
      <c r="C1" s="62" t="s">
        <v>188</v>
      </c>
      <c r="D1" s="63" t="s">
        <v>189</v>
      </c>
      <c r="E1" s="63" t="s">
        <v>190</v>
      </c>
      <c r="F1" s="63" t="s">
        <v>191</v>
      </c>
      <c r="G1" s="63" t="s">
        <v>192</v>
      </c>
      <c r="H1" s="63" t="s">
        <v>193</v>
      </c>
      <c r="I1" s="63" t="s">
        <v>194</v>
      </c>
    </row>
    <row r="2" spans="1:9" ht="16.5" hidden="1">
      <c r="A2" s="65" t="s">
        <v>195</v>
      </c>
      <c r="B2" s="65" t="s">
        <v>196</v>
      </c>
      <c r="C2" s="66" t="s">
        <v>197</v>
      </c>
      <c r="D2" s="67" t="s">
        <v>198</v>
      </c>
      <c r="E2" s="67" t="s">
        <v>199</v>
      </c>
      <c r="F2" s="67" t="s">
        <v>200</v>
      </c>
      <c r="G2" s="67" t="s">
        <v>201</v>
      </c>
      <c r="H2" s="67" t="s">
        <v>202</v>
      </c>
      <c r="I2" s="67" t="s">
        <v>203</v>
      </c>
    </row>
    <row r="3" spans="1:9" ht="16.5">
      <c r="A3" s="65" t="s">
        <v>34</v>
      </c>
      <c r="B3" s="65" t="s">
        <v>35</v>
      </c>
      <c r="C3" s="66" t="s">
        <v>36</v>
      </c>
      <c r="D3" s="13" t="s">
        <v>292</v>
      </c>
      <c r="E3" s="67">
        <v>0</v>
      </c>
      <c r="F3" s="67"/>
      <c r="G3" s="68" t="s">
        <v>204</v>
      </c>
      <c r="H3" s="68" t="s">
        <v>204</v>
      </c>
      <c r="I3" s="68" t="s">
        <v>204</v>
      </c>
    </row>
    <row r="4" spans="1:9" ht="16.5">
      <c r="A4" s="65" t="s">
        <v>34</v>
      </c>
      <c r="B4" s="65" t="s">
        <v>35</v>
      </c>
      <c r="C4" s="66" t="s">
        <v>37</v>
      </c>
      <c r="D4" s="13" t="s">
        <v>293</v>
      </c>
      <c r="E4" s="67">
        <v>0</v>
      </c>
      <c r="F4" s="67"/>
      <c r="G4" s="68" t="s">
        <v>204</v>
      </c>
      <c r="H4" s="68" t="s">
        <v>204</v>
      </c>
      <c r="I4" s="68" t="s">
        <v>204</v>
      </c>
    </row>
    <row r="5" spans="1:9" ht="16.5">
      <c r="A5" s="65" t="s">
        <v>34</v>
      </c>
      <c r="B5" s="65" t="s">
        <v>35</v>
      </c>
      <c r="C5" s="66" t="s">
        <v>38</v>
      </c>
      <c r="D5" s="28" t="s">
        <v>180</v>
      </c>
      <c r="E5" s="67">
        <v>0</v>
      </c>
      <c r="F5" s="67"/>
      <c r="G5" s="68" t="s">
        <v>204</v>
      </c>
      <c r="H5" s="68" t="s">
        <v>204</v>
      </c>
      <c r="I5" s="68" t="s">
        <v>204</v>
      </c>
    </row>
    <row r="6" spans="1:9" ht="16.5">
      <c r="A6" s="65" t="s">
        <v>34</v>
      </c>
      <c r="B6" s="65" t="s">
        <v>39</v>
      </c>
      <c r="C6" s="66" t="s">
        <v>40</v>
      </c>
      <c r="D6" s="28" t="s">
        <v>180</v>
      </c>
      <c r="E6" s="67">
        <v>0</v>
      </c>
      <c r="F6" s="67"/>
      <c r="G6" s="68" t="s">
        <v>204</v>
      </c>
      <c r="H6" s="68" t="s">
        <v>204</v>
      </c>
      <c r="I6" s="68" t="s">
        <v>204</v>
      </c>
    </row>
    <row r="7" spans="1:9" ht="33">
      <c r="A7" s="65" t="s">
        <v>179</v>
      </c>
      <c r="B7" s="65" t="s">
        <v>35</v>
      </c>
      <c r="C7" s="66" t="s">
        <v>41</v>
      </c>
      <c r="D7" s="28" t="s">
        <v>205</v>
      </c>
      <c r="E7" s="67"/>
      <c r="F7" s="67"/>
      <c r="G7" s="68" t="s">
        <v>66</v>
      </c>
      <c r="H7" s="68"/>
      <c r="I7" s="68"/>
    </row>
    <row r="8" spans="1:9" ht="16.5">
      <c r="A8" s="65" t="s">
        <v>179</v>
      </c>
      <c r="B8" s="65" t="s">
        <v>35</v>
      </c>
      <c r="C8" s="66" t="s">
        <v>67</v>
      </c>
      <c r="D8" s="28" t="s">
        <v>206</v>
      </c>
      <c r="E8" s="67"/>
      <c r="F8" s="67"/>
      <c r="G8" s="69" t="s">
        <v>142</v>
      </c>
      <c r="H8" s="68"/>
      <c r="I8" s="68"/>
    </row>
    <row r="9" spans="1:9" ht="33">
      <c r="A9" s="65" t="s">
        <v>179</v>
      </c>
      <c r="B9" s="65" t="s">
        <v>35</v>
      </c>
      <c r="C9" s="66" t="s">
        <v>68</v>
      </c>
      <c r="D9" s="28" t="s">
        <v>207</v>
      </c>
      <c r="E9" s="67"/>
      <c r="F9" s="67"/>
      <c r="G9" s="68" t="s">
        <v>69</v>
      </c>
      <c r="H9" s="68"/>
      <c r="I9" s="68"/>
    </row>
    <row r="10" spans="1:9" ht="33">
      <c r="A10" s="65" t="s">
        <v>179</v>
      </c>
      <c r="B10" s="65" t="s">
        <v>35</v>
      </c>
      <c r="C10" s="66" t="s">
        <v>70</v>
      </c>
      <c r="D10" s="28" t="s">
        <v>208</v>
      </c>
      <c r="E10" s="67"/>
      <c r="F10" s="67"/>
      <c r="G10" s="69" t="s">
        <v>144</v>
      </c>
      <c r="H10" s="68"/>
      <c r="I10" s="68"/>
    </row>
    <row r="11" spans="1:9" ht="66">
      <c r="A11" s="65" t="s">
        <v>179</v>
      </c>
      <c r="B11" s="65" t="s">
        <v>35</v>
      </c>
      <c r="C11" s="66" t="s">
        <v>71</v>
      </c>
      <c r="D11" s="28" t="s">
        <v>209</v>
      </c>
      <c r="E11" s="67"/>
      <c r="F11" s="67"/>
      <c r="G11" s="68" t="s">
        <v>210</v>
      </c>
      <c r="H11" s="68"/>
      <c r="I11" s="68"/>
    </row>
    <row r="12" spans="1:9" ht="33">
      <c r="A12" s="65" t="s">
        <v>179</v>
      </c>
      <c r="B12" s="65" t="s">
        <v>35</v>
      </c>
      <c r="C12" s="66" t="s">
        <v>72</v>
      </c>
      <c r="D12" s="28" t="s">
        <v>211</v>
      </c>
      <c r="E12" s="67"/>
      <c r="F12" s="67"/>
      <c r="G12" s="69" t="s">
        <v>145</v>
      </c>
      <c r="H12" s="68"/>
      <c r="I12" s="68"/>
    </row>
    <row r="13" spans="1:9" ht="51">
      <c r="A13" s="65" t="s">
        <v>179</v>
      </c>
      <c r="B13" s="65" t="s">
        <v>35</v>
      </c>
      <c r="C13" s="66" t="s">
        <v>73</v>
      </c>
      <c r="D13" s="28" t="s">
        <v>212</v>
      </c>
      <c r="E13" s="67"/>
      <c r="F13" s="67"/>
      <c r="G13" s="68" t="s">
        <v>74</v>
      </c>
      <c r="H13" s="68"/>
      <c r="I13" s="68"/>
    </row>
    <row r="14" spans="1:9" ht="51">
      <c r="A14" s="65" t="s">
        <v>179</v>
      </c>
      <c r="B14" s="65" t="s">
        <v>35</v>
      </c>
      <c r="C14" s="66" t="s">
        <v>75</v>
      </c>
      <c r="D14" s="28" t="s">
        <v>213</v>
      </c>
      <c r="E14" s="67"/>
      <c r="F14" s="67"/>
      <c r="G14" s="69" t="s">
        <v>146</v>
      </c>
      <c r="H14" s="68"/>
      <c r="I14" s="68"/>
    </row>
    <row r="15" spans="1:9" ht="51">
      <c r="A15" s="65" t="s">
        <v>179</v>
      </c>
      <c r="B15" s="65" t="s">
        <v>35</v>
      </c>
      <c r="C15" s="66" t="s">
        <v>76</v>
      </c>
      <c r="D15" s="28" t="s">
        <v>214</v>
      </c>
      <c r="E15" s="67"/>
      <c r="F15" s="67"/>
      <c r="G15" s="69" t="s">
        <v>143</v>
      </c>
      <c r="H15" s="68"/>
      <c r="I15" s="68"/>
    </row>
    <row r="16" spans="1:9" ht="181.5">
      <c r="A16" s="65" t="s">
        <v>179</v>
      </c>
      <c r="B16" s="65" t="s">
        <v>35</v>
      </c>
      <c r="C16" s="66" t="s">
        <v>77</v>
      </c>
      <c r="D16" s="28" t="s">
        <v>215</v>
      </c>
      <c r="E16" s="67"/>
      <c r="F16" s="67"/>
      <c r="G16" s="68" t="s">
        <v>216</v>
      </c>
      <c r="H16" s="68"/>
      <c r="I16" s="68"/>
    </row>
    <row r="17" spans="1:9" ht="82.5">
      <c r="A17" s="65" t="s">
        <v>179</v>
      </c>
      <c r="B17" s="65" t="s">
        <v>35</v>
      </c>
      <c r="C17" s="66" t="s">
        <v>78</v>
      </c>
      <c r="D17" s="28" t="s">
        <v>217</v>
      </c>
      <c r="E17" s="67"/>
      <c r="F17" s="67"/>
      <c r="G17" s="68" t="s">
        <v>154</v>
      </c>
      <c r="H17" s="68"/>
      <c r="I17" s="68"/>
    </row>
    <row r="18" spans="1:9" ht="99">
      <c r="A18" s="65" t="s">
        <v>179</v>
      </c>
      <c r="B18" s="65" t="s">
        <v>35</v>
      </c>
      <c r="C18" s="66" t="s">
        <v>79</v>
      </c>
      <c r="D18" s="28" t="s">
        <v>218</v>
      </c>
      <c r="E18" s="67"/>
      <c r="F18" s="67"/>
      <c r="G18" s="68" t="s">
        <v>178</v>
      </c>
      <c r="H18" s="68"/>
      <c r="I18" s="68"/>
    </row>
    <row r="19" spans="1:9" ht="33">
      <c r="A19" s="65" t="s">
        <v>179</v>
      </c>
      <c r="B19" s="65" t="s">
        <v>35</v>
      </c>
      <c r="C19" s="66" t="s">
        <v>110</v>
      </c>
      <c r="D19" s="28" t="s">
        <v>219</v>
      </c>
      <c r="E19" s="67"/>
      <c r="F19" s="67"/>
      <c r="G19" s="68" t="s">
        <v>111</v>
      </c>
      <c r="H19" s="68"/>
      <c r="I19" s="68"/>
    </row>
    <row r="20" spans="1:9" ht="33">
      <c r="A20" s="65" t="s">
        <v>179</v>
      </c>
      <c r="B20" s="65" t="s">
        <v>35</v>
      </c>
      <c r="C20" s="66" t="s">
        <v>80</v>
      </c>
      <c r="D20" s="28" t="s">
        <v>220</v>
      </c>
      <c r="E20" s="67"/>
      <c r="F20" s="67"/>
      <c r="G20" s="68" t="s">
        <v>81</v>
      </c>
      <c r="H20" s="68"/>
      <c r="I20" s="68"/>
    </row>
    <row r="21" spans="1:9" ht="33">
      <c r="A21" s="65" t="s">
        <v>179</v>
      </c>
      <c r="B21" s="65" t="s">
        <v>35</v>
      </c>
      <c r="C21" s="66" t="s">
        <v>82</v>
      </c>
      <c r="D21" s="28" t="s">
        <v>221</v>
      </c>
      <c r="E21" s="67"/>
      <c r="F21" s="67"/>
      <c r="G21" s="68" t="s">
        <v>83</v>
      </c>
      <c r="H21" s="68"/>
      <c r="I21" s="68"/>
    </row>
    <row r="22" spans="1:9" ht="16.5">
      <c r="A22" s="65" t="s">
        <v>179</v>
      </c>
      <c r="B22" s="65" t="s">
        <v>35</v>
      </c>
      <c r="C22" s="66" t="s">
        <v>84</v>
      </c>
      <c r="D22" s="28" t="s">
        <v>222</v>
      </c>
      <c r="E22" s="67"/>
      <c r="F22" s="67"/>
      <c r="G22" s="68" t="s">
        <v>104</v>
      </c>
      <c r="H22" s="68"/>
      <c r="I22" s="68"/>
    </row>
    <row r="23" spans="1:9" ht="33">
      <c r="A23" s="70" t="s">
        <v>179</v>
      </c>
      <c r="B23" s="70" t="s">
        <v>35</v>
      </c>
      <c r="C23" s="71" t="s">
        <v>117</v>
      </c>
      <c r="D23" s="28" t="s">
        <v>223</v>
      </c>
      <c r="E23" s="69"/>
      <c r="F23" s="69"/>
      <c r="G23" s="69" t="s">
        <v>112</v>
      </c>
      <c r="H23" s="69"/>
      <c r="I23" s="69"/>
    </row>
    <row r="24" spans="1:9" ht="33">
      <c r="A24" s="70" t="s">
        <v>179</v>
      </c>
      <c r="B24" s="70" t="s">
        <v>35</v>
      </c>
      <c r="C24" s="71" t="s">
        <v>118</v>
      </c>
      <c r="D24" s="28" t="s">
        <v>224</v>
      </c>
      <c r="E24" s="69"/>
      <c r="F24" s="69"/>
      <c r="G24" s="69" t="s">
        <v>113</v>
      </c>
      <c r="H24" s="69"/>
      <c r="I24" s="69"/>
    </row>
    <row r="25" spans="1:9" ht="33">
      <c r="A25" s="70" t="s">
        <v>179</v>
      </c>
      <c r="B25" s="70" t="s">
        <v>35</v>
      </c>
      <c r="C25" s="71" t="s">
        <v>119</v>
      </c>
      <c r="D25" s="28" t="s">
        <v>225</v>
      </c>
      <c r="E25" s="69"/>
      <c r="F25" s="69"/>
      <c r="G25" s="69" t="s">
        <v>114</v>
      </c>
      <c r="H25" s="69"/>
      <c r="I25" s="69"/>
    </row>
    <row r="26" spans="1:9" ht="16.5">
      <c r="A26" s="70" t="s">
        <v>179</v>
      </c>
      <c r="B26" s="70" t="s">
        <v>35</v>
      </c>
      <c r="C26" s="71" t="s">
        <v>120</v>
      </c>
      <c r="D26" s="28" t="s">
        <v>226</v>
      </c>
      <c r="E26" s="69"/>
      <c r="F26" s="69"/>
      <c r="G26" s="69" t="s">
        <v>115</v>
      </c>
      <c r="H26" s="69"/>
      <c r="I26" s="69"/>
    </row>
    <row r="27" spans="1:9" ht="33">
      <c r="A27" s="70" t="s">
        <v>179</v>
      </c>
      <c r="B27" s="70" t="s">
        <v>35</v>
      </c>
      <c r="C27" s="71" t="s">
        <v>121</v>
      </c>
      <c r="D27" s="28" t="s">
        <v>227</v>
      </c>
      <c r="E27" s="69"/>
      <c r="F27" s="69"/>
      <c r="G27" s="69" t="s">
        <v>116</v>
      </c>
      <c r="H27" s="69"/>
      <c r="I27" s="69"/>
    </row>
    <row r="28" spans="1:9" ht="99">
      <c r="A28" s="70" t="s">
        <v>179</v>
      </c>
      <c r="B28" s="70" t="s">
        <v>35</v>
      </c>
      <c r="C28" s="71" t="s">
        <v>122</v>
      </c>
      <c r="D28" s="28" t="s">
        <v>228</v>
      </c>
      <c r="E28" s="69"/>
      <c r="F28" s="69"/>
      <c r="G28" s="69" t="s">
        <v>155</v>
      </c>
      <c r="H28" s="69"/>
      <c r="I28" s="69"/>
    </row>
    <row r="29" spans="1:9" ht="99">
      <c r="A29" s="70" t="s">
        <v>179</v>
      </c>
      <c r="B29" s="70" t="s">
        <v>35</v>
      </c>
      <c r="C29" s="71" t="s">
        <v>123</v>
      </c>
      <c r="D29" s="28" t="s">
        <v>229</v>
      </c>
      <c r="E29" s="69"/>
      <c r="F29" s="69"/>
      <c r="G29" s="69" t="s">
        <v>151</v>
      </c>
      <c r="H29" s="69"/>
      <c r="I29" s="69"/>
    </row>
    <row r="30" spans="1:9" ht="82.5">
      <c r="A30" s="70" t="s">
        <v>179</v>
      </c>
      <c r="B30" s="70" t="s">
        <v>35</v>
      </c>
      <c r="C30" s="71" t="s">
        <v>124</v>
      </c>
      <c r="D30" s="28" t="s">
        <v>230</v>
      </c>
      <c r="E30" s="69"/>
      <c r="F30" s="69"/>
      <c r="G30" s="69" t="s">
        <v>152</v>
      </c>
      <c r="H30" s="69"/>
      <c r="I30" s="69"/>
    </row>
    <row r="31" spans="1:9" ht="115.5">
      <c r="A31" s="70" t="s">
        <v>179</v>
      </c>
      <c r="B31" s="70" t="s">
        <v>35</v>
      </c>
      <c r="C31" s="71" t="s">
        <v>125</v>
      </c>
      <c r="D31" s="28" t="s">
        <v>231</v>
      </c>
      <c r="E31" s="69"/>
      <c r="F31" s="69"/>
      <c r="G31" s="69" t="s">
        <v>153</v>
      </c>
      <c r="H31" s="69"/>
      <c r="I31" s="69"/>
    </row>
    <row r="32" spans="1:9" ht="78.75">
      <c r="A32" s="70" t="s">
        <v>179</v>
      </c>
      <c r="B32" s="70" t="s">
        <v>35</v>
      </c>
      <c r="C32" s="72" t="s">
        <v>148</v>
      </c>
      <c r="D32" s="28" t="s">
        <v>232</v>
      </c>
      <c r="E32" s="73"/>
      <c r="F32" s="73"/>
      <c r="G32" s="69" t="s">
        <v>85</v>
      </c>
      <c r="H32" s="69"/>
      <c r="I32" s="69"/>
    </row>
    <row r="33" spans="1:9" ht="66">
      <c r="A33" s="70" t="s">
        <v>179</v>
      </c>
      <c r="B33" s="70" t="s">
        <v>35</v>
      </c>
      <c r="C33" s="71" t="s">
        <v>147</v>
      </c>
      <c r="D33" s="28" t="s">
        <v>233</v>
      </c>
      <c r="E33" s="69"/>
      <c r="F33" s="69"/>
      <c r="G33" s="69" t="s">
        <v>126</v>
      </c>
      <c r="H33" s="69"/>
      <c r="I33" s="69"/>
    </row>
    <row r="34" spans="1:9" ht="38.25">
      <c r="A34" s="70" t="s">
        <v>179</v>
      </c>
      <c r="B34" s="70" t="s">
        <v>35</v>
      </c>
      <c r="C34" s="72" t="s">
        <v>129</v>
      </c>
      <c r="D34" s="28" t="s">
        <v>234</v>
      </c>
      <c r="E34" s="73"/>
      <c r="F34" s="58"/>
      <c r="G34" s="69" t="s">
        <v>131</v>
      </c>
      <c r="H34" s="69"/>
      <c r="I34" s="69"/>
    </row>
    <row r="35" spans="1:9" ht="16.5">
      <c r="A35" s="65" t="s">
        <v>179</v>
      </c>
      <c r="B35" s="65" t="s">
        <v>35</v>
      </c>
      <c r="C35" s="66" t="s">
        <v>101</v>
      </c>
      <c r="D35" s="28" t="s">
        <v>235</v>
      </c>
      <c r="E35" s="67"/>
      <c r="F35" s="67"/>
      <c r="G35" s="68" t="s">
        <v>86</v>
      </c>
      <c r="H35" s="68"/>
      <c r="I35" s="68"/>
    </row>
    <row r="36" spans="1:9" ht="33">
      <c r="A36" s="65" t="s">
        <v>179</v>
      </c>
      <c r="B36" s="65" t="s">
        <v>35</v>
      </c>
      <c r="C36" s="66" t="s">
        <v>92</v>
      </c>
      <c r="D36" s="28" t="s">
        <v>236</v>
      </c>
      <c r="E36" s="67"/>
      <c r="F36" s="67"/>
      <c r="G36" s="68" t="s">
        <v>87</v>
      </c>
      <c r="H36" s="68"/>
      <c r="I36" s="68"/>
    </row>
    <row r="37" spans="1:9" ht="16.5">
      <c r="A37" s="65" t="s">
        <v>179</v>
      </c>
      <c r="B37" s="65" t="s">
        <v>35</v>
      </c>
      <c r="C37" s="66" t="s">
        <v>93</v>
      </c>
      <c r="D37" s="28" t="s">
        <v>237</v>
      </c>
      <c r="E37" s="67"/>
      <c r="F37" s="67"/>
      <c r="G37" s="68" t="s">
        <v>88</v>
      </c>
      <c r="H37" s="68"/>
      <c r="I37" s="68"/>
    </row>
    <row r="38" spans="1:9" ht="109.5">
      <c r="A38" s="65" t="s">
        <v>179</v>
      </c>
      <c r="B38" s="65" t="s">
        <v>35</v>
      </c>
      <c r="C38" s="66" t="s">
        <v>100</v>
      </c>
      <c r="D38" s="28" t="s">
        <v>238</v>
      </c>
      <c r="E38" s="28"/>
      <c r="F38" s="67"/>
      <c r="G38" s="69" t="s">
        <v>239</v>
      </c>
      <c r="H38" s="68"/>
      <c r="I38" s="68"/>
    </row>
    <row r="39" spans="1:9" ht="148.5">
      <c r="A39" s="65" t="s">
        <v>179</v>
      </c>
      <c r="B39" s="65" t="s">
        <v>35</v>
      </c>
      <c r="C39" s="66" t="s">
        <v>102</v>
      </c>
      <c r="D39" s="28" t="s">
        <v>240</v>
      </c>
      <c r="E39" s="28"/>
      <c r="F39" s="67"/>
      <c r="G39" s="68" t="s">
        <v>241</v>
      </c>
      <c r="H39" s="68"/>
      <c r="I39" s="68"/>
    </row>
    <row r="40" spans="1:9" ht="99">
      <c r="A40" s="65" t="s">
        <v>179</v>
      </c>
      <c r="B40" s="65" t="s">
        <v>35</v>
      </c>
      <c r="C40" s="66" t="s">
        <v>89</v>
      </c>
      <c r="D40" s="28" t="s">
        <v>242</v>
      </c>
      <c r="E40" s="28"/>
      <c r="F40" s="67"/>
      <c r="G40" s="68" t="s">
        <v>243</v>
      </c>
      <c r="H40" s="68"/>
      <c r="I40" s="68"/>
    </row>
    <row r="41" spans="1:9" ht="66">
      <c r="A41" s="65" t="s">
        <v>179</v>
      </c>
      <c r="B41" s="65" t="s">
        <v>35</v>
      </c>
      <c r="C41" s="66" t="s">
        <v>90</v>
      </c>
      <c r="D41" s="28" t="s">
        <v>244</v>
      </c>
      <c r="E41" s="28"/>
      <c r="F41" s="67"/>
      <c r="G41" s="68" t="s">
        <v>94</v>
      </c>
      <c r="H41" s="68"/>
      <c r="I41" s="68"/>
    </row>
    <row r="42" spans="1:9" ht="66">
      <c r="A42" s="65" t="s">
        <v>179</v>
      </c>
      <c r="B42" s="65" t="s">
        <v>35</v>
      </c>
      <c r="C42" s="66" t="s">
        <v>103</v>
      </c>
      <c r="D42" s="28" t="s">
        <v>245</v>
      </c>
      <c r="E42" s="28"/>
      <c r="F42" s="67"/>
      <c r="G42" s="68" t="s">
        <v>95</v>
      </c>
      <c r="H42" s="68"/>
      <c r="I42" s="68"/>
    </row>
    <row r="43" spans="1:9" ht="231">
      <c r="A43" s="65" t="s">
        <v>179</v>
      </c>
      <c r="B43" s="65" t="s">
        <v>35</v>
      </c>
      <c r="C43" s="66" t="s">
        <v>91</v>
      </c>
      <c r="D43" s="28" t="s">
        <v>246</v>
      </c>
      <c r="E43" s="28"/>
      <c r="F43" s="67"/>
      <c r="G43" s="68" t="s">
        <v>247</v>
      </c>
      <c r="H43" s="68"/>
      <c r="I43" s="68"/>
    </row>
    <row r="44" spans="1:9" ht="99">
      <c r="A44" s="65" t="s">
        <v>179</v>
      </c>
      <c r="B44" s="65" t="s">
        <v>35</v>
      </c>
      <c r="C44" s="66" t="s">
        <v>96</v>
      </c>
      <c r="D44" s="28" t="s">
        <v>248</v>
      </c>
      <c r="E44" s="28"/>
      <c r="F44" s="67"/>
      <c r="G44" s="68" t="s">
        <v>97</v>
      </c>
      <c r="H44" s="68"/>
      <c r="I44" s="68"/>
    </row>
    <row r="45" spans="1:9" ht="99">
      <c r="A45" s="65" t="s">
        <v>179</v>
      </c>
      <c r="B45" s="65" t="s">
        <v>35</v>
      </c>
      <c r="C45" s="66" t="s">
        <v>99</v>
      </c>
      <c r="D45" s="28" t="s">
        <v>249</v>
      </c>
      <c r="E45" s="28"/>
      <c r="F45" s="67"/>
      <c r="G45" s="68" t="s">
        <v>98</v>
      </c>
      <c r="H45" s="68"/>
      <c r="I45" s="68"/>
    </row>
    <row r="46" spans="1:9" ht="25.5">
      <c r="A46" s="65" t="s">
        <v>179</v>
      </c>
      <c r="B46" s="65" t="s">
        <v>35</v>
      </c>
      <c r="C46" s="66" t="s">
        <v>105</v>
      </c>
      <c r="D46" s="28" t="s">
        <v>250</v>
      </c>
      <c r="E46" s="67"/>
      <c r="F46" s="67"/>
      <c r="G46" s="68" t="s">
        <v>106</v>
      </c>
      <c r="H46" s="68"/>
      <c r="I46" s="68"/>
    </row>
    <row r="47" spans="1:9" ht="33">
      <c r="A47" s="65" t="s">
        <v>179</v>
      </c>
      <c r="B47" s="65" t="s">
        <v>35</v>
      </c>
      <c r="C47" s="66" t="s">
        <v>108</v>
      </c>
      <c r="D47" s="28" t="s">
        <v>251</v>
      </c>
      <c r="E47" s="67"/>
      <c r="F47" s="67"/>
      <c r="G47" s="68" t="s">
        <v>107</v>
      </c>
      <c r="H47" s="68"/>
      <c r="I47" s="68"/>
    </row>
    <row r="48" spans="1:9" ht="51">
      <c r="A48" s="65" t="s">
        <v>179</v>
      </c>
      <c r="B48" s="65" t="s">
        <v>39</v>
      </c>
      <c r="C48" s="66" t="s">
        <v>174</v>
      </c>
      <c r="D48" s="28" t="s">
        <v>252</v>
      </c>
      <c r="E48" s="67"/>
      <c r="F48" s="67"/>
      <c r="G48" s="68" t="s">
        <v>166</v>
      </c>
      <c r="H48" s="68"/>
      <c r="I48" s="68"/>
    </row>
    <row r="49" spans="1:12" ht="66">
      <c r="A49" s="65" t="s">
        <v>179</v>
      </c>
      <c r="B49" s="65" t="s">
        <v>39</v>
      </c>
      <c r="C49" s="66" t="s">
        <v>165</v>
      </c>
      <c r="D49" s="28" t="s">
        <v>253</v>
      </c>
      <c r="E49" s="67"/>
      <c r="F49" s="67"/>
      <c r="G49" s="68" t="s">
        <v>156</v>
      </c>
      <c r="H49" s="68"/>
      <c r="I49" s="68"/>
    </row>
    <row r="50" spans="1:12" ht="75">
      <c r="A50" s="70">
        <v>1</v>
      </c>
      <c r="B50" s="65" t="s">
        <v>35</v>
      </c>
      <c r="C50" s="66" t="s">
        <v>41</v>
      </c>
      <c r="D50" s="67" t="s">
        <v>254</v>
      </c>
      <c r="E50" s="67" t="s">
        <v>255</v>
      </c>
      <c r="F50" s="59" t="s">
        <v>183</v>
      </c>
      <c r="G50" s="67" t="s">
        <v>49</v>
      </c>
      <c r="H50" s="67" t="s">
        <v>50</v>
      </c>
      <c r="I50" s="74" t="s">
        <v>184</v>
      </c>
    </row>
    <row r="51" spans="1:12" ht="33">
      <c r="A51" s="70">
        <v>2</v>
      </c>
      <c r="B51" s="65" t="s">
        <v>35</v>
      </c>
      <c r="C51" s="66" t="s">
        <v>41</v>
      </c>
      <c r="D51" s="67" t="s">
        <v>256</v>
      </c>
      <c r="E51" s="67" t="s">
        <v>257</v>
      </c>
      <c r="F51" s="67"/>
      <c r="G51" s="67" t="s">
        <v>51</v>
      </c>
      <c r="H51" s="67" t="s">
        <v>52</v>
      </c>
      <c r="I51" s="67"/>
    </row>
    <row r="52" spans="1:12" ht="37.5" customHeight="1">
      <c r="A52" s="70">
        <v>3</v>
      </c>
      <c r="B52" s="65" t="s">
        <v>35</v>
      </c>
      <c r="C52" s="66" t="s">
        <v>42</v>
      </c>
      <c r="D52" s="67" t="s">
        <v>258</v>
      </c>
      <c r="E52" s="67" t="s">
        <v>259</v>
      </c>
      <c r="F52" s="59" t="s">
        <v>181</v>
      </c>
      <c r="G52" s="67" t="s">
        <v>53</v>
      </c>
      <c r="H52" s="67" t="s">
        <v>54</v>
      </c>
      <c r="I52" s="74" t="s">
        <v>182</v>
      </c>
    </row>
    <row r="53" spans="1:12" ht="49.5">
      <c r="A53" s="70">
        <v>4</v>
      </c>
      <c r="B53" s="65" t="s">
        <v>35</v>
      </c>
      <c r="C53" s="66" t="s">
        <v>43</v>
      </c>
      <c r="D53" s="67" t="s">
        <v>260</v>
      </c>
      <c r="E53" s="67" t="s">
        <v>261</v>
      </c>
      <c r="F53" s="67"/>
      <c r="G53" s="67" t="s">
        <v>55</v>
      </c>
      <c r="H53" s="67" t="s">
        <v>150</v>
      </c>
      <c r="I53" s="67"/>
    </row>
    <row r="54" spans="1:12" ht="75">
      <c r="A54" s="70">
        <v>5</v>
      </c>
      <c r="B54" s="65" t="s">
        <v>35</v>
      </c>
      <c r="C54" s="66" t="s">
        <v>44</v>
      </c>
      <c r="D54" s="67" t="s">
        <v>262</v>
      </c>
      <c r="E54" s="67" t="s">
        <v>263</v>
      </c>
      <c r="F54" s="59" t="s">
        <v>185</v>
      </c>
      <c r="G54" s="67" t="s">
        <v>56</v>
      </c>
      <c r="H54" s="67" t="s">
        <v>57</v>
      </c>
      <c r="I54" s="74" t="s">
        <v>186</v>
      </c>
    </row>
    <row r="55" spans="1:12" ht="37.5" customHeight="1">
      <c r="A55" s="70">
        <v>6</v>
      </c>
      <c r="B55" s="65" t="s">
        <v>35</v>
      </c>
      <c r="C55" s="66" t="s">
        <v>45</v>
      </c>
      <c r="D55" s="67" t="s">
        <v>264</v>
      </c>
      <c r="E55" s="67" t="s">
        <v>265</v>
      </c>
      <c r="F55" s="67"/>
      <c r="G55" s="67" t="s">
        <v>58</v>
      </c>
      <c r="H55" s="67" t="s">
        <v>59</v>
      </c>
      <c r="I55" s="67"/>
    </row>
    <row r="56" spans="1:12" ht="66">
      <c r="A56" s="70">
        <v>7</v>
      </c>
      <c r="B56" s="65" t="s">
        <v>35</v>
      </c>
      <c r="C56" s="72" t="s">
        <v>149</v>
      </c>
      <c r="D56" s="67" t="s">
        <v>266</v>
      </c>
      <c r="E56" s="67" t="s">
        <v>267</v>
      </c>
      <c r="F56" s="67"/>
      <c r="G56" s="67" t="s">
        <v>60</v>
      </c>
      <c r="H56" s="67" t="s">
        <v>61</v>
      </c>
      <c r="I56" s="67"/>
    </row>
    <row r="57" spans="1:12" ht="33">
      <c r="A57" s="70">
        <v>8</v>
      </c>
      <c r="B57" s="65" t="s">
        <v>35</v>
      </c>
      <c r="C57" s="66" t="s">
        <v>46</v>
      </c>
      <c r="D57" s="67" t="s">
        <v>268</v>
      </c>
      <c r="E57" s="67" t="s">
        <v>269</v>
      </c>
      <c r="F57" s="67"/>
      <c r="G57" s="67" t="s">
        <v>62</v>
      </c>
      <c r="H57" s="67" t="s">
        <v>63</v>
      </c>
      <c r="I57" s="67"/>
    </row>
    <row r="58" spans="1:12" ht="51">
      <c r="A58" s="70">
        <v>9</v>
      </c>
      <c r="B58" s="65" t="s">
        <v>47</v>
      </c>
      <c r="C58" s="66" t="s">
        <v>48</v>
      </c>
      <c r="D58" s="67" t="s">
        <v>270</v>
      </c>
      <c r="E58" s="67" t="s">
        <v>271</v>
      </c>
      <c r="F58" s="59" t="s">
        <v>272</v>
      </c>
      <c r="G58" s="67" t="s">
        <v>64</v>
      </c>
      <c r="H58" s="67" t="s">
        <v>65</v>
      </c>
      <c r="I58" s="59" t="s">
        <v>157</v>
      </c>
    </row>
    <row r="59" spans="1:12" ht="82.5">
      <c r="A59" s="70">
        <v>10</v>
      </c>
      <c r="B59" s="70" t="s">
        <v>47</v>
      </c>
      <c r="C59" s="72" t="s">
        <v>130</v>
      </c>
      <c r="D59" s="73" t="s">
        <v>273</v>
      </c>
      <c r="E59" s="73" t="s">
        <v>274</v>
      </c>
      <c r="F59" s="67"/>
      <c r="G59" s="73" t="s">
        <v>132</v>
      </c>
      <c r="H59" s="73" t="s">
        <v>133</v>
      </c>
      <c r="I59" s="67"/>
    </row>
    <row r="60" spans="1:12" ht="67.5">
      <c r="A60" s="70">
        <v>11</v>
      </c>
      <c r="B60" s="70" t="s">
        <v>127</v>
      </c>
      <c r="C60" s="72" t="s">
        <v>129</v>
      </c>
      <c r="D60" s="73" t="s">
        <v>275</v>
      </c>
      <c r="E60" s="73" t="s">
        <v>276</v>
      </c>
      <c r="F60" s="67"/>
      <c r="G60" s="73" t="s">
        <v>128</v>
      </c>
      <c r="H60" s="73" t="s">
        <v>277</v>
      </c>
      <c r="I60" s="75"/>
    </row>
    <row r="61" spans="1:12" ht="33">
      <c r="A61" s="70">
        <v>12</v>
      </c>
      <c r="B61" s="65" t="s">
        <v>39</v>
      </c>
      <c r="C61" s="72" t="s">
        <v>169</v>
      </c>
      <c r="D61" s="73" t="s">
        <v>168</v>
      </c>
      <c r="E61" s="73" t="s">
        <v>167</v>
      </c>
      <c r="F61" s="59" t="s">
        <v>278</v>
      </c>
      <c r="G61" s="73" t="s">
        <v>167</v>
      </c>
      <c r="H61" s="73" t="s">
        <v>167</v>
      </c>
      <c r="I61" s="59" t="s">
        <v>158</v>
      </c>
      <c r="K61" s="42"/>
      <c r="L61" s="42"/>
    </row>
    <row r="62" spans="1:12" ht="33">
      <c r="A62" s="70">
        <v>13</v>
      </c>
      <c r="B62" s="65" t="s">
        <v>39</v>
      </c>
      <c r="C62" s="72" t="s">
        <v>170</v>
      </c>
      <c r="D62" s="73" t="s">
        <v>168</v>
      </c>
      <c r="E62" s="73" t="s">
        <v>167</v>
      </c>
      <c r="F62" s="59" t="s">
        <v>279</v>
      </c>
      <c r="G62" s="73" t="s">
        <v>167</v>
      </c>
      <c r="H62" s="73" t="s">
        <v>167</v>
      </c>
      <c r="I62" s="59" t="s">
        <v>158</v>
      </c>
      <c r="K62" s="42"/>
      <c r="L62" s="42"/>
    </row>
    <row r="63" spans="1:12" ht="33">
      <c r="A63" s="70">
        <v>14</v>
      </c>
      <c r="B63" s="65" t="s">
        <v>39</v>
      </c>
      <c r="C63" s="72" t="s">
        <v>171</v>
      </c>
      <c r="D63" s="73" t="s">
        <v>168</v>
      </c>
      <c r="E63" s="73" t="s">
        <v>167</v>
      </c>
      <c r="F63" s="59" t="s">
        <v>280</v>
      </c>
      <c r="G63" s="73" t="s">
        <v>167</v>
      </c>
      <c r="H63" s="73" t="s">
        <v>167</v>
      </c>
      <c r="I63" s="59" t="s">
        <v>160</v>
      </c>
      <c r="K63" s="42"/>
      <c r="L63" s="42"/>
    </row>
    <row r="64" spans="1:12" ht="33">
      <c r="A64" s="70">
        <v>15</v>
      </c>
      <c r="B64" s="65" t="s">
        <v>39</v>
      </c>
      <c r="C64" s="72" t="s">
        <v>172</v>
      </c>
      <c r="D64" s="73" t="s">
        <v>168</v>
      </c>
      <c r="E64" s="73" t="s">
        <v>167</v>
      </c>
      <c r="F64" s="59" t="s">
        <v>281</v>
      </c>
      <c r="G64" s="73" t="s">
        <v>167</v>
      </c>
      <c r="H64" s="73" t="s">
        <v>167</v>
      </c>
      <c r="I64" s="59" t="s">
        <v>159</v>
      </c>
      <c r="K64" s="42"/>
      <c r="L64" s="42"/>
    </row>
    <row r="65" spans="1:12" ht="33">
      <c r="A65" s="70">
        <v>16</v>
      </c>
      <c r="B65" s="65" t="s">
        <v>39</v>
      </c>
      <c r="C65" s="72" t="s">
        <v>177</v>
      </c>
      <c r="D65" s="73" t="s">
        <v>168</v>
      </c>
      <c r="E65" s="73" t="s">
        <v>167</v>
      </c>
      <c r="F65" s="59" t="s">
        <v>282</v>
      </c>
      <c r="G65" s="73" t="s">
        <v>167</v>
      </c>
      <c r="H65" s="73" t="s">
        <v>167</v>
      </c>
      <c r="I65" s="59" t="s">
        <v>161</v>
      </c>
      <c r="K65" s="42"/>
      <c r="L65" s="42"/>
    </row>
    <row r="66" spans="1:12" ht="49.5">
      <c r="A66" s="70">
        <v>17</v>
      </c>
      <c r="B66" s="65" t="s">
        <v>39</v>
      </c>
      <c r="C66" s="72" t="s">
        <v>176</v>
      </c>
      <c r="D66" s="73" t="s">
        <v>168</v>
      </c>
      <c r="E66" s="73" t="s">
        <v>167</v>
      </c>
      <c r="F66" s="59" t="s">
        <v>283</v>
      </c>
      <c r="G66" s="73" t="s">
        <v>167</v>
      </c>
      <c r="H66" s="73" t="s">
        <v>167</v>
      </c>
      <c r="I66" s="59" t="s">
        <v>162</v>
      </c>
      <c r="K66" s="42"/>
      <c r="L66" s="42"/>
    </row>
    <row r="67" spans="1:12" ht="49.5">
      <c r="A67" s="70">
        <v>18</v>
      </c>
      <c r="B67" s="65" t="s">
        <v>39</v>
      </c>
      <c r="C67" s="72" t="s">
        <v>175</v>
      </c>
      <c r="D67" s="73" t="s">
        <v>168</v>
      </c>
      <c r="E67" s="73" t="s">
        <v>167</v>
      </c>
      <c r="F67" s="59" t="s">
        <v>284</v>
      </c>
      <c r="G67" s="73" t="s">
        <v>167</v>
      </c>
      <c r="H67" s="73" t="s">
        <v>167</v>
      </c>
      <c r="I67" s="59" t="s">
        <v>163</v>
      </c>
      <c r="K67" s="42"/>
      <c r="L67" s="42"/>
    </row>
    <row r="68" spans="1:12" ht="33">
      <c r="A68" s="70">
        <v>19</v>
      </c>
      <c r="B68" s="65" t="s">
        <v>39</v>
      </c>
      <c r="C68" s="72" t="s">
        <v>173</v>
      </c>
      <c r="D68" s="73" t="s">
        <v>168</v>
      </c>
      <c r="E68" s="73" t="s">
        <v>167</v>
      </c>
      <c r="F68" s="59" t="s">
        <v>285</v>
      </c>
      <c r="G68" s="73" t="s">
        <v>167</v>
      </c>
      <c r="H68" s="73" t="s">
        <v>167</v>
      </c>
      <c r="I68" s="59" t="s">
        <v>164</v>
      </c>
      <c r="K68" s="42"/>
      <c r="L68" s="42"/>
    </row>
    <row r="69" spans="1:12" ht="16.5">
      <c r="A69" s="65"/>
      <c r="B69" s="65" t="s">
        <v>286</v>
      </c>
      <c r="C69" s="66"/>
      <c r="D69" s="67"/>
      <c r="E69" s="67"/>
      <c r="F69" s="67"/>
      <c r="G69" s="67"/>
      <c r="H69" s="67"/>
      <c r="I69" s="67"/>
      <c r="L69" s="42"/>
    </row>
    <row r="70" spans="1:12">
      <c r="L70" s="42"/>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3" r:id="rId4" xr:uid="{00000000-0004-0000-0200-000004000000}"/>
    <hyperlink ref="F62" r:id="rId5" xr:uid="{00000000-0004-0000-0200-000005000000}"/>
    <hyperlink ref="F64" r:id="rId6" xr:uid="{00000000-0004-0000-0200-000006000000}"/>
    <hyperlink ref="I50" r:id="rId7" xr:uid="{00000000-0004-0000-0200-000007000000}"/>
    <hyperlink ref="I54" r:id="rId8" xr:uid="{00000000-0004-0000-0200-000008000000}"/>
    <hyperlink ref="F50" r:id="rId9" display="標準開発手順管理表" xr:uid="{00000000-0004-0000-0200-000009000000}"/>
    <hyperlink ref="F54" r:id="rId10" display="標準開発手順管理表" xr:uid="{00000000-0004-0000-0200-00000A000000}"/>
    <hyperlink ref="F52" r:id="rId11" display="プロジェクト計画書" xr:uid="{00000000-0004-0000-0200-00000B000000}"/>
    <hyperlink ref="I52" r:id="rId12" xr:uid="{00000000-0004-0000-0200-00000C000000}"/>
    <hyperlink ref="F65" r:id="rId13" xr:uid="{00000000-0004-0000-0200-00000D000000}"/>
    <hyperlink ref="F66" r:id="rId14" xr:uid="{00000000-0004-0000-0200-00000E000000}"/>
    <hyperlink ref="F67" r:id="rId15" xr:uid="{00000000-0004-0000-0200-00000F000000}"/>
    <hyperlink ref="F68" r:id="rId16" xr:uid="{00000000-0004-0000-0200-000010000000}"/>
    <hyperlink ref="I61" r:id="rId17" xr:uid="{00000000-0004-0000-0200-000011000000}"/>
    <hyperlink ref="I62" r:id="rId18" xr:uid="{00000000-0004-0000-0200-000012000000}"/>
    <hyperlink ref="I63" r:id="rId19" xr:uid="{00000000-0004-0000-0200-000013000000}"/>
    <hyperlink ref="I64" r:id="rId20" xr:uid="{00000000-0004-0000-0200-000014000000}"/>
    <hyperlink ref="I65" r:id="rId21" xr:uid="{00000000-0004-0000-0200-000015000000}"/>
    <hyperlink ref="I66" r:id="rId22" xr:uid="{00000000-0004-0000-0200-000016000000}"/>
    <hyperlink ref="I67" r:id="rId23" xr:uid="{00000000-0004-0000-0200-000017000000}"/>
    <hyperlink ref="I68"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109375" style="51" customWidth="1"/>
    <col min="2" max="2" width="20.77734375" style="51" customWidth="1"/>
    <col min="3" max="3" width="100.77734375" style="51" customWidth="1"/>
    <col min="4" max="5" width="11.21875" style="51" customWidth="1"/>
    <col min="6" max="16384" width="8.44140625" style="51"/>
  </cols>
  <sheetData>
    <row r="1" spans="1:5" s="43" customFormat="1" ht="3" customHeight="1"/>
    <row r="2" spans="1:5" s="43" customFormat="1" ht="14.1" customHeight="1">
      <c r="B2" s="44" t="s">
        <v>4</v>
      </c>
    </row>
    <row r="3" spans="1:5" s="43" customFormat="1" ht="24.95" customHeight="1">
      <c r="B3" s="45" t="s">
        <v>287</v>
      </c>
      <c r="C3" s="46" t="s">
        <v>134</v>
      </c>
      <c r="D3" s="47"/>
      <c r="E3" s="48"/>
    </row>
    <row r="4" spans="1:5" s="43" customFormat="1" ht="14.1" customHeight="1">
      <c r="B4" s="47" t="s">
        <v>139</v>
      </c>
      <c r="C4" s="44" t="s">
        <v>5</v>
      </c>
    </row>
    <row r="5" spans="1:5" ht="27.95" customHeight="1">
      <c r="A5" s="51" t="s">
        <v>294</v>
      </c>
      <c r="B5" s="49" t="s">
        <v>6</v>
      </c>
      <c r="C5" s="50" t="s">
        <v>7</v>
      </c>
      <c r="D5" s="50" t="s">
        <v>8</v>
      </c>
      <c r="E5" s="50" t="s">
        <v>9</v>
      </c>
    </row>
    <row r="6" spans="1:5" ht="20.100000000000001" customHeight="1">
      <c r="B6" s="337" t="s">
        <v>10</v>
      </c>
      <c r="C6" s="52" t="s">
        <v>135</v>
      </c>
      <c r="D6" s="339" t="s">
        <v>11</v>
      </c>
      <c r="E6" s="339" t="s">
        <v>12</v>
      </c>
    </row>
    <row r="7" spans="1:5" ht="20.100000000000001" customHeight="1">
      <c r="B7" s="338"/>
      <c r="C7" s="53" t="s">
        <v>13</v>
      </c>
      <c r="D7" s="340"/>
      <c r="E7" s="340"/>
    </row>
    <row r="8" spans="1:5" ht="297">
      <c r="B8" s="337" t="s">
        <v>14</v>
      </c>
      <c r="C8" s="53" t="s">
        <v>140</v>
      </c>
      <c r="D8" s="341" t="s">
        <v>15</v>
      </c>
      <c r="E8" s="341" t="s">
        <v>16</v>
      </c>
    </row>
    <row r="9" spans="1:5" ht="229.5">
      <c r="B9" s="338"/>
      <c r="C9" s="53" t="s">
        <v>17</v>
      </c>
      <c r="D9" s="338"/>
      <c r="E9" s="338"/>
    </row>
    <row r="10" spans="1:5" ht="30" customHeight="1">
      <c r="B10" s="337" t="s">
        <v>21</v>
      </c>
      <c r="C10" s="53" t="s">
        <v>136</v>
      </c>
      <c r="D10" s="341" t="s">
        <v>19</v>
      </c>
      <c r="E10" s="341" t="s">
        <v>20</v>
      </c>
    </row>
    <row r="11" spans="1:5" ht="30" customHeight="1">
      <c r="B11" s="338"/>
      <c r="C11" s="53" t="s">
        <v>18</v>
      </c>
      <c r="D11" s="338"/>
      <c r="E11" s="338"/>
    </row>
    <row r="12" spans="1:5" ht="16.5">
      <c r="B12" s="337" t="s">
        <v>24</v>
      </c>
      <c r="C12" s="53" t="s">
        <v>137</v>
      </c>
      <c r="D12" s="341" t="s">
        <v>25</v>
      </c>
      <c r="E12" s="341" t="s">
        <v>23</v>
      </c>
    </row>
    <row r="13" spans="1:5" ht="14.25">
      <c r="B13" s="338"/>
      <c r="C13" s="53" t="s">
        <v>22</v>
      </c>
      <c r="D13" s="338"/>
      <c r="E13" s="338"/>
    </row>
    <row r="14" spans="1:5" ht="16.5">
      <c r="B14" s="337" t="s">
        <v>26</v>
      </c>
      <c r="C14" s="53" t="s">
        <v>138</v>
      </c>
      <c r="D14" s="341" t="s">
        <v>29</v>
      </c>
      <c r="E14" s="341" t="s">
        <v>28</v>
      </c>
    </row>
    <row r="15" spans="1:5" ht="14.25">
      <c r="B15" s="338"/>
      <c r="C15" s="53" t="s">
        <v>27</v>
      </c>
      <c r="D15" s="338"/>
      <c r="E15" s="338"/>
    </row>
    <row r="16" spans="1:5" ht="15">
      <c r="B16" s="337" t="s">
        <v>32</v>
      </c>
      <c r="C16" s="54" t="s">
        <v>141</v>
      </c>
      <c r="D16" s="341" t="s">
        <v>30</v>
      </c>
      <c r="E16" s="341" t="s">
        <v>33</v>
      </c>
    </row>
    <row r="17" spans="2:5" ht="14.25">
      <c r="B17" s="338"/>
      <c r="C17" s="54" t="s">
        <v>31</v>
      </c>
      <c r="D17" s="338"/>
      <c r="E17" s="338"/>
    </row>
    <row r="18" spans="2:5" ht="60">
      <c r="B18" s="337" t="s">
        <v>287</v>
      </c>
      <c r="C18" s="60" t="s">
        <v>290</v>
      </c>
      <c r="D18" s="341" t="s">
        <v>288</v>
      </c>
      <c r="E18" s="341" t="s">
        <v>289</v>
      </c>
    </row>
    <row r="19" spans="2:5" ht="48">
      <c r="B19" s="338"/>
      <c r="C19" s="54" t="s">
        <v>291</v>
      </c>
      <c r="D19" s="338"/>
      <c r="E19" s="338"/>
    </row>
    <row r="20" spans="2:5" ht="14.25">
      <c r="B20" s="337"/>
      <c r="C20" s="53"/>
      <c r="D20" s="337"/>
      <c r="E20" s="337"/>
    </row>
    <row r="21" spans="2:5" ht="14.25">
      <c r="B21" s="338"/>
      <c r="C21" s="53"/>
      <c r="D21" s="338"/>
      <c r="E21" s="338"/>
    </row>
    <row r="22" spans="2:5" ht="14.25">
      <c r="B22" s="337"/>
      <c r="C22" s="53"/>
      <c r="D22" s="337"/>
      <c r="E22" s="337"/>
    </row>
    <row r="23" spans="2:5" ht="14.25">
      <c r="B23" s="338"/>
      <c r="C23" s="53"/>
      <c r="D23" s="338"/>
      <c r="E23" s="338"/>
    </row>
    <row r="24" spans="2:5" ht="14.25">
      <c r="B24" s="337"/>
      <c r="C24" s="53"/>
      <c r="D24" s="337"/>
      <c r="E24" s="337"/>
    </row>
    <row r="25" spans="2:5" ht="14.25">
      <c r="B25" s="338"/>
      <c r="C25" s="53"/>
      <c r="D25" s="338"/>
      <c r="E25" s="338"/>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CA4A2B-20B5-40EA-BA65-A63BAC013D2D}">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purl.org/dc/elements/1.1/"/>
    <ds:schemaRef ds:uri="9b590e1c-98aa-45d0-b368-a8263e89f865"/>
    <ds:schemaRef ds:uri="http://www.w3.org/XML/1998/namespace"/>
    <ds:schemaRef ds:uri="http://purl.org/dc/dcmitype/"/>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DEV Checklist</vt:lpstr>
      <vt:lpstr>REL-SEPG-PRM20190507</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Minh Quoc. Ha</cp:lastModifiedBy>
  <cp:revision/>
  <dcterms:created xsi:type="dcterms:W3CDTF">2018-07-26T03:17:46Z</dcterms:created>
  <dcterms:modified xsi:type="dcterms:W3CDTF">2021-11-23T12:28:24Z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d4b603e7-d5f7-4fb5-bb5f-c3179f377775</vt:lpwstr>
  </property>
</Properties>
</file>