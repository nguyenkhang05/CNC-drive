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codeName="{4D1C537B-E38A-612A-F078-A93A15B4B7F4}"/>
  <workbookPr codeName="ThisWorkbook"/>
  <mc:AlternateContent xmlns:mc="http://schemas.openxmlformats.org/markup-compatibility/2006">
    <mc:Choice Requires="x15">
      <x15ac:absPath xmlns:x15ac="http://schemas.microsoft.com/office/spreadsheetml/2010/11/ac" url="D:\mcu_modeling_svn\development\2021\202111_prj_MCS_U2B_SPIDCTL\docs\PRM\"/>
    </mc:Choice>
  </mc:AlternateContent>
  <xr:revisionPtr revIDLastSave="0" documentId="13_ncr:1_{729F647D-8345-426E-9C46-D1C70889A659}" xr6:coauthVersionLast="46" xr6:coauthVersionMax="46" xr10:uidLastSave="{00000000-0000-0000-0000-000000000000}"/>
  <bookViews>
    <workbookView xWindow="-120" yWindow="-120" windowWidth="20730" windowHeight="11160" activeTab="1" xr2:uid="{00000000-000D-0000-FFFF-FFFF00000000}"/>
  </bookViews>
  <sheets>
    <sheet name="Peer Review Minutes" sheetId="18" r:id="rId1"/>
    <sheet name="DEV Checklist" sheetId="17" r:id="rId2"/>
    <sheet name="REL-SEPG-PRM20190507" sheetId="14" state="hidden" r:id="rId3"/>
    <sheet name="Template Revision history" sheetId="8" state="hidden" r:id="rId4"/>
  </sheets>
  <externalReferences>
    <externalReference r:id="rId5"/>
    <externalReference r:id="rId6"/>
  </externalReferences>
  <definedNames>
    <definedName name="Kjitubi" localSheetId="0">'Peer Review Minutes'!$I$26</definedName>
    <definedName name="Kjitubi">#REF!</definedName>
    <definedName name="Knin" localSheetId="0">'Peer Review Minutes'!$Q$26</definedName>
    <definedName name="Knin">#REF!</definedName>
    <definedName name="Mjitubi" localSheetId="0">'Peer Review Minutes'!$I$25</definedName>
    <definedName name="Mjitubi">#REF!</definedName>
    <definedName name="Mnin" localSheetId="0">'Peer Review Minutes'!$U$25</definedName>
    <definedName name="Mnin">#REF!</definedName>
    <definedName name="Obj_ID" localSheetId="0">'Peer Review Minutes'!$C$35</definedName>
    <definedName name="Obj_ID">#REF!</definedName>
    <definedName name="Obj_issue" localSheetId="0">'Peer Review Minutes'!$X$35</definedName>
    <definedName name="Obj_issue">#REF!</definedName>
    <definedName name="Obj_name" localSheetId="0">'Peer Review Minutes'!$E$35</definedName>
    <definedName name="Obj_name">#REF!</definedName>
    <definedName name="Obj_time" localSheetId="0">'Peer Review Minutes'!$Z$35</definedName>
    <definedName name="Obj_time">#REF!</definedName>
    <definedName name="Obj_unit" localSheetId="0">'Peer Review Minutes'!$V$35</definedName>
    <definedName name="Obj_unit">#REF!</definedName>
    <definedName name="ProcessName" localSheetId="0">'Peer Review Minutes'!$G$8</definedName>
    <definedName name="ProcessName" localSheetId="2">'[1]Peer Review Minutes'!$G$8</definedName>
    <definedName name="ProcessName">#REF!</definedName>
    <definedName name="syurui" localSheetId="0">'Peer Review Minutes'!$G$20</definedName>
    <definedName name="syurui">#REF!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5" i="18" l="1"/>
  <c r="U26" i="18" s="1"/>
  <c r="Z1" i="18"/>
  <c r="Y35" i="18"/>
  <c r="Y29" i="18" s="1"/>
  <c r="AA54" i="18"/>
  <c r="AA53" i="18"/>
  <c r="AA52" i="18"/>
  <c r="AA51" i="18"/>
  <c r="AA50" i="18"/>
  <c r="AA49" i="18"/>
  <c r="AA48" i="18"/>
  <c r="AA47" i="18"/>
  <c r="AA46" i="18"/>
  <c r="AA45" i="18"/>
  <c r="AA44" i="18"/>
  <c r="Y40" i="18"/>
  <c r="W40" i="18"/>
  <c r="Y39" i="18"/>
  <c r="W39" i="18"/>
  <c r="Y38" i="18"/>
  <c r="W38" i="18"/>
  <c r="Y37" i="18"/>
  <c r="W37" i="18"/>
  <c r="Y36" i="18"/>
  <c r="W36" i="18"/>
  <c r="W35" i="18"/>
  <c r="W29" i="18" s="1"/>
  <c r="Z31" i="18"/>
  <c r="Y31" i="18"/>
  <c r="X31" i="18"/>
  <c r="W31" i="18"/>
  <c r="U31" i="18"/>
  <c r="R31" i="18"/>
  <c r="P31" i="18"/>
  <c r="N31" i="18"/>
  <c r="Z30" i="18"/>
  <c r="Y30" i="18"/>
  <c r="X30" i="18"/>
  <c r="W30" i="18"/>
  <c r="U30" i="18"/>
  <c r="R30" i="18"/>
  <c r="P30" i="18"/>
  <c r="Z29" i="18"/>
  <c r="U29" i="18"/>
  <c r="X40" i="18" l="1"/>
  <c r="X36" i="18"/>
  <c r="X38" i="18"/>
  <c r="X39" i="18"/>
  <c r="X37" i="18"/>
  <c r="X35" i="18"/>
  <c r="N30" i="18" s="1"/>
  <c r="X29" i="1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Mitsuhiro Nakamura</author>
    <author>Toru Aoyagi</author>
    <author>Kazuya Takahashi</author>
    <author>作成者</author>
  </authors>
  <commentList>
    <comment ref="G7" authorId="0" shapeId="0" xr:uid="{00000000-0006-0000-0000-000001000000}">
      <text>
        <r>
          <rPr>
            <b/>
            <sz val="10"/>
            <color indexed="81"/>
            <rFont val="MS P ゴシック"/>
            <family val="3"/>
            <charset val="128"/>
          </rPr>
          <t>(Select), Project planning process, Requirements development process, Functional design process, Detail design process, Coding and debug process, Unit test process, Integration test process, System test process, -
(選択),プロジェクト計画工程,要件開発工程,機能設計工程,詳細設計工程,
コーディング工程,単体テスト工程,結合テスト工程,システムテスト工程,-</t>
        </r>
      </text>
    </comment>
    <comment ref="C20" authorId="0" shapeId="0" xr:uid="{00000000-0006-0000-0000-000002000000}">
      <text>
        <r>
          <rPr>
            <b/>
            <sz val="10"/>
            <color indexed="81"/>
            <rFont val="MS P ゴシック"/>
            <family val="3"/>
            <charset val="128"/>
          </rPr>
          <t>(Select),Inspection,Team,Walk-through,Pass-around
(選択),インスペクション,チームレビュー,ウォークスルー,パスアラウンド</t>
        </r>
      </text>
    </comment>
    <comment ref="K20" authorId="1" shapeId="0" xr:uid="{00000000-0006-0000-0000-000003000000}">
      <text>
        <r>
          <rPr>
            <sz val="9"/>
            <color indexed="81"/>
            <rFont val="MS P ゴシック"/>
            <family val="3"/>
            <charset val="128"/>
          </rPr>
          <t>(Select), First review, Re-review
(選択),初回レビュー,再レビュー</t>
        </r>
      </text>
    </comment>
    <comment ref="C21" authorId="0" shapeId="0" xr:uid="{00000000-0006-0000-0000-000004000000}">
      <text>
        <r>
          <rPr>
            <b/>
            <sz val="10"/>
            <color indexed="81"/>
            <rFont val="MS P ゴシック"/>
            <family val="3"/>
            <charset val="128"/>
          </rPr>
          <t>(Select), department checklist, checklist of this style
(選択),部門チェックリスト,本様式のチェックリスト</t>
        </r>
      </text>
    </comment>
    <comment ref="V33" authorId="0" shapeId="0" xr:uid="{00000000-0006-0000-0000-000005000000}">
      <text>
        <r>
          <rPr>
            <b/>
            <sz val="10"/>
            <color indexed="81"/>
            <rFont val="MS P ゴシック"/>
            <family val="3"/>
            <charset val="128"/>
          </rPr>
          <t>(Select),Page,Line,Number
(選択),ページ,ライン,項目</t>
        </r>
      </text>
    </comment>
    <comment ref="W34" authorId="2" shapeId="0" xr:uid="{00000000-0006-0000-0000-000006000000}">
      <text>
        <r>
          <rPr>
            <b/>
            <sz val="10"/>
            <color indexed="81"/>
            <rFont val="MS P ゴシック"/>
            <family val="3"/>
            <charset val="128"/>
          </rPr>
          <t>Calculated from planned values of review indicators
レビュー指標の計画値から算出します</t>
        </r>
      </text>
    </comment>
    <comment ref="X34" authorId="2" shapeId="0" xr:uid="{00000000-0006-0000-0000-000007000000}">
      <text>
        <r>
          <rPr>
            <b/>
            <sz val="8"/>
            <color indexed="81"/>
            <rFont val="MS P ゴシック"/>
            <family val="3"/>
            <charset val="128"/>
          </rPr>
          <t xml:space="preserve">Calculated from the number of </t>
        </r>
        <r>
          <rPr>
            <b/>
            <sz val="10"/>
            <color indexed="81"/>
            <rFont val="MS P ゴシック"/>
            <family val="3"/>
            <charset val="128"/>
          </rPr>
          <t>problems pointed out in the indicated matter list
指摘事項一覧の指摘件数から算出します</t>
        </r>
      </text>
    </comment>
    <comment ref="Y34" authorId="2" shapeId="0" xr:uid="{00000000-0006-0000-0000-000008000000}">
      <text>
        <r>
          <rPr>
            <b/>
            <sz val="10"/>
            <color indexed="81"/>
            <rFont val="MS P ゴシック"/>
            <family val="3"/>
            <charset val="128"/>
          </rPr>
          <t>Calculated from planned values of review indicators
レビュー指標の計画値から算出します</t>
        </r>
      </text>
    </comment>
    <comment ref="C40" authorId="3" shapeId="0" xr:uid="{00000000-0006-0000-0000-000009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 ref="G42" authorId="0" shapeId="0" xr:uid="{00000000-0006-0000-0000-00000A000000}">
      <text>
        <r>
          <rPr>
            <b/>
            <sz val="10"/>
            <color indexed="81"/>
            <rFont val="MS P ゴシック"/>
            <family val="3"/>
            <charset val="128"/>
          </rPr>
          <t>(Select),Issue,Q&amp;A,proceedings
(選択),指摘,質疑応答,議事</t>
        </r>
      </text>
    </comment>
    <comment ref="O42" authorId="0" shapeId="0" xr:uid="{00000000-0006-0000-0000-00000B000000}">
      <text>
        <r>
          <rPr>
            <b/>
            <sz val="10"/>
            <color indexed="81"/>
            <rFont val="MS P ゴシック"/>
            <family val="3"/>
            <charset val="128"/>
          </rPr>
          <t>(Select),Defect,Risk,Problem,AI
(選択),工程内不具合,リスク,問題,AI</t>
        </r>
      </text>
    </comment>
    <comment ref="C54" authorId="3" shapeId="0" xr:uid="{00000000-0006-0000-0000-00000C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Binh Trong. Nguyen</author>
  </authors>
  <commentList>
    <comment ref="E11" authorId="0" shapeId="0" xr:uid="{00000000-0006-0000-0100-000001000000}">
      <text>
        <r>
          <rPr>
            <b/>
            <sz val="9"/>
            <color indexed="81"/>
            <rFont val="Tahoma"/>
            <family val="2"/>
          </rPr>
          <t>Binh Trong. Nguyen:</t>
        </r>
        <r>
          <rPr>
            <sz val="9"/>
            <color indexed="81"/>
            <rFont val="Tahoma"/>
            <family val="2"/>
          </rPr>
          <t xml:space="preserve">
High: must check
Medium: can omit (with reason)
Low: can omit (without reason)</t>
        </r>
      </text>
    </comment>
  </commentList>
</comments>
</file>

<file path=xl/sharedStrings.xml><?xml version="1.0" encoding="utf-8"?>
<sst xmlns="http://schemas.openxmlformats.org/spreadsheetml/2006/main" count="700" uniqueCount="440">
  <si>
    <t>[RENESAS CONFIDENTIAL]</t>
    <phoneticPr fontId="5"/>
  </si>
  <si>
    <t xml:space="preserve">
</t>
  </si>
  <si>
    <t>(Select)</t>
  </si>
  <si>
    <t>No.</t>
    <phoneticPr fontId="5"/>
  </si>
  <si>
    <t>[RENESAS CONFIDEINTIAL]</t>
    <phoneticPr fontId="4"/>
  </si>
  <si>
    <t>The template revision history describes the change contents of the template itself.</t>
    <phoneticPr fontId="5"/>
  </si>
  <si>
    <t xml:space="preserve">
Revision
</t>
    <phoneticPr fontId="4"/>
  </si>
  <si>
    <t>Description of change</t>
    <phoneticPr fontId="4"/>
  </si>
  <si>
    <t>Approver</t>
    <phoneticPr fontId="4"/>
  </si>
  <si>
    <t>Author</t>
    <phoneticPr fontId="4"/>
  </si>
  <si>
    <t>REL-SEPG20180521</t>
    <phoneticPr fontId="5"/>
  </si>
  <si>
    <t>K. Takahashi
May 21, 2018</t>
    <phoneticPr fontId="10"/>
  </si>
  <si>
    <t>S. Masukawa
May 21, 2018</t>
    <phoneticPr fontId="10"/>
  </si>
  <si>
    <t>Initial release</t>
    <phoneticPr fontId="10"/>
  </si>
  <si>
    <t>REL-SEPG-PRM20180820</t>
    <phoneticPr fontId="10"/>
  </si>
  <si>
    <t>K. Takahashi
Aug. 20, 2018</t>
    <phoneticPr fontId="10"/>
  </si>
  <si>
    <t>S. Masukawa
Aug. 20, 2018</t>
    <phoneticPr fontId="10"/>
  </si>
  <si>
    <t>- Changed the cell color of items created by SEPG.
- Project number added to cover page.
- The notation of "RENESAS CONFIDENTIAL" and the revision was made into a unified representation of SEPG templates style.
- When linking with another cell, it is described which sheet cell is linked to cell comment.
- Unified format of dates.
- Changed the "checklist to use" item to a method that allows you to select "department checklist" and "checklist of this template".
- Changed "process name" item to list selection method.
- The "index value" item was changed to "index value (planned value)".
- Modified the description of the review subject.
- "Contents of indication Contents of question-and-answer of contents" was changed to "Contents of indication/Contents of question and answer."
- Changed "correspondence contents" item to "content of correspondence/response of questioning".
- Adjusted the cell size of "pointed out item list".
- Revised the explanation of "implementation date/participant".
- The actual value of "Number of points to be pointed out" described in "Table of review subjects" was changed to automatic calculation.
- A column for describing the actual value of each indicator was added to the "table of review indicators".
- Revised the description of "Table of Review Objects".
- Items not checked according to the process of reviewing the items of the peer review checklist are automatically grayed out.
- Changed the cell setting of "Response / Q &amp; A response" from "Reduced display" to "Wrapped display".</t>
    <phoneticPr fontId="10"/>
  </si>
  <si>
    <t>- English description added.</t>
    <phoneticPr fontId="6"/>
  </si>
  <si>
    <t>T. Aoyagi
Oct. 30, 2018</t>
    <phoneticPr fontId="6"/>
  </si>
  <si>
    <t>M. Nakamura
K. Takahashi
Oct. 1, 2018</t>
    <phoneticPr fontId="6"/>
  </si>
  <si>
    <t>REL-SEPG-PRM20181101</t>
    <phoneticPr fontId="6"/>
  </si>
  <si>
    <t>- Fixed a mistake in English translation.</t>
    <phoneticPr fontId="6"/>
  </si>
  <si>
    <t>K. Takahashi
Nov. 9, 2018</t>
    <phoneticPr fontId="6"/>
  </si>
  <si>
    <t>REL-SEPG-PRM20181113</t>
    <phoneticPr fontId="6"/>
  </si>
  <si>
    <t>T. Aoyagi
Nov. 9, 2018</t>
    <phoneticPr fontId="6"/>
  </si>
  <si>
    <t>REL-SEPG-PRM20181204</t>
    <phoneticPr fontId="6"/>
  </si>
  <si>
    <t>- Fixed because the formula to compute the review duration target value was wrong.</t>
    <phoneticPr fontId="6"/>
  </si>
  <si>
    <t>K. Takahashi
Dec. 4, 2018</t>
    <phoneticPr fontId="6"/>
  </si>
  <si>
    <t>T. Aoyagi
Dec. 4, 2018</t>
    <phoneticPr fontId="6"/>
  </si>
  <si>
    <t>T. Aoyagi
Feb. 28, 2019</t>
    <phoneticPr fontId="6"/>
  </si>
  <si>
    <t>-Added sheet and macro of  standard template item FAQ.</t>
    <phoneticPr fontId="6"/>
  </si>
  <si>
    <t>REL-SEPG-PRM20190228</t>
    <phoneticPr fontId="6"/>
  </si>
  <si>
    <t>T. Hino
Feb. 28, 2019</t>
    <phoneticPr fontId="6"/>
  </si>
  <si>
    <t>Offset</t>
    <phoneticPr fontId="4"/>
  </si>
  <si>
    <t>Peer Review Minutes</t>
  </si>
  <si>
    <t>C46</t>
    <phoneticPr fontId="4"/>
  </si>
  <si>
    <t>C100</t>
    <phoneticPr fontId="4"/>
  </si>
  <si>
    <t>C105</t>
    <phoneticPr fontId="4"/>
  </si>
  <si>
    <t>Peer Review Checklist</t>
  </si>
  <si>
    <t>C180</t>
    <phoneticPr fontId="4"/>
  </si>
  <si>
    <t>C4</t>
    <phoneticPr fontId="4"/>
  </si>
  <si>
    <t>G12</t>
    <phoneticPr fontId="4"/>
  </si>
  <si>
    <t>G21</t>
    <phoneticPr fontId="4"/>
  </si>
  <si>
    <t>E35-E44</t>
    <phoneticPr fontId="4"/>
  </si>
  <si>
    <t>Q35-Q44</t>
    <phoneticPr fontId="4"/>
  </si>
  <si>
    <t>H101</t>
    <phoneticPr fontId="4"/>
  </si>
  <si>
    <t>Peer Review Minutes</t>
    <phoneticPr fontId="4"/>
  </si>
  <si>
    <t>C104</t>
    <phoneticPr fontId="4"/>
  </si>
  <si>
    <t>No description in "Inform to".</t>
    <phoneticPr fontId="4"/>
  </si>
  <si>
    <t>Please select the "Inform to" referring to each peer review stakeholders described in the Standard Development Procedure Management Table, and describe.</t>
    <phoneticPr fontId="4"/>
  </si>
  <si>
    <t xml:space="preserve">Division name and/or title of person in change noted in "Inform to" are not updated one. </t>
    <phoneticPr fontId="4"/>
  </si>
  <si>
    <t>Please confirm update information by Telephone directory</t>
    <phoneticPr fontId="4"/>
  </si>
  <si>
    <t>Project name is different from the one described in Project plan. ("/" is missing, zenkaku/hankaku, etc.)</t>
    <phoneticPr fontId="4"/>
  </si>
  <si>
    <t>Please copy past the Project name described in the Project plan.</t>
    <phoneticPr fontId="4"/>
  </si>
  <si>
    <t>Using checklist is mandatory.</t>
    <phoneticPr fontId="4"/>
  </si>
  <si>
    <t xml:space="preserve">Documents described in Standard Development Procedure Management Table do not match with the Review objects. </t>
    <phoneticPr fontId="4"/>
  </si>
  <si>
    <t xml:space="preserve">Please confirm if the documents described in Standard Development Procedure Management Table match with the Review objects. </t>
    <phoneticPr fontId="4"/>
  </si>
  <si>
    <t xml:space="preserve">Version is not described even though the document requires version control.  </t>
    <phoneticPr fontId="4"/>
  </si>
  <si>
    <t xml:space="preserve">Please confirm the version of subject document and fill in the version number. </t>
    <phoneticPr fontId="4"/>
  </si>
  <si>
    <t>Target scale and its Unit are not described.</t>
    <phoneticPr fontId="4"/>
  </si>
  <si>
    <t>Please fill in the target scale and unit.
Also, in case the part of Review objects are reviewed, please fill in the scale of actually reviewed objects.</t>
    <phoneticPr fontId="4"/>
  </si>
  <si>
    <t>Result of determination of whether to conduct review again is not described.</t>
    <phoneticPr fontId="4"/>
  </si>
  <si>
    <t>Please make sure to describe the result of determination if re-review is required or not.</t>
    <phoneticPr fontId="4"/>
  </si>
  <si>
    <t>No description in "Notes".</t>
    <phoneticPr fontId="4"/>
  </si>
  <si>
    <t xml:space="preserve">When analysis items are analyzed in the progress confirmation meeting, please describe the result of analysis in this format "Remarks" or Measurement and Analysis items.  </t>
    <phoneticPr fontId="4"/>
  </si>
  <si>
    <t>The destination where this document should be informed to.
[Example] QAD/QSP/QDSC</t>
    <phoneticPr fontId="6"/>
  </si>
  <si>
    <t>G8</t>
    <phoneticPr fontId="6"/>
  </si>
  <si>
    <t>G12</t>
    <phoneticPr fontId="6"/>
  </si>
  <si>
    <t>Name of the project.
[Example] FW development for MCU</t>
    <phoneticPr fontId="6"/>
  </si>
  <si>
    <t>L16</t>
    <phoneticPr fontId="6"/>
  </si>
  <si>
    <t>U3</t>
    <phoneticPr fontId="6"/>
  </si>
  <si>
    <t>U5</t>
    <phoneticPr fontId="6"/>
  </si>
  <si>
    <t>U7-U9</t>
    <phoneticPr fontId="6"/>
  </si>
  <si>
    <t>Describe name of the company and department that created this document.
[Example for Company name] REL
[Example for Department name] ABU/SWBD/SWPL/SWPDT</t>
    <phoneticPr fontId="6"/>
  </si>
  <si>
    <t>U12</t>
    <phoneticPr fontId="6"/>
  </si>
  <si>
    <t>X12</t>
    <phoneticPr fontId="6"/>
  </si>
  <si>
    <t>G19</t>
    <phoneticPr fontId="6"/>
  </si>
  <si>
    <t>G20</t>
    <phoneticPr fontId="6"/>
  </si>
  <si>
    <t>G21</t>
    <phoneticPr fontId="6"/>
  </si>
  <si>
    <t>N21</t>
    <phoneticPr fontId="6"/>
  </si>
  <si>
    <t>When using the department checklist, enter the checklist name.</t>
    <phoneticPr fontId="6"/>
  </si>
  <si>
    <t>I23,M23,
Q23,U23</t>
    <phoneticPr fontId="6"/>
  </si>
  <si>
    <t>Describe the name of participants according to _x000B_their roles.
Describe the all reviewers name in column _x000B_"Reviewer".</t>
    <phoneticPr fontId="6"/>
  </si>
  <si>
    <t>I24</t>
    <phoneticPr fontId="6"/>
  </si>
  <si>
    <t>Copy the planned value of the review issue density and the review speed described in "Analysis Items Table" of REL_SEPG_Development_Management.xlsm here.
(Actual value is automatically calculated.)</t>
    <phoneticPr fontId="6"/>
  </si>
  <si>
    <t>Describe the ID of the object to be reviewed which contains issue.</t>
    <phoneticPr fontId="6"/>
  </si>
  <si>
    <t>Describe location information such as page number, item number, row number.</t>
    <phoneticPr fontId="6"/>
  </si>
  <si>
    <t>Describe the person who detects the issue</t>
    <phoneticPr fontId="6"/>
  </si>
  <si>
    <t>O49-O98</t>
    <phoneticPr fontId="6"/>
  </si>
  <si>
    <t>P49-P98</t>
    <phoneticPr fontId="6"/>
  </si>
  <si>
    <t>S49-S98</t>
    <phoneticPr fontId="6"/>
  </si>
  <si>
    <t>E49-E98</t>
    <phoneticPr fontId="6"/>
  </si>
  <si>
    <t>F49-F98</t>
    <phoneticPr fontId="6"/>
  </si>
  <si>
    <t>In case "Content classification" is "Issue", describe the person in charge who transfer it to manage by management table, etc.
However if "Issue classification" is "AI" and the AI was done before this meeting minute is distributed, then describe the name of person who executed A.I.</t>
    <phoneticPr fontId="6"/>
  </si>
  <si>
    <t xml:space="preserve"> In case "Content classification" is "Issue", describe the deadline to transfer it to manage by management table, etc.
However if "Issue classification" is "AI" and the AI was done before this meeting minute is distributed, then describe completion date of AI execution.</t>
    <phoneticPr fontId="6"/>
  </si>
  <si>
    <t>X49-X98</t>
    <phoneticPr fontId="6"/>
  </si>
  <si>
    <t>In case "Content classification" is "Issue", describe the name of verifier who confirm that issue is transferred to management table, etc by person in charge who transfer it.
However if "Issue classification" is "AI" and the AI was executed before this meeting minute is distributed, then describe the name of verifier who confirmed completion of A</t>
    <phoneticPr fontId="6"/>
  </si>
  <si>
    <t>In case "Content classification" is "Issue", describe the date that verifier confirmed the issue was transferred to management table, etc by person in charge who transfer it.
However if "Issue classification" is "AI" and the AI was executed before this meeting minute is distributed, then describe the verification date that the verifier confirmed the result of AI execution.</t>
    <phoneticPr fontId="6"/>
  </si>
  <si>
    <t>Y49-Y98</t>
    <phoneticPr fontId="6"/>
  </si>
  <si>
    <t>G49-G98</t>
    <phoneticPr fontId="6"/>
  </si>
  <si>
    <t>D49-D98</t>
    <phoneticPr fontId="6"/>
  </si>
  <si>
    <t>H49-H98</t>
    <phoneticPr fontId="6"/>
  </si>
  <si>
    <t>Q49-Q98</t>
    <phoneticPr fontId="6"/>
  </si>
  <si>
    <t>Describe the all reviewers name in column "Reviewer".</t>
    <phoneticPr fontId="6"/>
  </si>
  <si>
    <t>H101</t>
    <phoneticPr fontId="6"/>
  </si>
  <si>
    <t>Describe the determination result of whether to conduct the review again</t>
    <phoneticPr fontId="6"/>
  </si>
  <si>
    <t>Describe any comments other than issues or Q&amp;A such as comments related to measurement and analysis, etc..</t>
    <phoneticPr fontId="6"/>
  </si>
  <si>
    <t>C104</t>
    <phoneticPr fontId="6"/>
  </si>
  <si>
    <t>Condition of review</t>
    <phoneticPr fontId="6"/>
  </si>
  <si>
    <t>N20</t>
    <phoneticPr fontId="6"/>
  </si>
  <si>
    <t>Select the first review or the revised re-review for the subject of review.</t>
    <phoneticPr fontId="6"/>
  </si>
  <si>
    <t>Describe meeting date.
[Example] 12 Apr., 2019</t>
    <phoneticPr fontId="6"/>
  </si>
  <si>
    <t>Describe the start time in hh:mm format.
[Example] 10:00</t>
    <phoneticPr fontId="6"/>
  </si>
  <si>
    <t>Describe the end time in hh:mm format.
[Example] 12:00</t>
    <phoneticPr fontId="6"/>
  </si>
  <si>
    <t>Describe the number of participants</t>
    <phoneticPr fontId="6"/>
  </si>
  <si>
    <t>Describe the venue the meeting is to be held.
[Example] Meeting room no. 1</t>
    <phoneticPr fontId="6"/>
  </si>
  <si>
    <t>I25</t>
    <phoneticPr fontId="6"/>
  </si>
  <si>
    <t>M25</t>
    <phoneticPr fontId="6"/>
  </si>
  <si>
    <t>Q25</t>
    <phoneticPr fontId="6"/>
  </si>
  <si>
    <t>U25</t>
    <phoneticPr fontId="6"/>
  </si>
  <si>
    <t>X25</t>
    <phoneticPr fontId="6"/>
  </si>
  <si>
    <t>I26</t>
    <phoneticPr fontId="6"/>
  </si>
  <si>
    <t>M26</t>
    <phoneticPr fontId="6"/>
  </si>
  <si>
    <t>Q26</t>
    <phoneticPr fontId="6"/>
  </si>
  <si>
    <t>U26</t>
    <phoneticPr fontId="6"/>
  </si>
  <si>
    <t>Describe the title name, file name, version, target scale of work product, and select the unit.</t>
    <phoneticPr fontId="6"/>
  </si>
  <si>
    <t>Peer Review Minutes</t>
    <phoneticPr fontId="6"/>
  </si>
  <si>
    <t>In case of pass-around</t>
    <phoneticPr fontId="6"/>
  </si>
  <si>
    <t>Z35-Z44</t>
    <phoneticPr fontId="6"/>
  </si>
  <si>
    <t>E35-T44</t>
    <phoneticPr fontId="6"/>
  </si>
  <si>
    <t>Describe the performance value of "Review duration".
("Target value" columns are automatically calculated and displayed.)</t>
    <phoneticPr fontId="6"/>
  </si>
  <si>
    <t>About source code description unit</t>
    <phoneticPr fontId="6"/>
  </si>
  <si>
    <t>In the case of source code, it may be organized into a unit to be analyzed using a review index such as division by a unit of SW processing structure instead of a file unit. (You can put together all the source code, especially if you don't need to do separate analysis.)</t>
    <phoneticPr fontId="6"/>
  </si>
  <si>
    <r>
      <rPr>
        <sz val="11"/>
        <color theme="1"/>
        <rFont val="メイリオ"/>
        <family val="3"/>
        <charset val="128"/>
      </rPr>
      <t>ピアレビュー議事録</t>
    </r>
    <rPh sb="6" eb="9">
      <t>ギジロク</t>
    </rPh>
    <phoneticPr fontId="6"/>
  </si>
  <si>
    <r>
      <rPr>
        <sz val="10"/>
        <color theme="1"/>
        <rFont val="メイリオ"/>
        <family val="3"/>
        <charset val="128"/>
      </rPr>
      <t xml:space="preserve">初版
</t>
    </r>
    <rPh sb="0" eb="1">
      <t>ショ</t>
    </rPh>
    <rPh sb="1" eb="2">
      <t>バン</t>
    </rPh>
    <phoneticPr fontId="4"/>
  </si>
  <si>
    <r>
      <t xml:space="preserve">- </t>
    </r>
    <r>
      <rPr>
        <sz val="10"/>
        <color theme="1"/>
        <rFont val="メイリオ"/>
        <family val="3"/>
        <charset val="128"/>
      </rPr>
      <t>英語表記を追加した。</t>
    </r>
    <phoneticPr fontId="6"/>
  </si>
  <si>
    <r>
      <t xml:space="preserve">- </t>
    </r>
    <r>
      <rPr>
        <sz val="10"/>
        <color theme="1"/>
        <rFont val="メイリオ"/>
        <family val="3"/>
        <charset val="128"/>
      </rPr>
      <t>英文翻訳の間違いを修正した。</t>
    </r>
    <rPh sb="2" eb="4">
      <t>エイブン</t>
    </rPh>
    <rPh sb="4" eb="6">
      <t>ホンヤク</t>
    </rPh>
    <rPh sb="7" eb="9">
      <t>マチガ</t>
    </rPh>
    <rPh sb="11" eb="13">
      <t>シュウセイ</t>
    </rPh>
    <phoneticPr fontId="6"/>
  </si>
  <si>
    <r>
      <t xml:space="preserve">- </t>
    </r>
    <r>
      <rPr>
        <sz val="10"/>
        <color theme="1"/>
        <rFont val="メイリオ"/>
        <family val="3"/>
        <charset val="128"/>
      </rPr>
      <t>レビュー時間の予定を計算する式が間違っていたため修正した</t>
    </r>
    <rPh sb="6" eb="8">
      <t>ジカン</t>
    </rPh>
    <rPh sb="9" eb="11">
      <t>ヨテイ</t>
    </rPh>
    <rPh sb="12" eb="14">
      <t>ケイサン</t>
    </rPh>
    <rPh sb="16" eb="17">
      <t>シキ</t>
    </rPh>
    <rPh sb="18" eb="20">
      <t>マチガ</t>
    </rPh>
    <rPh sb="26" eb="28">
      <t>シュウセイ</t>
    </rPh>
    <phoneticPr fontId="6"/>
  </si>
  <si>
    <r>
      <rPr>
        <b/>
        <sz val="11"/>
        <color theme="1"/>
        <rFont val="メイリオ"/>
        <family val="3"/>
        <charset val="128"/>
      </rPr>
      <t>【</t>
    </r>
    <r>
      <rPr>
        <b/>
        <sz val="11"/>
        <color theme="1"/>
        <rFont val="Arial"/>
        <family val="2"/>
      </rPr>
      <t>Revision history</t>
    </r>
    <r>
      <rPr>
        <b/>
        <sz val="11"/>
        <color theme="1"/>
        <rFont val="メイリオ"/>
        <family val="3"/>
        <charset val="128"/>
      </rPr>
      <t>】</t>
    </r>
    <phoneticPr fontId="5"/>
  </si>
  <si>
    <r>
      <t>- SEPG</t>
    </r>
    <r>
      <rPr>
        <sz val="10"/>
        <color theme="1"/>
        <rFont val="メイリオ"/>
        <family val="3"/>
        <charset val="128"/>
      </rPr>
      <t xml:space="preserve">作成の項目のセル色を変更した。
</t>
    </r>
    <r>
      <rPr>
        <sz val="10"/>
        <color theme="1"/>
        <rFont val="Arial"/>
        <family val="2"/>
      </rPr>
      <t xml:space="preserve">- </t>
    </r>
    <r>
      <rPr>
        <sz val="10"/>
        <color theme="1"/>
        <rFont val="メイリオ"/>
        <family val="3"/>
        <charset val="128"/>
      </rPr>
      <t xml:space="preserve">表紙にプロジェクト番号を追加した。
</t>
    </r>
    <r>
      <rPr>
        <sz val="10"/>
        <color theme="1"/>
        <rFont val="Arial"/>
        <family val="2"/>
      </rPr>
      <t xml:space="preserve">- </t>
    </r>
    <r>
      <rPr>
        <sz val="10"/>
        <color theme="1"/>
        <rFont val="メイリオ"/>
        <family val="3"/>
        <charset val="128"/>
      </rPr>
      <t>「</t>
    </r>
    <r>
      <rPr>
        <sz val="10"/>
        <color theme="1"/>
        <rFont val="Arial"/>
        <family val="2"/>
      </rPr>
      <t>RENESAS CONFIDENTIAL</t>
    </r>
    <r>
      <rPr>
        <sz val="10"/>
        <color theme="1"/>
        <rFont val="メイリオ"/>
        <family val="3"/>
        <charset val="128"/>
      </rPr>
      <t>」とリビジョンの表記を</t>
    </r>
    <r>
      <rPr>
        <sz val="10"/>
        <color theme="1"/>
        <rFont val="Arial"/>
        <family val="2"/>
      </rPr>
      <t>SEPG</t>
    </r>
    <r>
      <rPr>
        <sz val="10"/>
        <color theme="1"/>
        <rFont val="メイリオ"/>
        <family val="3"/>
        <charset val="128"/>
      </rPr>
      <t xml:space="preserve">様式の統一表記にした。
</t>
    </r>
    <r>
      <rPr>
        <sz val="10"/>
        <color theme="1"/>
        <rFont val="Arial"/>
        <family val="2"/>
      </rPr>
      <t xml:space="preserve">- </t>
    </r>
    <r>
      <rPr>
        <sz val="10"/>
        <color theme="1"/>
        <rFont val="メイリオ"/>
        <family val="3"/>
        <charset val="128"/>
      </rPr>
      <t xml:space="preserve">他のセルとリンクしている場合、セルコメントにどのシートのセルにリンクしているかを記載した。
</t>
    </r>
    <r>
      <rPr>
        <sz val="10"/>
        <color theme="1"/>
        <rFont val="Arial"/>
        <family val="2"/>
      </rPr>
      <t xml:space="preserve">- </t>
    </r>
    <r>
      <rPr>
        <sz val="10"/>
        <color theme="1"/>
        <rFont val="メイリオ"/>
        <family val="3"/>
        <charset val="128"/>
      </rPr>
      <t xml:space="preserve">日付の書式を統一した。
</t>
    </r>
    <r>
      <rPr>
        <sz val="10"/>
        <color theme="1"/>
        <rFont val="Arial"/>
        <family val="2"/>
      </rPr>
      <t xml:space="preserve">- </t>
    </r>
    <r>
      <rPr>
        <sz val="10"/>
        <color theme="1"/>
        <rFont val="メイリオ"/>
        <family val="3"/>
        <charset val="128"/>
      </rPr>
      <t xml:space="preserve">「使用チェックリスト」項目を「部門チェックリスト」と「本様式のチェックリスト」を選択できる方式に変更した。
</t>
    </r>
    <r>
      <rPr>
        <sz val="10"/>
        <color theme="1"/>
        <rFont val="Arial"/>
        <family val="2"/>
      </rPr>
      <t xml:space="preserve">- </t>
    </r>
    <r>
      <rPr>
        <sz val="10"/>
        <color theme="1"/>
        <rFont val="メイリオ"/>
        <family val="3"/>
        <charset val="128"/>
      </rPr>
      <t xml:space="preserve">「工程名」項目をリスト選択方式に変更した。
</t>
    </r>
    <r>
      <rPr>
        <sz val="10"/>
        <color theme="1"/>
        <rFont val="Arial"/>
        <family val="2"/>
      </rPr>
      <t xml:space="preserve">- </t>
    </r>
    <r>
      <rPr>
        <sz val="10"/>
        <color theme="1"/>
        <rFont val="メイリオ"/>
        <family val="3"/>
        <charset val="128"/>
      </rPr>
      <t xml:space="preserve">「指標値」項目を「指標値（計画値）」に変更した。
</t>
    </r>
    <r>
      <rPr>
        <sz val="10"/>
        <color theme="1"/>
        <rFont val="Arial"/>
        <family val="2"/>
      </rPr>
      <t xml:space="preserve">- </t>
    </r>
    <r>
      <rPr>
        <sz val="10"/>
        <color theme="1"/>
        <rFont val="メイリオ"/>
        <family val="3"/>
        <charset val="128"/>
      </rPr>
      <t xml:space="preserve">レビュー対象物の説明を修正した。
</t>
    </r>
    <r>
      <rPr>
        <sz val="10"/>
        <color theme="1"/>
        <rFont val="Arial"/>
        <family val="2"/>
      </rPr>
      <t xml:space="preserve">- </t>
    </r>
    <r>
      <rPr>
        <sz val="10"/>
        <color theme="1"/>
        <rFont val="メイリオ"/>
        <family val="3"/>
        <charset val="128"/>
      </rPr>
      <t>「指摘の内容</t>
    </r>
    <r>
      <rPr>
        <sz val="10"/>
        <color theme="1"/>
        <rFont val="Arial"/>
        <family val="2"/>
      </rPr>
      <t>/</t>
    </r>
    <r>
      <rPr>
        <sz val="10"/>
        <color theme="1"/>
        <rFont val="メイリオ"/>
        <family val="3"/>
        <charset val="128"/>
      </rPr>
      <t>質疑応答の内容」項目を「指摘の内容</t>
    </r>
    <r>
      <rPr>
        <sz val="10"/>
        <color theme="1"/>
        <rFont val="Arial"/>
        <family val="2"/>
      </rPr>
      <t>/</t>
    </r>
    <r>
      <rPr>
        <sz val="10"/>
        <color theme="1"/>
        <rFont val="メイリオ"/>
        <family val="3"/>
        <charset val="128"/>
      </rPr>
      <t xml:space="preserve">質疑の内容」に変更した。
</t>
    </r>
    <r>
      <rPr>
        <sz val="10"/>
        <color theme="1"/>
        <rFont val="Arial"/>
        <family val="2"/>
      </rPr>
      <t xml:space="preserve">- </t>
    </r>
    <r>
      <rPr>
        <sz val="10"/>
        <color theme="1"/>
        <rFont val="メイリオ"/>
        <family val="3"/>
        <charset val="128"/>
      </rPr>
      <t>「対応内容」項目を「対応の内容</t>
    </r>
    <r>
      <rPr>
        <sz val="10"/>
        <color theme="1"/>
        <rFont val="Arial"/>
        <family val="2"/>
      </rPr>
      <t>/</t>
    </r>
    <r>
      <rPr>
        <sz val="10"/>
        <color theme="1"/>
        <rFont val="メイリオ"/>
        <family val="3"/>
        <charset val="128"/>
      </rPr>
      <t xml:space="preserve">質疑の応答」に変更した。
</t>
    </r>
    <r>
      <rPr>
        <sz val="10"/>
        <color theme="1"/>
        <rFont val="Arial"/>
        <family val="2"/>
      </rPr>
      <t xml:space="preserve">- </t>
    </r>
    <r>
      <rPr>
        <sz val="10"/>
        <color theme="1"/>
        <rFont val="メイリオ"/>
        <family val="3"/>
        <charset val="128"/>
      </rPr>
      <t xml:space="preserve">指摘項目一覧のセルサイズを調整した。
</t>
    </r>
    <r>
      <rPr>
        <sz val="10"/>
        <color theme="1"/>
        <rFont val="Arial"/>
        <family val="2"/>
      </rPr>
      <t xml:space="preserve">- </t>
    </r>
    <r>
      <rPr>
        <sz val="10"/>
        <color theme="1"/>
        <rFont val="メイリオ"/>
        <family val="3"/>
        <charset val="128"/>
      </rPr>
      <t xml:space="preserve">「実施日時・参加者」の説明を修正した。
</t>
    </r>
    <r>
      <rPr>
        <sz val="10"/>
        <color theme="1"/>
        <rFont val="Arial"/>
        <family val="2"/>
      </rPr>
      <t xml:space="preserve">- </t>
    </r>
    <r>
      <rPr>
        <sz val="10"/>
        <color theme="1"/>
        <rFont val="メイリオ"/>
        <family val="3"/>
        <charset val="128"/>
      </rPr>
      <t xml:space="preserve">レビュー対象物の表に記載する「指摘件数」の実績値を自動計算に変更した。
</t>
    </r>
    <r>
      <rPr>
        <sz val="10"/>
        <color theme="1"/>
        <rFont val="Arial"/>
        <family val="2"/>
      </rPr>
      <t xml:space="preserve">- </t>
    </r>
    <r>
      <rPr>
        <sz val="10"/>
        <color theme="1"/>
        <rFont val="メイリオ"/>
        <family val="3"/>
        <charset val="128"/>
      </rPr>
      <t xml:space="preserve">レビュー指標の表に各指標の実績値を記載する欄を追加した。
</t>
    </r>
    <r>
      <rPr>
        <sz val="10"/>
        <color theme="1"/>
        <rFont val="Arial"/>
        <family val="2"/>
      </rPr>
      <t xml:space="preserve">- </t>
    </r>
    <r>
      <rPr>
        <sz val="10"/>
        <color theme="1"/>
        <rFont val="メイリオ"/>
        <family val="3"/>
        <charset val="128"/>
      </rPr>
      <t xml:space="preserve">レビュー対象物の表についての説明を修正した。
</t>
    </r>
    <r>
      <rPr>
        <sz val="10"/>
        <color theme="1"/>
        <rFont val="Arial"/>
        <family val="2"/>
      </rPr>
      <t xml:space="preserve">- </t>
    </r>
    <r>
      <rPr>
        <sz val="10"/>
        <color theme="1"/>
        <rFont val="メイリオ"/>
        <family val="3"/>
        <charset val="128"/>
      </rPr>
      <t xml:space="preserve">ピアレビューチェックリストの項目をレビューする工程に合わせて確認対象外を自動でグレー表示にするようにした。
</t>
    </r>
    <r>
      <rPr>
        <sz val="10"/>
        <color theme="1"/>
        <rFont val="Arial"/>
        <family val="2"/>
      </rPr>
      <t xml:space="preserve">- </t>
    </r>
    <r>
      <rPr>
        <sz val="10"/>
        <color theme="1"/>
        <rFont val="メイリオ"/>
        <family val="3"/>
        <charset val="128"/>
      </rPr>
      <t>「対応内容</t>
    </r>
    <r>
      <rPr>
        <sz val="10"/>
        <color theme="1"/>
        <rFont val="Arial"/>
        <family val="2"/>
      </rPr>
      <t>/</t>
    </r>
    <r>
      <rPr>
        <sz val="10"/>
        <color theme="1"/>
        <rFont val="メイリオ"/>
        <family val="3"/>
        <charset val="128"/>
      </rPr>
      <t>質疑の応答」のセル設定を「縮小表示」から「折り返して表示」に変更した。</t>
    </r>
    <rPh sb="6" eb="8">
      <t>サクセイ</t>
    </rPh>
    <rPh sb="9" eb="11">
      <t>コウモク</t>
    </rPh>
    <rPh sb="14" eb="15">
      <t>イロ</t>
    </rPh>
    <rPh sb="16" eb="18">
      <t>ヘンコウ</t>
    </rPh>
    <rPh sb="24" eb="26">
      <t>ヒョウシ</t>
    </rPh>
    <rPh sb="33" eb="35">
      <t>バンゴウ</t>
    </rPh>
    <rPh sb="36" eb="38">
      <t>ツイカ</t>
    </rPh>
    <rPh sb="73" eb="75">
      <t>ヒョウキ</t>
    </rPh>
    <rPh sb="80" eb="82">
      <t>ヨウシキ</t>
    </rPh>
    <rPh sb="83" eb="85">
      <t>トウイツ</t>
    </rPh>
    <rPh sb="85" eb="87">
      <t>ヒョウキ</t>
    </rPh>
    <rPh sb="94" eb="95">
      <t>ホカ</t>
    </rPh>
    <rPh sb="106" eb="108">
      <t>バアイ</t>
    </rPh>
    <rPh sb="134" eb="136">
      <t>キサイ</t>
    </rPh>
    <rPh sb="142" eb="144">
      <t>ヒヅケ</t>
    </rPh>
    <rPh sb="145" eb="147">
      <t>ショシキ</t>
    </rPh>
    <rPh sb="148" eb="150">
      <t>トウイツ</t>
    </rPh>
    <rPh sb="157" eb="159">
      <t>シヨウ</t>
    </rPh>
    <rPh sb="167" eb="169">
      <t>コウモク</t>
    </rPh>
    <rPh sb="171" eb="173">
      <t>ブモン</t>
    </rPh>
    <rPh sb="183" eb="184">
      <t>ホン</t>
    </rPh>
    <rPh sb="184" eb="186">
      <t>ヨウシキ</t>
    </rPh>
    <rPh sb="196" eb="198">
      <t>センタク</t>
    </rPh>
    <rPh sb="201" eb="203">
      <t>ホウシキ</t>
    </rPh>
    <rPh sb="204" eb="206">
      <t>ヘンコウ</t>
    </rPh>
    <rPh sb="213" eb="215">
      <t>コウテイ</t>
    </rPh>
    <rPh sb="215" eb="216">
      <t>メイ</t>
    </rPh>
    <rPh sb="217" eb="219">
      <t>コウモク</t>
    </rPh>
    <rPh sb="223" eb="225">
      <t>センタク</t>
    </rPh>
    <rPh sb="225" eb="227">
      <t>ホウシキ</t>
    </rPh>
    <rPh sb="228" eb="230">
      <t>ヘンコウ</t>
    </rPh>
    <rPh sb="237" eb="240">
      <t>シヒョウチ</t>
    </rPh>
    <rPh sb="241" eb="243">
      <t>コウモク</t>
    </rPh>
    <rPh sb="245" eb="248">
      <t>シヒョウチ</t>
    </rPh>
    <rPh sb="249" eb="252">
      <t>ケイカクチ</t>
    </rPh>
    <rPh sb="255" eb="257">
      <t>ヘンコウ</t>
    </rPh>
    <rPh sb="267" eb="270">
      <t>タイショウブツ</t>
    </rPh>
    <rPh sb="271" eb="273">
      <t>セツメイ</t>
    </rPh>
    <rPh sb="274" eb="276">
      <t>シュウセイ</t>
    </rPh>
    <rPh sb="283" eb="285">
      <t>シテキ</t>
    </rPh>
    <rPh sb="286" eb="288">
      <t>ナイヨウ</t>
    </rPh>
    <rPh sb="289" eb="291">
      <t>シツギ</t>
    </rPh>
    <rPh sb="291" eb="293">
      <t>オウトウ</t>
    </rPh>
    <rPh sb="294" eb="296">
      <t>ナイヨウ</t>
    </rPh>
    <rPh sb="297" eb="299">
      <t>コウモク</t>
    </rPh>
    <rPh sb="301" eb="303">
      <t>シテキ</t>
    </rPh>
    <rPh sb="304" eb="306">
      <t>ナイヨウ</t>
    </rPh>
    <rPh sb="307" eb="309">
      <t>シツギ</t>
    </rPh>
    <rPh sb="310" eb="312">
      <t>ナイヨウ</t>
    </rPh>
    <rPh sb="314" eb="316">
      <t>ヘンコウ</t>
    </rPh>
    <rPh sb="323" eb="325">
      <t>タイオウ</t>
    </rPh>
    <rPh sb="325" eb="327">
      <t>ナイヨウ</t>
    </rPh>
    <rPh sb="328" eb="330">
      <t>コウモク</t>
    </rPh>
    <rPh sb="332" eb="334">
      <t>タイオウ</t>
    </rPh>
    <rPh sb="335" eb="337">
      <t>ナイヨウ</t>
    </rPh>
    <rPh sb="338" eb="340">
      <t>シツギ</t>
    </rPh>
    <rPh sb="341" eb="343">
      <t>オウトウ</t>
    </rPh>
    <rPh sb="345" eb="347">
      <t>ヘンコウ</t>
    </rPh>
    <rPh sb="353" eb="355">
      <t>シテキ</t>
    </rPh>
    <rPh sb="355" eb="357">
      <t>コウモク</t>
    </rPh>
    <rPh sb="357" eb="359">
      <t>イチラン</t>
    </rPh>
    <rPh sb="366" eb="368">
      <t>チョウセイ</t>
    </rPh>
    <rPh sb="375" eb="377">
      <t>ジッシ</t>
    </rPh>
    <rPh sb="377" eb="379">
      <t>ニチジ</t>
    </rPh>
    <rPh sb="380" eb="383">
      <t>サンカシャ</t>
    </rPh>
    <rPh sb="385" eb="387">
      <t>セツメイ</t>
    </rPh>
    <rPh sb="388" eb="390">
      <t>シュウセイ</t>
    </rPh>
    <rPh sb="400" eb="403">
      <t>タイショウブツ</t>
    </rPh>
    <rPh sb="404" eb="405">
      <t>ヒョウ</t>
    </rPh>
    <rPh sb="406" eb="408">
      <t>キサイ</t>
    </rPh>
    <rPh sb="411" eb="413">
      <t>シテキ</t>
    </rPh>
    <rPh sb="413" eb="415">
      <t>ケンスウ</t>
    </rPh>
    <rPh sb="417" eb="420">
      <t>ジッセキチ</t>
    </rPh>
    <rPh sb="421" eb="425">
      <t>ジドウケイサン</t>
    </rPh>
    <rPh sb="426" eb="428">
      <t>ヘンコウ</t>
    </rPh>
    <rPh sb="438" eb="440">
      <t>シヒョウ</t>
    </rPh>
    <rPh sb="441" eb="442">
      <t>ヒョウ</t>
    </rPh>
    <rPh sb="443" eb="444">
      <t>カク</t>
    </rPh>
    <rPh sb="444" eb="446">
      <t>シヒョウ</t>
    </rPh>
    <rPh sb="447" eb="450">
      <t>ジッセキチ</t>
    </rPh>
    <rPh sb="451" eb="453">
      <t>キサイ</t>
    </rPh>
    <rPh sb="455" eb="456">
      <t>ラン</t>
    </rPh>
    <rPh sb="457" eb="459">
      <t>ツイカ</t>
    </rPh>
    <rPh sb="469" eb="472">
      <t>タイショウブツ</t>
    </rPh>
    <rPh sb="473" eb="474">
      <t>ヒョウ</t>
    </rPh>
    <rPh sb="479" eb="481">
      <t>セツメイ</t>
    </rPh>
    <rPh sb="482" eb="484">
      <t>シュウセイ</t>
    </rPh>
    <rPh sb="504" eb="506">
      <t>コウモク</t>
    </rPh>
    <rPh sb="513" eb="515">
      <t>コウテイ</t>
    </rPh>
    <rPh sb="516" eb="517">
      <t>ア</t>
    </rPh>
    <rPh sb="520" eb="522">
      <t>カクニン</t>
    </rPh>
    <rPh sb="522" eb="525">
      <t>タイショウガイ</t>
    </rPh>
    <rPh sb="526" eb="528">
      <t>ジドウ</t>
    </rPh>
    <rPh sb="532" eb="534">
      <t>ヒョウジ</t>
    </rPh>
    <rPh sb="561" eb="563">
      <t>セッテイ</t>
    </rPh>
    <rPh sb="565" eb="567">
      <t>シュクショウ</t>
    </rPh>
    <rPh sb="567" eb="569">
      <t>ヒョウジ</t>
    </rPh>
    <rPh sb="573" eb="574">
      <t>オ</t>
    </rPh>
    <rPh sb="575" eb="576">
      <t>カエ</t>
    </rPh>
    <rPh sb="578" eb="580">
      <t>ヒョウジ</t>
    </rPh>
    <rPh sb="582" eb="584">
      <t>ヘンコウ</t>
    </rPh>
    <phoneticPr fontId="10"/>
  </si>
  <si>
    <r>
      <t>-</t>
    </r>
    <r>
      <rPr>
        <sz val="9"/>
        <color theme="1"/>
        <rFont val="メイリオ"/>
        <family val="3"/>
        <charset val="128"/>
      </rPr>
      <t>開発プロセス支援ガイド</t>
    </r>
    <r>
      <rPr>
        <sz val="9"/>
        <color theme="1"/>
        <rFont val="Arial"/>
        <family val="2"/>
      </rPr>
      <t>_</t>
    </r>
    <r>
      <rPr>
        <sz val="9"/>
        <color theme="1"/>
        <rFont val="メイリオ"/>
        <family val="3"/>
        <charset val="128"/>
      </rPr>
      <t>標準類作成</t>
    </r>
    <r>
      <rPr>
        <sz val="9"/>
        <color theme="1"/>
        <rFont val="Arial"/>
        <family val="2"/>
      </rPr>
      <t>FAQ</t>
    </r>
    <r>
      <rPr>
        <sz val="9"/>
        <color theme="1"/>
        <rFont val="メイリオ"/>
        <family val="3"/>
        <charset val="128"/>
      </rPr>
      <t>の情報及びマクロを追加</t>
    </r>
    <rPh sb="1" eb="3">
      <t>カイハツ</t>
    </rPh>
    <rPh sb="7" eb="9">
      <t>シエン</t>
    </rPh>
    <rPh sb="13" eb="15">
      <t>ヒョウジュン</t>
    </rPh>
    <rPh sb="15" eb="16">
      <t>ルイ</t>
    </rPh>
    <rPh sb="16" eb="18">
      <t>サクセイ</t>
    </rPh>
    <rPh sb="22" eb="24">
      <t>ジョウホウ</t>
    </rPh>
    <rPh sb="24" eb="25">
      <t>オヨ</t>
    </rPh>
    <rPh sb="30" eb="32">
      <t>ツイカ</t>
    </rPh>
    <phoneticPr fontId="6"/>
  </si>
  <si>
    <t>Select the name of the process</t>
    <phoneticPr fontId="6"/>
  </si>
  <si>
    <t>Describe name of the person who creates the document and the creation date.
[Example] 15 Apr., 2019
Takahashi SC.</t>
    <phoneticPr fontId="6"/>
  </si>
  <si>
    <t>Number of project.
[Example] PB-19001</t>
    <phoneticPr fontId="6"/>
  </si>
  <si>
    <t>Describe the date the document is issued.
[Example] 15 Apr., 2019</t>
    <phoneticPr fontId="6"/>
  </si>
  <si>
    <t>Describe name of the person who approves the document and the approval date.
[Example] 15 Apr., 2019
Sato K</t>
    <phoneticPr fontId="6"/>
  </si>
  <si>
    <t>E35-V44</t>
    <phoneticPr fontId="6"/>
  </si>
  <si>
    <t>H30,J30,L30,H31,J31,L31</t>
    <phoneticPr fontId="6"/>
  </si>
  <si>
    <t>T35-V44</t>
    <phoneticPr fontId="4"/>
  </si>
  <si>
    <t>Please choose whether to use "This template checklist" or "Department checklist" and enter the checklist name in the cell on the right.</t>
    <phoneticPr fontId="4"/>
  </si>
  <si>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15 Apr., 2019</t>
    <phoneticPr fontId="6"/>
  </si>
  <si>
    <t>Describe the number of persons for desk check. In addition, the confirmation before inspection execution is "pre-check", and it is not necessary to record the time and the number of people as a desk check. However, pre-checks can also be timed and analyzed at the project's discretion.</t>
    <phoneticPr fontId="6"/>
  </si>
  <si>
    <t>Describe the total on-desk check duration in decimal value (Unit: hr). In addition, the confirmation before inspection execution is "pre-check", and it is not necessary to record the time and the number of people as a desk check. However, pre-checks can also be timed and analyzed at the project's discretion.
[Example] 2.5 * 2 hours 30 minutes</t>
    <phoneticPr fontId="6"/>
  </si>
  <si>
    <t>Select the type of review from the dropdown menu. In addition, the confirmation before inspection execution is "pre-check", and it is not necessary to record the time and the number of people as a desk check. However, pre-checks can also be timed and analyzed at the project's discretion.</t>
    <phoneticPr fontId="6"/>
  </si>
  <si>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12 Apr., 2019</t>
    <phoneticPr fontId="6"/>
  </si>
  <si>
    <t>Select the result
  OK --- Evaluation results exist.
  NG --- There is no evaluation result.
  N/A --- Not applicable because there is 
              no need to select a design method.</t>
    <phoneticPr fontId="6"/>
  </si>
  <si>
    <t>RCT-JB5001 9.7.4. Analysis and corrective measures[P.20]</t>
    <phoneticPr fontId="4"/>
  </si>
  <si>
    <t>RCT-JB5001 7.2.1.(2) Project Planning Process[P.4]</t>
    <phoneticPr fontId="4"/>
  </si>
  <si>
    <t>RCT-JB5001 7.2.1.(3) Planning DR[P.4]</t>
    <phoneticPr fontId="4"/>
  </si>
  <si>
    <t>RCT-JB5001 8.11. Creation of the Training Plan[P.17]</t>
    <phoneticPr fontId="4"/>
  </si>
  <si>
    <t>RCT-JB5001-003 6.1. Acquiring Requests[P.37]</t>
    <phoneticPr fontId="4"/>
  </si>
  <si>
    <t>RCT-JB5001-003 6.2. Determining Request Feasibility[P.38]</t>
    <phoneticPr fontId="4"/>
  </si>
  <si>
    <t>RCT-JB5001-003 6.3. Converting Requests into Requirements[P.38]</t>
    <phoneticPr fontId="4"/>
  </si>
  <si>
    <t>RCT-JB5001-003 6.4. Ensuring Traceability[P.38]</t>
    <phoneticPr fontId="4"/>
  </si>
  <si>
    <t>E93</t>
    <phoneticPr fontId="6"/>
  </si>
  <si>
    <t>If there is no problem because some of the confirmation items are not applicable, select OK, and enter the reasons for judging that there is no problem with the not applicable items in the Additional Description column.</t>
    <phoneticPr fontId="6"/>
  </si>
  <si>
    <t>-</t>
  </si>
  <si>
    <t>-</t>
    <phoneticPr fontId="6"/>
  </si>
  <si>
    <t>D6-F6</t>
    <phoneticPr fontId="6"/>
  </si>
  <si>
    <t>D7-F7</t>
    <phoneticPr fontId="6"/>
  </si>
  <si>
    <t>D8-F8</t>
    <phoneticPr fontId="6"/>
  </si>
  <si>
    <t>D9-F9</t>
    <phoneticPr fontId="6"/>
  </si>
  <si>
    <t>D19-F19</t>
    <phoneticPr fontId="6"/>
  </si>
  <si>
    <t>D13-F18</t>
    <phoneticPr fontId="6"/>
  </si>
  <si>
    <t>D17-F18</t>
    <phoneticPr fontId="6"/>
  </si>
  <si>
    <t>D15-F16</t>
    <phoneticPr fontId="6"/>
  </si>
  <si>
    <t>D13-F14</t>
    <phoneticPr fontId="6"/>
  </si>
  <si>
    <t>Select the checklist to use.
Even when using the department's peer review checklist, items related to project plan process and requirements development process and traceability after functional design process should be checked.Use this template to confirm, or include the same check items in the department checklist and then confirm.</t>
    <phoneticPr fontId="6"/>
  </si>
  <si>
    <t>Guide</t>
  </si>
  <si>
    <t>(FinalLine)</t>
    <phoneticPr fontId="4"/>
  </si>
  <si>
    <t>プロジェクト計画書[Project Plan]E7</t>
    <rPh sb="6" eb="9">
      <t>ケイカクショ</t>
    </rPh>
    <phoneticPr fontId="4"/>
  </si>
  <si>
    <t>Project plan[Project Plan]E7</t>
    <phoneticPr fontId="4"/>
  </si>
  <si>
    <t>標準開発手順管理表[標準開発手順管理表]J12</t>
    <phoneticPr fontId="4"/>
  </si>
  <si>
    <t>Standard Development Procedure Management Table[SDP Management Table]J12</t>
    <phoneticPr fontId="4"/>
  </si>
  <si>
    <t>標準開発手順管理表[標準開発手順管理表]G12</t>
    <phoneticPr fontId="4"/>
  </si>
  <si>
    <t>Standard Development Procedure Management Table[SDP Management Table]G12</t>
    <phoneticPr fontId="4"/>
  </si>
  <si>
    <r>
      <rPr>
        <sz val="10"/>
        <color theme="1"/>
        <rFont val="メイリオ"/>
        <family val="3"/>
        <charset val="128"/>
      </rPr>
      <t>ワークシート名</t>
    </r>
    <rPh sb="6" eb="7">
      <t>メイ</t>
    </rPh>
    <phoneticPr fontId="4"/>
  </si>
  <si>
    <r>
      <rPr>
        <sz val="10"/>
        <color theme="1"/>
        <rFont val="メイリオ"/>
        <family val="3"/>
        <charset val="128"/>
      </rPr>
      <t>位置</t>
    </r>
    <rPh sb="0" eb="2">
      <t>イチ</t>
    </rPh>
    <phoneticPr fontId="4"/>
  </si>
  <si>
    <r>
      <rPr>
        <sz val="10"/>
        <color theme="1"/>
        <rFont val="メイリオ"/>
        <family val="3"/>
        <charset val="128"/>
      </rPr>
      <t>問題定義（指摘内容）</t>
    </r>
    <rPh sb="0" eb="2">
      <t>モンダイ</t>
    </rPh>
    <rPh sb="2" eb="4">
      <t>テイギ</t>
    </rPh>
    <rPh sb="5" eb="7">
      <t>シテキ</t>
    </rPh>
    <rPh sb="7" eb="9">
      <t>ナイヨウ</t>
    </rPh>
    <phoneticPr fontId="4"/>
  </si>
  <si>
    <r>
      <rPr>
        <sz val="10"/>
        <color theme="1"/>
        <rFont val="メイリオ"/>
        <family val="3"/>
        <charset val="128"/>
      </rPr>
      <t>対処方法</t>
    </r>
    <rPh sb="0" eb="2">
      <t>タイショ</t>
    </rPh>
    <rPh sb="2" eb="4">
      <t>ホウホウ</t>
    </rPh>
    <phoneticPr fontId="4"/>
  </si>
  <si>
    <r>
      <rPr>
        <sz val="10"/>
        <color theme="1"/>
        <rFont val="メイリオ"/>
        <family val="3"/>
        <charset val="128"/>
      </rPr>
      <t>関連先</t>
    </r>
    <rPh sb="0" eb="2">
      <t>カンレン</t>
    </rPh>
    <rPh sb="2" eb="3">
      <t>サキ</t>
    </rPh>
    <phoneticPr fontId="4"/>
  </si>
  <si>
    <r>
      <rPr>
        <sz val="10"/>
        <color theme="1"/>
        <rFont val="メイリオ"/>
        <family val="3"/>
        <charset val="128"/>
      </rPr>
      <t>問題定義（指摘内容）</t>
    </r>
    <r>
      <rPr>
        <sz val="10"/>
        <color theme="1"/>
        <rFont val="Arial"/>
        <family val="2"/>
      </rPr>
      <t>_</t>
    </r>
    <r>
      <rPr>
        <sz val="10"/>
        <color theme="1"/>
        <rFont val="メイリオ"/>
        <family val="3"/>
        <charset val="128"/>
      </rPr>
      <t>英語版</t>
    </r>
    <rPh sb="0" eb="2">
      <t>モンダイ</t>
    </rPh>
    <rPh sb="2" eb="4">
      <t>テイギ</t>
    </rPh>
    <rPh sb="5" eb="7">
      <t>シテキ</t>
    </rPh>
    <rPh sb="7" eb="9">
      <t>ナイヨウ</t>
    </rPh>
    <rPh sb="11" eb="13">
      <t>エイゴ</t>
    </rPh>
    <rPh sb="13" eb="14">
      <t>ハン</t>
    </rPh>
    <phoneticPr fontId="4"/>
  </si>
  <si>
    <r>
      <rPr>
        <sz val="10"/>
        <color theme="1"/>
        <rFont val="メイリオ"/>
        <family val="3"/>
        <charset val="128"/>
      </rPr>
      <t>対処方法</t>
    </r>
    <r>
      <rPr>
        <sz val="10"/>
        <color theme="1"/>
        <rFont val="Arial"/>
        <family val="2"/>
      </rPr>
      <t>_</t>
    </r>
    <r>
      <rPr>
        <sz val="10"/>
        <color theme="1"/>
        <rFont val="メイリオ"/>
        <family val="3"/>
        <charset val="128"/>
      </rPr>
      <t>英語版</t>
    </r>
    <rPh sb="0" eb="2">
      <t>タイショ</t>
    </rPh>
    <rPh sb="2" eb="4">
      <t>ホウホウ</t>
    </rPh>
    <phoneticPr fontId="4"/>
  </si>
  <si>
    <r>
      <rPr>
        <sz val="10"/>
        <color theme="1"/>
        <rFont val="メイリオ"/>
        <family val="3"/>
        <charset val="128"/>
      </rPr>
      <t>関連先</t>
    </r>
    <r>
      <rPr>
        <sz val="10"/>
        <color theme="1"/>
        <rFont val="Arial"/>
        <family val="2"/>
      </rPr>
      <t>_</t>
    </r>
    <r>
      <rPr>
        <sz val="10"/>
        <color theme="1"/>
        <rFont val="メイリオ"/>
        <family val="3"/>
        <charset val="128"/>
      </rPr>
      <t>英語版</t>
    </r>
    <rPh sb="0" eb="2">
      <t>カンレン</t>
    </rPh>
    <rPh sb="2" eb="3">
      <t>サキ</t>
    </rPh>
    <phoneticPr fontId="4"/>
  </si>
  <si>
    <r>
      <rPr>
        <sz val="10"/>
        <color theme="1"/>
        <rFont val="メイリオ"/>
        <family val="3"/>
        <charset val="128"/>
      </rPr>
      <t>列</t>
    </r>
    <r>
      <rPr>
        <sz val="10"/>
        <color theme="1"/>
        <rFont val="Arial"/>
        <family val="2"/>
      </rPr>
      <t>1</t>
    </r>
  </si>
  <si>
    <r>
      <rPr>
        <sz val="10"/>
        <color theme="1"/>
        <rFont val="メイリオ"/>
        <family val="3"/>
        <charset val="128"/>
      </rPr>
      <t>列</t>
    </r>
    <r>
      <rPr>
        <sz val="10"/>
        <color theme="1"/>
        <rFont val="Arial"/>
        <family val="2"/>
      </rPr>
      <t>2</t>
    </r>
  </si>
  <si>
    <r>
      <rPr>
        <sz val="10"/>
        <color theme="1"/>
        <rFont val="メイリオ"/>
        <family val="3"/>
        <charset val="128"/>
      </rPr>
      <t>列</t>
    </r>
    <r>
      <rPr>
        <sz val="10"/>
        <color theme="1"/>
        <rFont val="Arial"/>
        <family val="2"/>
      </rPr>
      <t>3</t>
    </r>
  </si>
  <si>
    <r>
      <rPr>
        <sz val="10"/>
        <color theme="1"/>
        <rFont val="メイリオ"/>
        <family val="3"/>
        <charset val="128"/>
      </rPr>
      <t>列</t>
    </r>
    <r>
      <rPr>
        <sz val="10"/>
        <color theme="1"/>
        <rFont val="Arial"/>
        <family val="2"/>
      </rPr>
      <t>4</t>
    </r>
  </si>
  <si>
    <r>
      <rPr>
        <sz val="10"/>
        <color theme="1"/>
        <rFont val="メイリオ"/>
        <family val="3"/>
        <charset val="128"/>
      </rPr>
      <t>列</t>
    </r>
    <r>
      <rPr>
        <sz val="10"/>
        <color theme="1"/>
        <rFont val="Arial"/>
        <family val="2"/>
      </rPr>
      <t>5</t>
    </r>
  </si>
  <si>
    <r>
      <rPr>
        <sz val="10"/>
        <color theme="1"/>
        <rFont val="メイリオ"/>
        <family val="3"/>
        <charset val="128"/>
      </rPr>
      <t>列</t>
    </r>
    <r>
      <rPr>
        <sz val="10"/>
        <color theme="1"/>
        <rFont val="Arial"/>
        <family val="2"/>
      </rPr>
      <t>6</t>
    </r>
  </si>
  <si>
    <r>
      <rPr>
        <sz val="10"/>
        <color theme="1"/>
        <rFont val="メイリオ"/>
        <family val="3"/>
        <charset val="128"/>
      </rPr>
      <t>列</t>
    </r>
    <r>
      <rPr>
        <sz val="10"/>
        <color theme="1"/>
        <rFont val="Arial"/>
        <family val="2"/>
      </rPr>
      <t>42</t>
    </r>
  </si>
  <si>
    <r>
      <rPr>
        <sz val="10"/>
        <color theme="1"/>
        <rFont val="メイリオ"/>
        <family val="3"/>
        <charset val="128"/>
      </rPr>
      <t>列</t>
    </r>
    <r>
      <rPr>
        <sz val="10"/>
        <color theme="1"/>
        <rFont val="Arial"/>
        <family val="2"/>
      </rPr>
      <t>52</t>
    </r>
  </si>
  <si>
    <r>
      <rPr>
        <sz val="10"/>
        <color theme="1"/>
        <rFont val="メイリオ"/>
        <family val="3"/>
        <charset val="128"/>
      </rPr>
      <t>列</t>
    </r>
    <r>
      <rPr>
        <sz val="10"/>
        <color theme="1"/>
        <rFont val="Arial"/>
        <family val="2"/>
      </rPr>
      <t>62</t>
    </r>
  </si>
  <si>
    <r>
      <t>(</t>
    </r>
    <r>
      <rPr>
        <sz val="10"/>
        <color theme="1"/>
        <rFont val="メイリオ"/>
        <family val="3"/>
        <charset val="128"/>
      </rPr>
      <t>記入不要</t>
    </r>
    <r>
      <rPr>
        <sz val="10"/>
        <color theme="1"/>
        <rFont val="Arial"/>
        <family val="2"/>
      </rPr>
      <t>)</t>
    </r>
    <rPh sb="1" eb="3">
      <t>キニュウ</t>
    </rPh>
    <rPh sb="3" eb="5">
      <t>フヨウ</t>
    </rPh>
    <phoneticPr fontId="4"/>
  </si>
  <si>
    <r>
      <rPr>
        <sz val="10"/>
        <rFont val="メイリオ"/>
        <family val="3"/>
        <charset val="128"/>
      </rPr>
      <t>本文書の発行を通知する宛先を記載する。
【例】</t>
    </r>
    <r>
      <rPr>
        <sz val="10"/>
        <rFont val="Arial"/>
        <family val="2"/>
      </rPr>
      <t xml:space="preserve">QAD/QSP/QDSC </t>
    </r>
    <r>
      <rPr>
        <sz val="10"/>
        <rFont val="メイリオ"/>
        <family val="3"/>
        <charset val="128"/>
      </rPr>
      <t>各位</t>
    </r>
    <phoneticPr fontId="6"/>
  </si>
  <si>
    <r>
      <rPr>
        <sz val="10"/>
        <rFont val="メイリオ"/>
        <family val="3"/>
        <charset val="128"/>
      </rPr>
      <t>工程名を選択する。</t>
    </r>
    <phoneticPr fontId="6"/>
  </si>
  <si>
    <r>
      <rPr>
        <sz val="10"/>
        <rFont val="メイリオ"/>
        <family val="3"/>
        <charset val="128"/>
      </rPr>
      <t>プロジェクト名を記載する。
【例】</t>
    </r>
    <r>
      <rPr>
        <sz val="10"/>
        <rFont val="Arial"/>
        <family val="2"/>
      </rPr>
      <t>MCU</t>
    </r>
    <r>
      <rPr>
        <sz val="10"/>
        <rFont val="メイリオ"/>
        <family val="3"/>
        <charset val="128"/>
      </rPr>
      <t>用</t>
    </r>
    <r>
      <rPr>
        <sz val="10"/>
        <rFont val="Arial"/>
        <family val="2"/>
      </rPr>
      <t>FW</t>
    </r>
    <r>
      <rPr>
        <sz val="10"/>
        <rFont val="メイリオ"/>
        <family val="3"/>
        <charset val="128"/>
      </rPr>
      <t>開発</t>
    </r>
    <phoneticPr fontId="6"/>
  </si>
  <si>
    <r>
      <rPr>
        <sz val="10"/>
        <rFont val="メイリオ"/>
        <family val="3"/>
        <charset val="128"/>
      </rPr>
      <t>プロジェクト番号を記載する。
【例】</t>
    </r>
    <r>
      <rPr>
        <sz val="10"/>
        <rFont val="Arial"/>
        <family val="2"/>
      </rPr>
      <t>PB-19001</t>
    </r>
    <phoneticPr fontId="6"/>
  </si>
  <si>
    <r>
      <rPr>
        <sz val="10"/>
        <rFont val="メイリオ"/>
        <family val="3"/>
        <charset val="128"/>
      </rPr>
      <t>部門で取り決めた文書番号を記載する。
部門で定義していない場合は、ハイフン記号</t>
    </r>
    <r>
      <rPr>
        <sz val="10"/>
        <rFont val="Arial"/>
        <family val="2"/>
      </rPr>
      <t>(-)</t>
    </r>
    <r>
      <rPr>
        <sz val="10"/>
        <rFont val="メイリオ"/>
        <family val="3"/>
        <charset val="128"/>
      </rPr>
      <t>を記載する。
【例】</t>
    </r>
    <r>
      <rPr>
        <sz val="10"/>
        <rFont val="Arial"/>
        <family val="2"/>
      </rPr>
      <t>SYS-14-0000001</t>
    </r>
    <phoneticPr fontId="6"/>
  </si>
  <si>
    <r>
      <t>The document number defined by the department.
Insert hyphen "</t>
    </r>
    <r>
      <rPr>
        <sz val="10"/>
        <color theme="1"/>
        <rFont val="メイリオ"/>
        <family val="3"/>
        <charset val="128"/>
      </rPr>
      <t>－</t>
    </r>
    <r>
      <rPr>
        <sz val="10"/>
        <color theme="1"/>
        <rFont val="Arial"/>
        <family val="2"/>
      </rPr>
      <t>" if not defined by the department.
[Example] SYS-14-0000001</t>
    </r>
    <phoneticPr fontId="6"/>
  </si>
  <si>
    <r>
      <rPr>
        <sz val="10"/>
        <rFont val="メイリオ"/>
        <family val="3"/>
        <charset val="128"/>
      </rPr>
      <t>本文書の発行日を記載する。
【例】</t>
    </r>
    <r>
      <rPr>
        <sz val="10"/>
        <rFont val="Arial"/>
        <family val="2"/>
      </rPr>
      <t>2019/4/15</t>
    </r>
    <phoneticPr fontId="6"/>
  </si>
  <si>
    <r>
      <rPr>
        <sz val="10"/>
        <rFont val="メイリオ"/>
        <family val="3"/>
        <charset val="128"/>
      </rPr>
      <t>本文書を作成した会社名と部門名を記載する。
【会社名の例】</t>
    </r>
    <r>
      <rPr>
        <sz val="10"/>
        <rFont val="Arial"/>
        <family val="2"/>
      </rPr>
      <t xml:space="preserve">REL
</t>
    </r>
    <r>
      <rPr>
        <sz val="10"/>
        <rFont val="メイリオ"/>
        <family val="3"/>
        <charset val="128"/>
      </rPr>
      <t>【部門名の例】</t>
    </r>
    <r>
      <rPr>
        <sz val="10"/>
        <rFont val="Arial"/>
        <family val="2"/>
      </rPr>
      <t>ABU/SWBD/SWPL/SWPDT</t>
    </r>
    <phoneticPr fontId="6"/>
  </si>
  <si>
    <r>
      <rPr>
        <sz val="10"/>
        <rFont val="メイリオ"/>
        <family val="3"/>
        <charset val="128"/>
      </rPr>
      <t>承認者の名前と承認日を記載する。
【例】</t>
    </r>
    <r>
      <rPr>
        <sz val="10"/>
        <rFont val="Arial"/>
        <family val="2"/>
      </rPr>
      <t xml:space="preserve">2019/4/15
</t>
    </r>
    <r>
      <rPr>
        <sz val="10"/>
        <rFont val="メイリオ"/>
        <family val="3"/>
        <charset val="128"/>
      </rPr>
      <t>佐藤</t>
    </r>
    <r>
      <rPr>
        <sz val="10"/>
        <rFont val="Arial"/>
        <family val="2"/>
      </rPr>
      <t>K</t>
    </r>
    <phoneticPr fontId="6"/>
  </si>
  <si>
    <r>
      <rPr>
        <sz val="10"/>
        <rFont val="メイリオ"/>
        <family val="3"/>
        <charset val="128"/>
      </rPr>
      <t>作成者の名前と作成日を記載する。
【例】</t>
    </r>
    <r>
      <rPr>
        <sz val="10"/>
        <rFont val="Arial"/>
        <family val="2"/>
      </rPr>
      <t xml:space="preserve">2019/4/15
</t>
    </r>
    <r>
      <rPr>
        <sz val="10"/>
        <rFont val="メイリオ"/>
        <family val="3"/>
        <charset val="128"/>
      </rPr>
      <t>高橋</t>
    </r>
    <r>
      <rPr>
        <sz val="10"/>
        <rFont val="Arial"/>
        <family val="2"/>
      </rPr>
      <t>SC</t>
    </r>
    <phoneticPr fontId="6"/>
  </si>
  <si>
    <r>
      <rPr>
        <sz val="10"/>
        <rFont val="メイリオ"/>
        <family val="3"/>
        <charset val="128"/>
      </rPr>
      <t>ピアレビューの目的</t>
    </r>
    <r>
      <rPr>
        <sz val="10"/>
        <rFont val="Arial"/>
        <family val="2"/>
      </rPr>
      <t>(</t>
    </r>
    <r>
      <rPr>
        <sz val="10"/>
        <rFont val="メイリオ"/>
        <family val="3"/>
        <charset val="128"/>
      </rPr>
      <t>観点</t>
    </r>
    <r>
      <rPr>
        <sz val="10"/>
        <rFont val="Arial"/>
        <family val="2"/>
      </rPr>
      <t>)</t>
    </r>
    <r>
      <rPr>
        <sz val="10"/>
        <rFont val="メイリオ"/>
        <family val="3"/>
        <charset val="128"/>
      </rPr>
      <t xml:space="preserve">を記載する。
【例】以下の観点で詳細設計書の不具合を抽出する。
・詳細設計書の記載
</t>
    </r>
    <r>
      <rPr>
        <sz val="10"/>
        <rFont val="Arial"/>
        <family val="2"/>
      </rPr>
      <t xml:space="preserve">  (1)</t>
    </r>
    <r>
      <rPr>
        <sz val="10"/>
        <rFont val="メイリオ"/>
        <family val="3"/>
        <charset val="128"/>
      </rPr>
      <t xml:space="preserve">機能設計書の正しい理解に基づいていること
</t>
    </r>
    <r>
      <rPr>
        <sz val="10"/>
        <rFont val="Arial"/>
        <family val="2"/>
      </rPr>
      <t xml:space="preserve">  (2)</t>
    </r>
    <r>
      <rPr>
        <sz val="10"/>
        <rFont val="メイリオ"/>
        <family val="3"/>
        <charset val="128"/>
      </rPr>
      <t xml:space="preserve">機能設計書に対して過不足がないこと
</t>
    </r>
    <r>
      <rPr>
        <sz val="10"/>
        <rFont val="Arial"/>
        <family val="2"/>
      </rPr>
      <t xml:space="preserve">  (3)</t>
    </r>
    <r>
      <rPr>
        <sz val="10"/>
        <rFont val="メイリオ"/>
        <family val="3"/>
        <charset val="128"/>
      </rPr>
      <t xml:space="preserve">粒度が十分詳細でソースコードを作成可能なこと
・機能設計書とのトレーサビリティ
</t>
    </r>
    <r>
      <rPr>
        <sz val="10"/>
        <rFont val="Arial"/>
        <family val="2"/>
      </rPr>
      <t xml:space="preserve">  (1)</t>
    </r>
    <r>
      <rPr>
        <sz val="10"/>
        <rFont val="メイリオ"/>
        <family val="3"/>
        <charset val="128"/>
      </rPr>
      <t xml:space="preserve">トレース漏れがないこと
</t>
    </r>
    <r>
      <rPr>
        <sz val="10"/>
        <rFont val="Arial"/>
        <family val="2"/>
      </rPr>
      <t xml:space="preserve">  (2)</t>
    </r>
    <r>
      <rPr>
        <sz val="10"/>
        <rFont val="メイリオ"/>
        <family val="3"/>
        <charset val="128"/>
      </rPr>
      <t>トレース先が正しいこと</t>
    </r>
    <rPh sb="40" eb="42">
      <t>チュウシュツ</t>
    </rPh>
    <phoneticPr fontId="6"/>
  </si>
  <si>
    <r>
      <t>Purpose (viewpoints)
Describe the purpose (viewpoints) of peer review.
[Example]</t>
    </r>
    <r>
      <rPr>
        <sz val="10"/>
        <color theme="1"/>
        <rFont val="メイリオ"/>
        <family val="3"/>
        <charset val="128"/>
      </rPr>
      <t>　</t>
    </r>
    <r>
      <rPr>
        <sz val="10"/>
        <color theme="1"/>
        <rFont val="Arial"/>
        <family val="2"/>
      </rPr>
      <t xml:space="preserve">Find defects of Detail Design Document with the following viewpoints.
  </t>
    </r>
    <r>
      <rPr>
        <sz val="10"/>
        <color theme="1"/>
        <rFont val="メイリオ"/>
        <family val="3"/>
        <charset val="128"/>
      </rPr>
      <t>・</t>
    </r>
    <r>
      <rPr>
        <sz val="10"/>
        <color theme="1"/>
        <rFont val="Arial"/>
        <family val="2"/>
      </rPr>
      <t xml:space="preserve">Description of Detail Design Document 
    (1)It is based on the correct understanding of the Functional Design Document. 
    (2)No excess or deficiency with respect to the description of the Functional Design Document.
    (3)Sufficiently detailed that the source code can be created.
  </t>
    </r>
    <r>
      <rPr>
        <sz val="10"/>
        <color theme="1"/>
        <rFont val="メイリオ"/>
        <family val="3"/>
        <charset val="128"/>
      </rPr>
      <t>・</t>
    </r>
    <r>
      <rPr>
        <sz val="10"/>
        <color theme="1"/>
        <rFont val="Arial"/>
        <family val="2"/>
      </rPr>
      <t>Traceability to Functional Design Document
    (1)No trace omission
    (2)The trace destination is correct.</t>
    </r>
    <phoneticPr fontId="4"/>
  </si>
  <si>
    <r>
      <rPr>
        <sz val="10"/>
        <rFont val="メイリオ"/>
        <family val="3"/>
        <charset val="128"/>
      </rPr>
      <t>レビュー種類をリストから選択する。
なお、インスペクション実施前の確認は「事前チェック」であり、机上チェックとして時間、人数を記録する必要はありません。ただし、事前チェックもプロジェクトの判断で時間を計測し分析可能です。</t>
    </r>
    <phoneticPr fontId="6"/>
  </si>
  <si>
    <r>
      <rPr>
        <sz val="10"/>
        <rFont val="メイリオ"/>
        <family val="3"/>
        <charset val="128"/>
      </rPr>
      <t>使用するチェックリストを選択する。
なお、部門のピアレビューチェックリストを使用する場合であっても、プロジェクト計画工程と要件開発工程、および機能設計工程以降のトレーサビリティに関する項目のチェックは必須です。本様式のチェック項目または部門のチェックリストに含めてチェックしてください。</t>
    </r>
    <rPh sb="56" eb="58">
      <t>ケイカク</t>
    </rPh>
    <rPh sb="58" eb="60">
      <t>コウテイ</t>
    </rPh>
    <rPh sb="61" eb="63">
      <t>ヨウケン</t>
    </rPh>
    <rPh sb="63" eb="65">
      <t>カイハツ</t>
    </rPh>
    <rPh sb="65" eb="67">
      <t>コウテイ</t>
    </rPh>
    <rPh sb="71" eb="73">
      <t>キノウ</t>
    </rPh>
    <rPh sb="73" eb="75">
      <t>セッケイ</t>
    </rPh>
    <rPh sb="75" eb="77">
      <t>コウテイ</t>
    </rPh>
    <rPh sb="77" eb="79">
      <t>イコウ</t>
    </rPh>
    <rPh sb="89" eb="90">
      <t>カン</t>
    </rPh>
    <rPh sb="92" eb="94">
      <t>コウモク</t>
    </rPh>
    <rPh sb="100" eb="102">
      <t>ヒッス</t>
    </rPh>
    <phoneticPr fontId="6"/>
  </si>
  <si>
    <r>
      <rPr>
        <sz val="10"/>
        <rFont val="メイリオ"/>
        <family val="3"/>
        <charset val="128"/>
      </rPr>
      <t>レビュー対象物に対して、初回のレビューか、修正後の再レビューかを選択する。</t>
    </r>
    <rPh sb="4" eb="6">
      <t>タイショウ</t>
    </rPh>
    <rPh sb="6" eb="7">
      <t>ブツ</t>
    </rPh>
    <rPh sb="8" eb="9">
      <t>タイ</t>
    </rPh>
    <rPh sb="12" eb="14">
      <t>ショカイ</t>
    </rPh>
    <rPh sb="21" eb="23">
      <t>シュウセイ</t>
    </rPh>
    <rPh sb="23" eb="24">
      <t>ゴ</t>
    </rPh>
    <rPh sb="25" eb="26">
      <t>サイ</t>
    </rPh>
    <rPh sb="32" eb="34">
      <t>センタク</t>
    </rPh>
    <phoneticPr fontId="6"/>
  </si>
  <si>
    <r>
      <rPr>
        <sz val="10"/>
        <rFont val="メイリオ"/>
        <family val="3"/>
        <charset val="128"/>
      </rPr>
      <t>部門チェックリストを使用する場合、チェックリスト名を記載する。</t>
    </r>
    <phoneticPr fontId="6"/>
  </si>
  <si>
    <r>
      <rPr>
        <sz val="10"/>
        <rFont val="メイリオ"/>
        <family val="3"/>
        <charset val="128"/>
      </rPr>
      <t>役割ごとに名前を記載する。
レビューア欄には全レビューア名を記載する。</t>
    </r>
    <phoneticPr fontId="6"/>
  </si>
  <si>
    <r>
      <rPr>
        <sz val="10"/>
        <rFont val="メイリオ"/>
        <family val="3"/>
        <charset val="128"/>
      </rPr>
      <t>レビューア欄には全レビューア名を記載する</t>
    </r>
    <phoneticPr fontId="6"/>
  </si>
  <si>
    <r>
      <rPr>
        <sz val="10"/>
        <rFont val="メイリオ"/>
        <family val="3"/>
        <charset val="128"/>
      </rPr>
      <t>ミーティングの実施日を年月日で記載する。
【例】</t>
    </r>
    <r>
      <rPr>
        <sz val="10"/>
        <rFont val="Arial"/>
        <family val="2"/>
      </rPr>
      <t xml:space="preserve"> 2019/4/12</t>
    </r>
    <phoneticPr fontId="6"/>
  </si>
  <si>
    <r>
      <rPr>
        <sz val="10"/>
        <rFont val="メイリオ"/>
        <family val="3"/>
        <charset val="128"/>
      </rPr>
      <t>ミーティングの開始時刻を</t>
    </r>
    <r>
      <rPr>
        <sz val="10"/>
        <rFont val="Arial"/>
        <family val="2"/>
      </rPr>
      <t xml:space="preserve"> hh:mm </t>
    </r>
    <r>
      <rPr>
        <sz val="10"/>
        <rFont val="メイリオ"/>
        <family val="3"/>
        <charset val="128"/>
      </rPr>
      <t>形式で記載する。
【例】　</t>
    </r>
    <r>
      <rPr>
        <sz val="10"/>
        <rFont val="Arial"/>
        <family val="2"/>
      </rPr>
      <t>10:00</t>
    </r>
    <phoneticPr fontId="6"/>
  </si>
  <si>
    <r>
      <rPr>
        <sz val="10"/>
        <rFont val="メイリオ"/>
        <family val="3"/>
        <charset val="128"/>
      </rPr>
      <t>ミーティングの終了時刻を</t>
    </r>
    <r>
      <rPr>
        <sz val="10"/>
        <rFont val="Arial"/>
        <family val="2"/>
      </rPr>
      <t xml:space="preserve"> hh:mm </t>
    </r>
    <r>
      <rPr>
        <sz val="10"/>
        <rFont val="メイリオ"/>
        <family val="3"/>
        <charset val="128"/>
      </rPr>
      <t>形式で記載する。
【例】　</t>
    </r>
    <r>
      <rPr>
        <sz val="10"/>
        <rFont val="Arial"/>
        <family val="2"/>
      </rPr>
      <t>12:00</t>
    </r>
    <phoneticPr fontId="6"/>
  </si>
  <si>
    <r>
      <rPr>
        <sz val="10"/>
        <rFont val="メイリオ"/>
        <family val="3"/>
        <charset val="128"/>
      </rPr>
      <t>ミーティングに参加した人数を記載する。</t>
    </r>
    <phoneticPr fontId="6"/>
  </si>
  <si>
    <r>
      <rPr>
        <sz val="10"/>
        <rFont val="メイリオ"/>
        <family val="3"/>
        <charset val="128"/>
      </rPr>
      <t>ミーティングを行った場所を記載する。
【例】　第</t>
    </r>
    <r>
      <rPr>
        <sz val="10"/>
        <rFont val="Arial"/>
        <family val="2"/>
      </rPr>
      <t>1</t>
    </r>
    <r>
      <rPr>
        <sz val="10"/>
        <rFont val="メイリオ"/>
        <family val="3"/>
        <charset val="128"/>
      </rPr>
      <t>会議室</t>
    </r>
    <phoneticPr fontId="6"/>
  </si>
  <si>
    <r>
      <rPr>
        <sz val="10"/>
        <rFont val="メイリオ"/>
        <family val="3"/>
        <charset val="128"/>
      </rPr>
      <t>机上チェックの開始日を年月日で記載する。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2019/4/12</t>
    </r>
    <phoneticPr fontId="6"/>
  </si>
  <si>
    <r>
      <rPr>
        <sz val="10"/>
        <rFont val="メイリオ"/>
        <family val="3"/>
        <charset val="128"/>
      </rPr>
      <t>机上チェックの終了日を年月日で記載する。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2019/4/15</t>
    </r>
    <phoneticPr fontId="6"/>
  </si>
  <si>
    <r>
      <rPr>
        <sz val="10"/>
        <rFont val="メイリオ"/>
        <family val="3"/>
        <charset val="128"/>
      </rPr>
      <t>机上チェックを実施した人数を記載する。
なお、インスペクション実施前の確認は「事前チェック」であり、机上チェックとして時間、人数を記録する必要はありません。ただし、事前チェックもプロジェクトの判断で時間を計測し分析可能です。</t>
    </r>
    <phoneticPr fontId="6"/>
  </si>
  <si>
    <r>
      <rPr>
        <sz val="10"/>
        <rFont val="メイリオ"/>
        <family val="3"/>
        <charset val="128"/>
      </rPr>
      <t>机上チェックを実施した人のチェック実施時間の合計時間（単位</t>
    </r>
    <r>
      <rPr>
        <sz val="10"/>
        <rFont val="Arial"/>
        <family val="2"/>
      </rPr>
      <t xml:space="preserve"> hr</t>
    </r>
    <r>
      <rPr>
        <sz val="10"/>
        <rFont val="メイリオ"/>
        <family val="3"/>
        <charset val="128"/>
      </rPr>
      <t>）を</t>
    </r>
    <r>
      <rPr>
        <sz val="10"/>
        <rFont val="Arial"/>
        <family val="2"/>
      </rPr>
      <t>10</t>
    </r>
    <r>
      <rPr>
        <sz val="10"/>
        <rFont val="メイリオ"/>
        <family val="3"/>
        <charset val="128"/>
      </rPr>
      <t>進数値で記載する。
なお、インスペクション実施前の確認は「事前チェック」であり、机上チェックとして時間、人数を記録する必要はありません。ただし、事前チェックもプロジェクトの判断で時間を計測し分析可能です。
【例】　</t>
    </r>
    <r>
      <rPr>
        <sz val="10"/>
        <rFont val="Arial"/>
        <family val="2"/>
      </rPr>
      <t>4</t>
    </r>
    <r>
      <rPr>
        <sz val="10"/>
        <rFont val="メイリオ"/>
        <family val="3"/>
        <charset val="128"/>
      </rPr>
      <t>人の合計時間が</t>
    </r>
    <r>
      <rPr>
        <sz val="10"/>
        <rFont val="Arial"/>
        <family val="2"/>
      </rPr>
      <t>2</t>
    </r>
    <r>
      <rPr>
        <sz val="10"/>
        <rFont val="メイリオ"/>
        <family val="3"/>
        <charset val="128"/>
      </rPr>
      <t>時間半の場合、</t>
    </r>
    <r>
      <rPr>
        <sz val="10"/>
        <rFont val="Arial"/>
        <family val="2"/>
      </rPr>
      <t>”2.5”</t>
    </r>
    <r>
      <rPr>
        <sz val="10"/>
        <rFont val="メイリオ"/>
        <family val="3"/>
        <charset val="128"/>
      </rPr>
      <t>と記載。</t>
    </r>
    <phoneticPr fontId="6"/>
  </si>
  <si>
    <r>
      <t>REL_SEPG_Development_Management.xlsm</t>
    </r>
    <r>
      <rPr>
        <sz val="10"/>
        <rFont val="メイリオ"/>
        <family val="3"/>
        <charset val="128"/>
      </rPr>
      <t>の「</t>
    </r>
    <r>
      <rPr>
        <sz val="10"/>
        <rFont val="Arial"/>
        <family val="2"/>
      </rPr>
      <t>Analysis Item Table</t>
    </r>
    <r>
      <rPr>
        <sz val="10"/>
        <rFont val="メイリオ"/>
        <family val="3"/>
        <charset val="128"/>
      </rPr>
      <t>」に記載した、レビュー指摘密度の計画値、およびレビュー速度の計画値を転記する。
（実績値欄は自動計算される。）</t>
    </r>
    <phoneticPr fontId="6"/>
  </si>
  <si>
    <r>
      <rPr>
        <sz val="10"/>
        <rFont val="メイリオ"/>
        <family val="3"/>
        <charset val="128"/>
      </rPr>
      <t>レビュー対象である成果物の名称、ファイル名、バージョン、レビュー量を記載し、単位を選択する。
成果物の一部がレビュー対象となる場合は、実際のレビュー対象物の範囲（量）をレビュー量に記載する</t>
    </r>
    <phoneticPr fontId="6"/>
  </si>
  <si>
    <r>
      <rPr>
        <sz val="10"/>
        <rFont val="メイリオ"/>
        <family val="3"/>
        <charset val="128"/>
      </rPr>
      <t>レビュー時間の実績値を記載する。
（予定欄および指摘件数の実績欄は自動計算される。）</t>
    </r>
    <phoneticPr fontId="6"/>
  </si>
  <si>
    <r>
      <rPr>
        <sz val="10"/>
        <rFont val="メイリオ"/>
        <family val="3"/>
        <charset val="128"/>
      </rPr>
      <t>指摘のあったレビュー対象物の</t>
    </r>
    <r>
      <rPr>
        <sz val="10"/>
        <rFont val="Arial"/>
        <family val="2"/>
      </rPr>
      <t>ID</t>
    </r>
    <r>
      <rPr>
        <sz val="10"/>
        <rFont val="メイリオ"/>
        <family val="3"/>
        <charset val="128"/>
      </rPr>
      <t>を記載する。</t>
    </r>
    <phoneticPr fontId="6"/>
  </si>
  <si>
    <r>
      <rPr>
        <sz val="10"/>
        <rFont val="メイリオ"/>
        <family val="3"/>
        <charset val="128"/>
      </rPr>
      <t>ページ番号、項番、行番号など、成果物内の指摘の位置情報を記載する。</t>
    </r>
    <phoneticPr fontId="6"/>
  </si>
  <si>
    <r>
      <rPr>
        <sz val="10"/>
        <rFont val="メイリオ"/>
        <family val="3"/>
        <charset val="128"/>
      </rPr>
      <t>指摘者名を記載する</t>
    </r>
    <phoneticPr fontId="6"/>
  </si>
  <si>
    <r>
      <rPr>
        <sz val="10"/>
        <rFont val="メイリオ"/>
        <family val="3"/>
        <charset val="128"/>
      </rPr>
      <t>下記説明を参考にして、「</t>
    </r>
    <r>
      <rPr>
        <sz val="10"/>
        <rFont val="Arial"/>
        <family val="2"/>
      </rPr>
      <t>Issue(</t>
    </r>
    <r>
      <rPr>
        <sz val="10"/>
        <rFont val="メイリオ"/>
        <family val="3"/>
        <charset val="128"/>
      </rPr>
      <t>指摘</t>
    </r>
    <r>
      <rPr>
        <sz val="10"/>
        <rFont val="Arial"/>
        <family val="2"/>
      </rPr>
      <t>)</t>
    </r>
    <r>
      <rPr>
        <sz val="10"/>
        <rFont val="メイリオ"/>
        <family val="3"/>
        <charset val="128"/>
      </rPr>
      <t>」または「</t>
    </r>
    <r>
      <rPr>
        <sz val="10"/>
        <rFont val="Arial"/>
        <family val="2"/>
      </rPr>
      <t>Q&amp;A(</t>
    </r>
    <r>
      <rPr>
        <sz val="10"/>
        <rFont val="メイリオ"/>
        <family val="3"/>
        <charset val="128"/>
      </rPr>
      <t>質疑応答</t>
    </r>
    <r>
      <rPr>
        <sz val="10"/>
        <rFont val="Arial"/>
        <family val="2"/>
      </rPr>
      <t>)</t>
    </r>
    <r>
      <rPr>
        <sz val="10"/>
        <rFont val="メイリオ"/>
        <family val="3"/>
        <charset val="128"/>
      </rPr>
      <t>」を選択する。
①</t>
    </r>
    <r>
      <rPr>
        <sz val="10"/>
        <rFont val="Arial"/>
        <family val="2"/>
      </rPr>
      <t xml:space="preserve"> Issue
</t>
    </r>
    <r>
      <rPr>
        <sz val="10"/>
        <rFont val="メイリオ"/>
        <family val="3"/>
        <charset val="128"/>
      </rPr>
      <t>摘出された工程内不具合、リスク、</t>
    </r>
    <r>
      <rPr>
        <sz val="10"/>
        <rFont val="Arial"/>
        <family val="2"/>
      </rPr>
      <t xml:space="preserve"> </t>
    </r>
    <r>
      <rPr>
        <sz val="10"/>
        <rFont val="メイリオ"/>
        <family val="3"/>
        <charset val="128"/>
      </rPr>
      <t>問題点、</t>
    </r>
    <r>
      <rPr>
        <sz val="10"/>
        <rFont val="Arial"/>
        <family val="2"/>
      </rPr>
      <t>AI</t>
    </r>
    <r>
      <rPr>
        <sz val="10"/>
        <rFont val="メイリオ"/>
        <family val="3"/>
        <charset val="128"/>
      </rPr>
      <t>。
②</t>
    </r>
    <r>
      <rPr>
        <sz val="10"/>
        <rFont val="Arial"/>
        <family val="2"/>
      </rPr>
      <t xml:space="preserve"> Q&amp;A
</t>
    </r>
    <r>
      <rPr>
        <sz val="10"/>
        <rFont val="メイリオ"/>
        <family val="3"/>
        <charset val="128"/>
      </rPr>
      <t>指摘にあたらない</t>
    </r>
    <r>
      <rPr>
        <sz val="10"/>
        <rFont val="Arial"/>
        <family val="2"/>
      </rPr>
      <t>Q&amp;A</t>
    </r>
    <r>
      <rPr>
        <sz val="10"/>
        <rFont val="メイリオ"/>
        <family val="3"/>
        <charset val="128"/>
      </rPr>
      <t>など。</t>
    </r>
    <phoneticPr fontId="6"/>
  </si>
  <si>
    <r>
      <t xml:space="preserve">Select "Issue" or "Question" from the list by referring to the explanation below.
</t>
    </r>
    <r>
      <rPr>
        <sz val="10"/>
        <rFont val="メイリオ"/>
        <family val="3"/>
        <charset val="128"/>
      </rPr>
      <t>①</t>
    </r>
    <r>
      <rPr>
        <sz val="10"/>
        <rFont val="Arial"/>
        <family val="2"/>
      </rPr>
      <t xml:space="preserve">Issue
Issue is the general term for defects, risks, problems, AI,  etc. detected in peer review.
</t>
    </r>
    <r>
      <rPr>
        <sz val="10"/>
        <rFont val="メイリオ"/>
        <family val="3"/>
        <charset val="128"/>
      </rPr>
      <t>②</t>
    </r>
    <r>
      <rPr>
        <sz val="10"/>
        <rFont val="Arial"/>
        <family val="2"/>
      </rPr>
      <t xml:space="preserve">Question and Answer
the Question and Answer, other than issues.
</t>
    </r>
    <phoneticPr fontId="6"/>
  </si>
  <si>
    <r>
      <rPr>
        <sz val="10"/>
        <rFont val="メイリオ"/>
        <family val="3"/>
        <charset val="128"/>
      </rPr>
      <t>指摘や質疑の内容を記載する。
【例】　リスク
新しく発行された業界規格に対応することを、顧客から求められる可能性がある。
【例】　問題点
テスト環境の構築が遅れているとの連絡が顧客からあり、テストの開始が計画より</t>
    </r>
    <r>
      <rPr>
        <sz val="10"/>
        <rFont val="Arial"/>
        <family val="2"/>
      </rPr>
      <t>3</t>
    </r>
    <r>
      <rPr>
        <sz val="10"/>
        <rFont val="メイリオ"/>
        <family val="3"/>
        <charset val="128"/>
      </rPr>
      <t>週間遅れることが決定。一方、最終ソフトウェアのリリース日程は当初計画のままとしたいとの顧客要求があった。</t>
    </r>
    <phoneticPr fontId="6"/>
  </si>
  <si>
    <r>
      <t>Describe the content of the issue/question.
[Example]</t>
    </r>
    <r>
      <rPr>
        <sz val="10"/>
        <color theme="1"/>
        <rFont val="メイリオ"/>
        <family val="3"/>
        <charset val="128"/>
      </rPr>
      <t>　</t>
    </r>
    <r>
      <rPr>
        <sz val="10"/>
        <color theme="1"/>
        <rFont val="Arial"/>
        <family val="2"/>
      </rPr>
      <t>Risk
There is a possibility that the customer require us to comply a new standard which was issued a few months ago.
[Example]</t>
    </r>
    <r>
      <rPr>
        <sz val="10"/>
        <color theme="1"/>
        <rFont val="メイリオ"/>
        <family val="3"/>
        <charset val="128"/>
      </rPr>
      <t>　</t>
    </r>
    <r>
      <rPr>
        <sz val="10"/>
        <color theme="1"/>
        <rFont val="Arial"/>
        <family val="2"/>
      </rPr>
      <t>Problem
According to information from the customer, their setup of test environment ware delayed 3 weeks for some reason, which means starting our test must be delayed 3 weeks. However they also req</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</si>
  <si>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」の場合は、リストから最適な項目を選択する。
①</t>
    </r>
    <r>
      <rPr>
        <sz val="10"/>
        <rFont val="Arial"/>
        <family val="2"/>
      </rPr>
      <t xml:space="preserve"> Defect(</t>
    </r>
    <r>
      <rPr>
        <sz val="10"/>
        <rFont val="メイリオ"/>
        <family val="3"/>
        <charset val="128"/>
      </rPr>
      <t>工程内不具合</t>
    </r>
    <r>
      <rPr>
        <sz val="10"/>
        <rFont val="Arial"/>
        <family val="2"/>
      </rPr>
      <t xml:space="preserve">)
</t>
    </r>
    <r>
      <rPr>
        <sz val="10"/>
        <rFont val="メイリオ"/>
        <family val="3"/>
        <charset val="128"/>
      </rPr>
      <t>②</t>
    </r>
    <r>
      <rPr>
        <sz val="10"/>
        <rFont val="Arial"/>
        <family val="2"/>
      </rPr>
      <t xml:space="preserve"> Risk(</t>
    </r>
    <r>
      <rPr>
        <sz val="10"/>
        <rFont val="メイリオ"/>
        <family val="3"/>
        <charset val="128"/>
      </rPr>
      <t>リスク</t>
    </r>
    <r>
      <rPr>
        <sz val="10"/>
        <rFont val="Arial"/>
        <family val="2"/>
      </rPr>
      <t xml:space="preserve">)
</t>
    </r>
    <r>
      <rPr>
        <sz val="10"/>
        <rFont val="メイリオ"/>
        <family val="3"/>
        <charset val="128"/>
      </rPr>
      <t>③</t>
    </r>
    <r>
      <rPr>
        <sz val="10"/>
        <rFont val="Arial"/>
        <family val="2"/>
      </rPr>
      <t xml:space="preserve"> Problem(</t>
    </r>
    <r>
      <rPr>
        <sz val="10"/>
        <rFont val="メイリオ"/>
        <family val="3"/>
        <charset val="128"/>
      </rPr>
      <t>問題</t>
    </r>
    <r>
      <rPr>
        <sz val="10"/>
        <rFont val="Arial"/>
        <family val="2"/>
      </rPr>
      <t xml:space="preserve">)
</t>
    </r>
    <r>
      <rPr>
        <sz val="10"/>
        <rFont val="メイリオ"/>
        <family val="3"/>
        <charset val="128"/>
      </rPr>
      <t>④</t>
    </r>
    <r>
      <rPr>
        <sz val="10"/>
        <rFont val="Arial"/>
        <family val="2"/>
      </rPr>
      <t xml:space="preserve"> AI</t>
    </r>
    <r>
      <rPr>
        <sz val="10"/>
        <rFont val="メイリオ"/>
        <family val="3"/>
        <charset val="128"/>
      </rPr>
      <t>（その他解決すべき事項）</t>
    </r>
    <phoneticPr fontId="6"/>
  </si>
  <si>
    <r>
      <t xml:space="preserve">In case "Content classification" is "Issue", select Defect/Risk/Problem/AI from the list.
</t>
    </r>
    <r>
      <rPr>
        <sz val="10"/>
        <color theme="1"/>
        <rFont val="メイリオ"/>
        <family val="3"/>
        <charset val="128"/>
      </rPr>
      <t>①</t>
    </r>
    <r>
      <rPr>
        <sz val="10"/>
        <color theme="1"/>
        <rFont val="Arial"/>
        <family val="2"/>
      </rPr>
      <t xml:space="preserve">Defect
</t>
    </r>
    <r>
      <rPr>
        <sz val="10"/>
        <color theme="1"/>
        <rFont val="メイリオ"/>
        <family val="3"/>
        <charset val="128"/>
      </rPr>
      <t>②</t>
    </r>
    <r>
      <rPr>
        <sz val="10"/>
        <color theme="1"/>
        <rFont val="Arial"/>
        <family val="2"/>
      </rPr>
      <t xml:space="preserve">Risk
</t>
    </r>
    <r>
      <rPr>
        <sz val="10"/>
        <color theme="1"/>
        <rFont val="メイリオ"/>
        <family val="3"/>
        <charset val="128"/>
      </rPr>
      <t>③</t>
    </r>
    <r>
      <rPr>
        <sz val="10"/>
        <color theme="1"/>
        <rFont val="Arial"/>
        <family val="2"/>
      </rPr>
      <t xml:space="preserve">Problem
</t>
    </r>
    <r>
      <rPr>
        <sz val="10"/>
        <color theme="1"/>
        <rFont val="メイリオ"/>
        <family val="3"/>
        <charset val="128"/>
      </rPr>
      <t>④</t>
    </r>
    <r>
      <rPr>
        <sz val="10"/>
        <color theme="1"/>
        <rFont val="Arial"/>
        <family val="2"/>
      </rPr>
      <t>AI</t>
    </r>
    <r>
      <rPr>
        <sz val="10"/>
        <color theme="1"/>
        <rFont val="メイリオ"/>
        <family val="3"/>
        <charset val="128"/>
      </rPr>
      <t>（</t>
    </r>
    <r>
      <rPr>
        <sz val="10"/>
        <color theme="1"/>
        <rFont val="Arial"/>
        <family val="2"/>
      </rPr>
      <t xml:space="preserve">Matters other than </t>
    </r>
    <r>
      <rPr>
        <sz val="10"/>
        <color theme="1"/>
        <rFont val="メイリオ"/>
        <family val="3"/>
        <charset val="128"/>
      </rPr>
      <t>①</t>
    </r>
    <r>
      <rPr>
        <sz val="10"/>
        <color theme="1"/>
        <rFont val="Arial"/>
        <family val="2"/>
      </rPr>
      <t xml:space="preserve"> ~ </t>
    </r>
    <r>
      <rPr>
        <sz val="10"/>
        <color theme="1"/>
        <rFont val="メイリオ"/>
        <family val="3"/>
        <charset val="128"/>
      </rPr>
      <t>③</t>
    </r>
    <r>
      <rPr>
        <sz val="10"/>
        <color theme="1"/>
        <rFont val="Arial"/>
        <family val="2"/>
      </rPr>
      <t xml:space="preserve"> such as Action Item.</t>
    </r>
    <r>
      <rPr>
        <sz val="10"/>
        <color theme="1"/>
        <rFont val="メイリオ"/>
        <family val="3"/>
        <charset val="128"/>
      </rPr>
      <t>）</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</si>
  <si>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」の場合は、各管理表などに管理を移管する対応者名を記載する。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を実施した場合は、その実施者名を記載する。</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</si>
  <si>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」の場合は、各管理表などに管理を移管する期限を記載する。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を実施した場合は、その完了日を記載する。</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</si>
  <si>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」の場合は移管先（管理表名や管理ツール名）を記載する。併せて、移管先とのトレースが可能となるように管理番号を記載する。または質疑の応答内容を記載する。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を実施した場合は、その対応内容を記載する。
【例】　工程内不具合
	・工程内不具合管理表：</t>
    </r>
    <r>
      <rPr>
        <sz val="10"/>
        <rFont val="Arial"/>
        <family val="2"/>
      </rPr>
      <t xml:space="preserve">ID-003
</t>
    </r>
    <r>
      <rPr>
        <sz val="10"/>
        <rFont val="メイリオ"/>
        <family val="3"/>
        <charset val="128"/>
      </rPr>
      <t>【例】　問題
	・</t>
    </r>
    <r>
      <rPr>
        <sz val="10"/>
        <rFont val="Arial"/>
        <family val="2"/>
      </rPr>
      <t>JIRA</t>
    </r>
    <r>
      <rPr>
        <sz val="10"/>
        <rFont val="メイリオ"/>
        <family val="3"/>
        <charset val="128"/>
      </rPr>
      <t>：</t>
    </r>
    <r>
      <rPr>
        <sz val="10"/>
        <rFont val="Arial"/>
        <family val="2"/>
      </rPr>
      <t xml:space="preserve">#15609
</t>
    </r>
    <r>
      <rPr>
        <sz val="10"/>
        <rFont val="メイリオ"/>
        <family val="3"/>
        <charset val="128"/>
      </rPr>
      <t>【例】　リスク
	・リスク・問題管理表：</t>
    </r>
    <r>
      <rPr>
        <sz val="10"/>
        <rFont val="Arial"/>
        <family val="2"/>
      </rPr>
      <t xml:space="preserve">ID-002
</t>
    </r>
    <r>
      <rPr>
        <sz val="10"/>
        <rFont val="メイリオ"/>
        <family val="3"/>
        <charset val="128"/>
      </rPr>
      <t>【例】　</t>
    </r>
    <r>
      <rPr>
        <sz val="10"/>
        <rFont val="Arial"/>
        <family val="2"/>
      </rPr>
      <t xml:space="preserve">AI
	</t>
    </r>
    <r>
      <rPr>
        <sz val="10"/>
        <rFont val="メイリオ"/>
        <family val="3"/>
        <charset val="128"/>
      </rPr>
      <t>・</t>
    </r>
    <r>
      <rPr>
        <sz val="10"/>
        <rFont val="Arial"/>
        <family val="2"/>
      </rPr>
      <t>Redmine</t>
    </r>
    <r>
      <rPr>
        <sz val="10"/>
        <rFont val="メイリオ"/>
        <family val="3"/>
        <charset val="128"/>
      </rPr>
      <t>：</t>
    </r>
    <r>
      <rPr>
        <sz val="10"/>
        <rFont val="Arial"/>
        <family val="2"/>
      </rPr>
      <t>#145080</t>
    </r>
    <phoneticPr fontId="6"/>
  </si>
  <si>
    <r>
      <t>If "Content classification" is "Issue", describe the transfer destination to manage it (name of management table or management tool). In addition, describe the management ID on the transfer destination for reliable tracing.
However if "Issue classification" is "AI" and the AI was done before this meeting minute is distributed, then describe the details of its execution.
[Example]</t>
    </r>
    <r>
      <rPr>
        <sz val="10"/>
        <color theme="1"/>
        <rFont val="メイリオ"/>
        <family val="3"/>
        <charset val="128"/>
      </rPr>
      <t>　</t>
    </r>
    <r>
      <rPr>
        <sz val="10"/>
        <color theme="1"/>
        <rFont val="Arial"/>
        <family val="2"/>
      </rPr>
      <t xml:space="preserve">Defect
</t>
    </r>
    <r>
      <rPr>
        <sz val="10"/>
        <color theme="1"/>
        <rFont val="メイリオ"/>
        <family val="3"/>
        <charset val="128"/>
      </rPr>
      <t>・</t>
    </r>
    <r>
      <rPr>
        <sz val="10"/>
        <color theme="1"/>
        <rFont val="Arial"/>
        <family val="2"/>
      </rPr>
      <t>Defect Management Table:ID-003
[Example]</t>
    </r>
    <r>
      <rPr>
        <sz val="10"/>
        <color theme="1"/>
        <rFont val="メイリオ"/>
        <family val="3"/>
        <charset val="128"/>
      </rPr>
      <t>　</t>
    </r>
    <r>
      <rPr>
        <sz val="10"/>
        <color theme="1"/>
        <rFont val="Arial"/>
        <family val="2"/>
      </rPr>
      <t xml:space="preserve">Problem
</t>
    </r>
    <r>
      <rPr>
        <sz val="10"/>
        <color theme="1"/>
        <rFont val="メイリオ"/>
        <family val="3"/>
        <charset val="128"/>
      </rPr>
      <t>・</t>
    </r>
    <r>
      <rPr>
        <sz val="10"/>
        <color theme="1"/>
        <rFont val="Arial"/>
        <family val="2"/>
      </rPr>
      <t>JIRA</t>
    </r>
    <r>
      <rPr>
        <sz val="10"/>
        <color theme="1"/>
        <rFont val="メイリオ"/>
        <family val="3"/>
        <charset val="128"/>
      </rPr>
      <t>：</t>
    </r>
    <r>
      <rPr>
        <sz val="10"/>
        <color theme="1"/>
        <rFont val="Arial"/>
        <family val="2"/>
      </rPr>
      <t>#15609
[Example]</t>
    </r>
    <r>
      <rPr>
        <sz val="10"/>
        <color theme="1"/>
        <rFont val="メイリオ"/>
        <family val="3"/>
        <charset val="128"/>
      </rPr>
      <t>　</t>
    </r>
    <r>
      <rPr>
        <sz val="10"/>
        <color theme="1"/>
        <rFont val="Arial"/>
        <family val="2"/>
      </rPr>
      <t xml:space="preserve">Risk
</t>
    </r>
    <r>
      <rPr>
        <sz val="10"/>
        <color theme="1"/>
        <rFont val="メイリオ"/>
        <family val="3"/>
        <charset val="128"/>
      </rPr>
      <t>・</t>
    </r>
    <r>
      <rPr>
        <sz val="10"/>
        <color theme="1"/>
        <rFont val="Arial"/>
        <family val="2"/>
      </rPr>
      <t>Risk and Problem Management Table:ID-002
[Example]</t>
    </r>
    <r>
      <rPr>
        <sz val="10"/>
        <color theme="1"/>
        <rFont val="メイリオ"/>
        <family val="3"/>
        <charset val="128"/>
      </rPr>
      <t>　</t>
    </r>
    <r>
      <rPr>
        <sz val="10"/>
        <color theme="1"/>
        <rFont val="Arial"/>
        <family val="2"/>
      </rPr>
      <t xml:space="preserve">AI
</t>
    </r>
    <r>
      <rPr>
        <sz val="10"/>
        <color theme="1"/>
        <rFont val="メイリオ"/>
        <family val="3"/>
        <charset val="128"/>
      </rPr>
      <t>・</t>
    </r>
    <r>
      <rPr>
        <sz val="10"/>
        <color theme="1"/>
        <rFont val="Arial"/>
        <family val="2"/>
      </rPr>
      <t>Redmine</t>
    </r>
    <r>
      <rPr>
        <sz val="10"/>
        <color theme="1"/>
        <rFont val="メイリオ"/>
        <family val="3"/>
        <charset val="128"/>
      </rPr>
      <t>：</t>
    </r>
    <r>
      <rPr>
        <sz val="10"/>
        <color theme="1"/>
        <rFont val="Arial"/>
        <family val="2"/>
      </rPr>
      <t>#145080</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</si>
  <si>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」の場合は、対応者が各管理表などへの移管を実施したことを確認する開発側の確認者名（プロジェクトメンバー）を記載する。
ただし、指摘分類が</t>
    </r>
    <r>
      <rPr>
        <sz val="10"/>
        <rFont val="Arial"/>
        <family val="2"/>
      </rPr>
      <t xml:space="preserve"> </t>
    </r>
    <r>
      <rPr>
        <sz val="10"/>
        <rFont val="メイリオ"/>
        <family val="3"/>
        <charset val="128"/>
      </rPr>
      <t>「</t>
    </r>
    <r>
      <rPr>
        <sz val="10"/>
        <rFont val="Arial"/>
        <family val="2"/>
      </rPr>
      <t>AI</t>
    </r>
    <r>
      <rPr>
        <sz val="10"/>
        <rFont val="メイリオ"/>
        <family val="3"/>
        <charset val="128"/>
      </rPr>
      <t>」</t>
    </r>
    <r>
      <rPr>
        <sz val="10"/>
        <rFont val="Arial"/>
        <family val="2"/>
      </rPr>
      <t xml:space="preserve"> </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への対応内容を確認した確認者名を記載する。</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</si>
  <si>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」の場合は、各管理表などへ移管されていることを対応確認者が確認した日を記載する。
ただし、指摘分類が「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への対応結果を確認者が確認した日付を記載する。</t>
    </r>
    <phoneticPr fontId="6"/>
  </si>
  <si>
    <r>
      <rPr>
        <sz val="10"/>
        <rFont val="メイリオ"/>
        <family val="3"/>
        <charset val="128"/>
      </rPr>
      <t>再レビューの要否を判定した結果を記載する。</t>
    </r>
    <phoneticPr fontId="6"/>
  </si>
  <si>
    <r>
      <rPr>
        <sz val="10"/>
        <rFont val="メイリオ"/>
        <family val="3"/>
        <charset val="128"/>
      </rPr>
      <t>測定と分析に関わることなど、指摘や質疑応答以外の内容を記載する。</t>
    </r>
    <phoneticPr fontId="6"/>
  </si>
  <si>
    <r>
      <rPr>
        <sz val="10"/>
        <rFont val="メイリオ"/>
        <family val="3"/>
        <charset val="128"/>
      </rPr>
      <t>一部の確認項目が非該当となり問題ない場合、</t>
    </r>
    <r>
      <rPr>
        <sz val="10"/>
        <rFont val="Arial"/>
        <family val="2"/>
      </rPr>
      <t>OK</t>
    </r>
    <r>
      <rPr>
        <sz val="10"/>
        <rFont val="メイリオ"/>
        <family val="3"/>
        <charset val="128"/>
      </rPr>
      <t>を選択し、非該当項目と問題ないと判断した理由を補足説明欄に記入する。</t>
    </r>
    <phoneticPr fontId="6"/>
  </si>
  <si>
    <r>
      <rPr>
        <sz val="10"/>
        <rFont val="メイリオ"/>
        <family val="3"/>
        <charset val="128"/>
      </rPr>
      <t xml:space="preserve">確認結果を選択します。
</t>
    </r>
    <r>
      <rPr>
        <sz val="10"/>
        <rFont val="Arial"/>
        <family val="2"/>
      </rPr>
      <t xml:space="preserve">  OK --- </t>
    </r>
    <r>
      <rPr>
        <sz val="10"/>
        <rFont val="メイリオ"/>
        <family val="3"/>
        <charset val="128"/>
      </rPr>
      <t xml:space="preserve">評価結果とその根拠が存在する。
</t>
    </r>
    <r>
      <rPr>
        <sz val="10"/>
        <rFont val="Arial"/>
        <family val="2"/>
      </rPr>
      <t xml:space="preserve">  NG --- </t>
    </r>
    <r>
      <rPr>
        <sz val="10"/>
        <rFont val="メイリオ"/>
        <family val="3"/>
        <charset val="128"/>
      </rPr>
      <t xml:space="preserve">評価結果やその根拠が存在しない。
</t>
    </r>
    <r>
      <rPr>
        <sz val="10"/>
        <rFont val="Arial"/>
        <family val="2"/>
      </rPr>
      <t xml:space="preserve">  N/A --- </t>
    </r>
    <r>
      <rPr>
        <sz val="10"/>
        <rFont val="メイリオ"/>
        <family val="3"/>
        <charset val="128"/>
      </rPr>
      <t>設計手法を選択する必要がなく、非該当。</t>
    </r>
    <rPh sb="0" eb="2">
      <t>カクニン</t>
    </rPh>
    <rPh sb="2" eb="4">
      <t>ケッカ</t>
    </rPh>
    <rPh sb="5" eb="7">
      <t>センタク</t>
    </rPh>
    <rPh sb="21" eb="23">
      <t>ヒョウカ</t>
    </rPh>
    <rPh sb="23" eb="25">
      <t>ケッカ</t>
    </rPh>
    <rPh sb="28" eb="30">
      <t>コンキョ</t>
    </rPh>
    <rPh sb="31" eb="33">
      <t>ソンザイ</t>
    </rPh>
    <rPh sb="46" eb="48">
      <t>ヒョウカ</t>
    </rPh>
    <rPh sb="48" eb="50">
      <t>ケッカ</t>
    </rPh>
    <rPh sb="53" eb="55">
      <t>コンキョ</t>
    </rPh>
    <rPh sb="56" eb="58">
      <t>ソンザイ</t>
    </rPh>
    <rPh sb="88" eb="91">
      <t>ヒガイトウ</t>
    </rPh>
    <phoneticPr fontId="6"/>
  </si>
  <si>
    <r>
      <rPr>
        <sz val="10"/>
        <color theme="1"/>
        <rFont val="メイリオ"/>
        <family val="3"/>
        <charset val="128"/>
      </rPr>
      <t>通知先が未記入の場合があります</t>
    </r>
    <rPh sb="0" eb="2">
      <t>ツウチ</t>
    </rPh>
    <rPh sb="2" eb="3">
      <t>サキ</t>
    </rPh>
    <rPh sb="4" eb="7">
      <t>ミキニュウ</t>
    </rPh>
    <rPh sb="8" eb="10">
      <t>バアイ</t>
    </rPh>
    <phoneticPr fontId="4"/>
  </si>
  <si>
    <r>
      <rPr>
        <sz val="10"/>
        <color theme="1"/>
        <rFont val="メイリオ"/>
        <family val="3"/>
        <charset val="128"/>
      </rPr>
      <t>標準開発手順管理表に記載の各ピアレビューの利害関係者、参加者を参考に通知先を決定し、記入したください</t>
    </r>
    <rPh sb="0" eb="2">
      <t>ヒョウジュン</t>
    </rPh>
    <rPh sb="2" eb="4">
      <t>カイハツ</t>
    </rPh>
    <rPh sb="4" eb="6">
      <t>テジュン</t>
    </rPh>
    <rPh sb="6" eb="8">
      <t>カンリ</t>
    </rPh>
    <rPh sb="8" eb="9">
      <t>ヒョウ</t>
    </rPh>
    <rPh sb="10" eb="12">
      <t>キサイ</t>
    </rPh>
    <rPh sb="13" eb="14">
      <t>カク</t>
    </rPh>
    <rPh sb="21" eb="23">
      <t>リガイ</t>
    </rPh>
    <rPh sb="23" eb="25">
      <t>カンケイ</t>
    </rPh>
    <rPh sb="25" eb="26">
      <t>シャ</t>
    </rPh>
    <rPh sb="27" eb="30">
      <t>サンカシャ</t>
    </rPh>
    <rPh sb="31" eb="33">
      <t>サンコウ</t>
    </rPh>
    <rPh sb="34" eb="36">
      <t>ツウチ</t>
    </rPh>
    <rPh sb="36" eb="37">
      <t>サキ</t>
    </rPh>
    <rPh sb="38" eb="40">
      <t>ケッテイ</t>
    </rPh>
    <rPh sb="42" eb="44">
      <t>キニュウ</t>
    </rPh>
    <phoneticPr fontId="4"/>
  </si>
  <si>
    <r>
      <rPr>
        <sz val="10"/>
        <color theme="1"/>
        <rFont val="メイリオ"/>
        <family val="3"/>
        <charset val="128"/>
      </rPr>
      <t>通知先記載の担当者の所属部門名、役職が最新でない場合があります</t>
    </r>
    <rPh sb="0" eb="2">
      <t>ツウチ</t>
    </rPh>
    <rPh sb="2" eb="3">
      <t>サキ</t>
    </rPh>
    <rPh sb="3" eb="5">
      <t>キサイ</t>
    </rPh>
    <rPh sb="6" eb="9">
      <t>タントウシャ</t>
    </rPh>
    <rPh sb="10" eb="12">
      <t>ショゾク</t>
    </rPh>
    <rPh sb="12" eb="14">
      <t>ブモン</t>
    </rPh>
    <rPh sb="14" eb="15">
      <t>メイ</t>
    </rPh>
    <rPh sb="16" eb="18">
      <t>ヤクショク</t>
    </rPh>
    <rPh sb="19" eb="21">
      <t>サイシン</t>
    </rPh>
    <rPh sb="24" eb="26">
      <t>バアイ</t>
    </rPh>
    <phoneticPr fontId="4"/>
  </si>
  <si>
    <r>
      <rPr>
        <sz val="10"/>
        <color theme="1"/>
        <rFont val="メイリオ"/>
        <family val="3"/>
        <charset val="128"/>
      </rPr>
      <t>電子電話帳で最新情報を確認してください</t>
    </r>
    <rPh sb="0" eb="2">
      <t>デンシ</t>
    </rPh>
    <rPh sb="2" eb="4">
      <t>デンワ</t>
    </rPh>
    <rPh sb="4" eb="5">
      <t>チョウ</t>
    </rPh>
    <rPh sb="6" eb="8">
      <t>サイシン</t>
    </rPh>
    <rPh sb="8" eb="10">
      <t>ジョウホウ</t>
    </rPh>
    <rPh sb="11" eb="13">
      <t>カクニン</t>
    </rPh>
    <phoneticPr fontId="4"/>
  </si>
  <si>
    <r>
      <rPr>
        <sz val="10"/>
        <color theme="1"/>
        <rFont val="メイリオ"/>
        <family val="3"/>
        <charset val="128"/>
      </rPr>
      <t>プロジェクト名がプロジェクト計画書に記載のものと異なる場合があります　</t>
    </r>
    <r>
      <rPr>
        <sz val="10"/>
        <color theme="1"/>
        <rFont val="Arial"/>
        <family val="2"/>
      </rPr>
      <t>("/"</t>
    </r>
    <r>
      <rPr>
        <sz val="10"/>
        <color theme="1"/>
        <rFont val="メイリオ"/>
        <family val="3"/>
        <charset val="128"/>
      </rPr>
      <t>が抜けている、全角半角など</t>
    </r>
    <r>
      <rPr>
        <sz val="10"/>
        <color theme="1"/>
        <rFont val="Arial"/>
        <family val="2"/>
      </rPr>
      <t>)</t>
    </r>
    <rPh sb="6" eb="7">
      <t>メイ</t>
    </rPh>
    <rPh sb="14" eb="17">
      <t>ケイカクショ</t>
    </rPh>
    <rPh sb="18" eb="20">
      <t>キサイ</t>
    </rPh>
    <rPh sb="24" eb="25">
      <t>コト</t>
    </rPh>
    <rPh sb="27" eb="29">
      <t>バアイ</t>
    </rPh>
    <rPh sb="40" eb="41">
      <t>ヌ</t>
    </rPh>
    <rPh sb="46" eb="48">
      <t>ゼンカク</t>
    </rPh>
    <rPh sb="48" eb="50">
      <t>ハンカク</t>
    </rPh>
    <phoneticPr fontId="4"/>
  </si>
  <si>
    <r>
      <rPr>
        <sz val="10"/>
        <color theme="1"/>
        <rFont val="メイリオ"/>
        <family val="3"/>
        <charset val="128"/>
      </rPr>
      <t>プロジェクト計画書に記載のプロジェクト名をコピーペーストするようにしてください</t>
    </r>
    <phoneticPr fontId="4"/>
  </si>
  <si>
    <r>
      <rPr>
        <sz val="10"/>
        <color theme="1"/>
        <rFont val="メイリオ"/>
        <family val="3"/>
        <charset val="128"/>
      </rPr>
      <t>チェックリストの使用は必須です</t>
    </r>
    <phoneticPr fontId="4"/>
  </si>
  <si>
    <r>
      <rPr>
        <sz val="10"/>
        <color theme="1"/>
        <rFont val="メイリオ"/>
        <family val="3"/>
        <charset val="128"/>
      </rPr>
      <t>「本様式のチェックリスト」または「部門のチェックリスト」の何れを使用するのかの種別を選択し、右側のセルにチェックリスト名に記入してください</t>
    </r>
    <rPh sb="17" eb="19">
      <t>ブモン</t>
    </rPh>
    <rPh sb="29" eb="30">
      <t>イズ</t>
    </rPh>
    <rPh sb="32" eb="34">
      <t>シヨウ</t>
    </rPh>
    <rPh sb="39" eb="41">
      <t>シュベツ</t>
    </rPh>
    <rPh sb="42" eb="44">
      <t>センタク</t>
    </rPh>
    <rPh sb="46" eb="48">
      <t>ミギガワ</t>
    </rPh>
    <rPh sb="59" eb="60">
      <t>メイ</t>
    </rPh>
    <rPh sb="61" eb="63">
      <t>キニュウ</t>
    </rPh>
    <phoneticPr fontId="4"/>
  </si>
  <si>
    <r>
      <rPr>
        <sz val="10"/>
        <color theme="1"/>
        <rFont val="メイリオ"/>
        <family val="3"/>
        <charset val="128"/>
      </rPr>
      <t>標準開発手順管理表に記載のドキュメントがレビュー対象になっていない場合があります</t>
    </r>
    <rPh sb="24" eb="26">
      <t>タイショウ</t>
    </rPh>
    <rPh sb="33" eb="35">
      <t>バアイ</t>
    </rPh>
    <phoneticPr fontId="4"/>
  </si>
  <si>
    <r>
      <rPr>
        <sz val="10"/>
        <color theme="1"/>
        <rFont val="メイリオ"/>
        <family val="3"/>
        <charset val="128"/>
      </rPr>
      <t>標準開発手順管理表の当該工程に記載のドキュメントがレビュー対象になっているか確認してください</t>
    </r>
    <rPh sb="10" eb="12">
      <t>トウガイ</t>
    </rPh>
    <rPh sb="12" eb="14">
      <t>コウテイ</t>
    </rPh>
    <rPh sb="15" eb="17">
      <t>キサイ</t>
    </rPh>
    <rPh sb="29" eb="31">
      <t>タイショウ</t>
    </rPh>
    <rPh sb="38" eb="40">
      <t>カクニン</t>
    </rPh>
    <phoneticPr fontId="4"/>
  </si>
  <si>
    <r>
      <rPr>
        <sz val="10"/>
        <color theme="1"/>
        <rFont val="メイリオ"/>
        <family val="3"/>
        <charset val="128"/>
      </rPr>
      <t>バージョン管理が必要なドキュメントに対して、バージョンの記入漏れがあります</t>
    </r>
    <rPh sb="30" eb="31">
      <t>モ</t>
    </rPh>
    <phoneticPr fontId="4"/>
  </si>
  <si>
    <r>
      <rPr>
        <sz val="10"/>
        <color theme="1"/>
        <rFont val="メイリオ"/>
        <family val="3"/>
        <charset val="128"/>
      </rPr>
      <t>対象ドキュメントのバージョンを確認し、バージョン番号を記入してください</t>
    </r>
    <rPh sb="0" eb="2">
      <t>タイショウ</t>
    </rPh>
    <rPh sb="15" eb="17">
      <t>カクニン</t>
    </rPh>
    <rPh sb="24" eb="26">
      <t>バンゴウ</t>
    </rPh>
    <rPh sb="27" eb="29">
      <t>キニュウ</t>
    </rPh>
    <phoneticPr fontId="4"/>
  </si>
  <si>
    <r>
      <rPr>
        <sz val="10"/>
        <color theme="1"/>
        <rFont val="メイリオ"/>
        <family val="3"/>
        <charset val="128"/>
      </rPr>
      <t>対象規模および単位が未記入の場合があります</t>
    </r>
    <rPh sb="0" eb="2">
      <t>タイショウ</t>
    </rPh>
    <rPh sb="2" eb="4">
      <t>キボ</t>
    </rPh>
    <rPh sb="7" eb="9">
      <t>タンイ</t>
    </rPh>
    <rPh sb="10" eb="13">
      <t>ミキニュウ</t>
    </rPh>
    <rPh sb="14" eb="16">
      <t>バアイ</t>
    </rPh>
    <phoneticPr fontId="4"/>
  </si>
  <si>
    <r>
      <rPr>
        <sz val="10"/>
        <color theme="1"/>
        <rFont val="メイリオ"/>
        <family val="3"/>
        <charset val="128"/>
      </rPr>
      <t>対象規模、単位を記入してください
また、レビュー対象物の一部をレビューする場合は、対象規模は、実際にレビュー対象とした規模を記入してください</t>
    </r>
    <rPh sb="0" eb="2">
      <t>タイショウ</t>
    </rPh>
    <rPh sb="2" eb="4">
      <t>キボ</t>
    </rPh>
    <rPh sb="5" eb="7">
      <t>タンイ</t>
    </rPh>
    <rPh sb="8" eb="10">
      <t>キニュウ</t>
    </rPh>
    <rPh sb="24" eb="26">
      <t>タイショウ</t>
    </rPh>
    <rPh sb="26" eb="27">
      <t>ブツ</t>
    </rPh>
    <rPh sb="28" eb="30">
      <t>イチブ</t>
    </rPh>
    <rPh sb="37" eb="39">
      <t>バアイ</t>
    </rPh>
    <rPh sb="41" eb="43">
      <t>タイショウ</t>
    </rPh>
    <rPh sb="43" eb="45">
      <t>キボ</t>
    </rPh>
    <rPh sb="47" eb="49">
      <t>ジッサイ</t>
    </rPh>
    <rPh sb="54" eb="56">
      <t>タイショウ</t>
    </rPh>
    <rPh sb="59" eb="61">
      <t>キボ</t>
    </rPh>
    <rPh sb="62" eb="64">
      <t>キニュウ</t>
    </rPh>
    <phoneticPr fontId="4"/>
  </si>
  <si>
    <r>
      <t>”</t>
    </r>
    <r>
      <rPr>
        <sz val="10"/>
        <color theme="1"/>
        <rFont val="メイリオ"/>
        <family val="3"/>
        <charset val="128"/>
      </rPr>
      <t>再レビュー実施判定</t>
    </r>
    <r>
      <rPr>
        <sz val="10"/>
        <color theme="1"/>
        <rFont val="Arial"/>
        <family val="2"/>
      </rPr>
      <t>”</t>
    </r>
    <r>
      <rPr>
        <sz val="10"/>
        <color theme="1"/>
        <rFont val="メイリオ"/>
        <family val="3"/>
        <charset val="128"/>
      </rPr>
      <t>が未記入の場合があります</t>
    </r>
    <rPh sb="1" eb="2">
      <t>サイ</t>
    </rPh>
    <rPh sb="6" eb="8">
      <t>ジッシ</t>
    </rPh>
    <rPh sb="8" eb="10">
      <t>ハンテイ</t>
    </rPh>
    <rPh sb="12" eb="15">
      <t>ミキニュウ</t>
    </rPh>
    <rPh sb="16" eb="18">
      <t>バアイ</t>
    </rPh>
    <phoneticPr fontId="4"/>
  </si>
  <si>
    <r>
      <rPr>
        <sz val="10"/>
        <color theme="1"/>
        <rFont val="メイリオ"/>
        <family val="3"/>
        <charset val="128"/>
      </rPr>
      <t>再レビューの要否を判定した結果を忘れずに記入してください</t>
    </r>
    <rPh sb="0" eb="1">
      <t>サイ</t>
    </rPh>
    <rPh sb="6" eb="8">
      <t>ヨウヒ</t>
    </rPh>
    <rPh sb="9" eb="11">
      <t>ハンテイ</t>
    </rPh>
    <rPh sb="13" eb="15">
      <t>ケッカ</t>
    </rPh>
    <rPh sb="16" eb="17">
      <t>ワス</t>
    </rPh>
    <rPh sb="20" eb="22">
      <t>キニュウ</t>
    </rPh>
    <phoneticPr fontId="4"/>
  </si>
  <si>
    <r>
      <rPr>
        <sz val="10"/>
        <color theme="1"/>
        <rFont val="メイリオ"/>
        <family val="3"/>
        <charset val="128"/>
      </rPr>
      <t>未記入の場合があります。</t>
    </r>
    <phoneticPr fontId="4"/>
  </si>
  <si>
    <r>
      <rPr>
        <sz val="10"/>
        <color theme="1"/>
        <rFont val="メイリオ"/>
        <family val="3"/>
        <charset val="128"/>
      </rPr>
      <t>進捗確認会議で分析項目を分析した場合は、本様式の備考欄または測定と分析項目表に分析結果を記入してください</t>
    </r>
    <rPh sb="4" eb="6">
      <t>カイギ</t>
    </rPh>
    <rPh sb="7" eb="9">
      <t>ブンセキ</t>
    </rPh>
    <rPh sb="9" eb="11">
      <t>コウモク</t>
    </rPh>
    <rPh sb="12" eb="14">
      <t>ブンセキ</t>
    </rPh>
    <rPh sb="16" eb="18">
      <t>バアイ</t>
    </rPh>
    <rPh sb="20" eb="21">
      <t>ホン</t>
    </rPh>
    <rPh sb="21" eb="23">
      <t>ヨウシキ</t>
    </rPh>
    <rPh sb="24" eb="26">
      <t>ビコウ</t>
    </rPh>
    <rPh sb="26" eb="27">
      <t>ラン</t>
    </rPh>
    <rPh sb="30" eb="32">
      <t>ソクテイ</t>
    </rPh>
    <rPh sb="33" eb="35">
      <t>ブンセキ</t>
    </rPh>
    <rPh sb="35" eb="37">
      <t>コウモク</t>
    </rPh>
    <rPh sb="37" eb="38">
      <t>ヒョウ</t>
    </rPh>
    <rPh sb="39" eb="41">
      <t>ブンセキ</t>
    </rPh>
    <rPh sb="41" eb="43">
      <t>ケッカ</t>
    </rPh>
    <rPh sb="44" eb="46">
      <t>キニュウ</t>
    </rPh>
    <phoneticPr fontId="4"/>
  </si>
  <si>
    <r>
      <t xml:space="preserve">RCT-JB5001 9.7.4. </t>
    </r>
    <r>
      <rPr>
        <u/>
        <sz val="10"/>
        <color theme="10"/>
        <rFont val="メイリオ"/>
        <family val="3"/>
        <charset val="128"/>
      </rPr>
      <t>分析と対策[P.17]</t>
    </r>
    <phoneticPr fontId="4"/>
  </si>
  <si>
    <r>
      <rPr>
        <sz val="10"/>
        <rFont val="メイリオ"/>
        <family val="3"/>
        <charset val="128"/>
      </rPr>
      <t>ソースコードの記述単位について</t>
    </r>
    <rPh sb="7" eb="9">
      <t>キジュツ</t>
    </rPh>
    <rPh sb="9" eb="11">
      <t>タンイ</t>
    </rPh>
    <phoneticPr fontId="6"/>
  </si>
  <si>
    <r>
      <rPr>
        <sz val="10"/>
        <rFont val="メイリオ"/>
        <family val="3"/>
        <charset val="128"/>
      </rPr>
      <t>ソースコードの場合は、ファイル単位ではなく、</t>
    </r>
    <r>
      <rPr>
        <sz val="10"/>
        <rFont val="Arial"/>
        <family val="2"/>
      </rPr>
      <t>SW</t>
    </r>
    <r>
      <rPr>
        <sz val="10"/>
        <rFont val="メイリオ"/>
        <family val="3"/>
        <charset val="128"/>
      </rPr>
      <t>処理構造の単位で分割するなどレビュー指標を用いて分析する単位にまとめて良い。
（特に分割して分析不要であるならばソースコード全てをまとめても良い）</t>
    </r>
    <phoneticPr fontId="6"/>
  </si>
  <si>
    <r>
      <rPr>
        <sz val="10"/>
        <rFont val="メイリオ"/>
        <family val="3"/>
        <charset val="128"/>
      </rPr>
      <t>パスアラウンドのレビュー時間について</t>
    </r>
    <rPh sb="12" eb="14">
      <t>ジカン</t>
    </rPh>
    <phoneticPr fontId="6"/>
  </si>
  <si>
    <r>
      <rPr>
        <sz val="10"/>
        <rFont val="メイリオ"/>
        <family val="3"/>
        <charset val="128"/>
      </rPr>
      <t>パスアラウンドの場合は、その対象物に対するレビューア</t>
    </r>
    <r>
      <rPr>
        <sz val="10"/>
        <rFont val="Arial"/>
        <family val="2"/>
      </rPr>
      <t>1</t>
    </r>
    <r>
      <rPr>
        <sz val="10"/>
        <rFont val="メイリオ"/>
        <family val="3"/>
        <charset val="128"/>
      </rPr>
      <t>名あたりの平均時間を記載する。
【例】　パスアラウンド方式で、</t>
    </r>
    <r>
      <rPr>
        <sz val="10"/>
        <rFont val="Arial"/>
        <family val="2"/>
      </rPr>
      <t>4</t>
    </r>
    <r>
      <rPr>
        <sz val="10"/>
        <rFont val="メイリオ"/>
        <family val="3"/>
        <charset val="128"/>
      </rPr>
      <t>名の合計時間が</t>
    </r>
    <r>
      <rPr>
        <sz val="10"/>
        <rFont val="Arial"/>
        <family val="2"/>
      </rPr>
      <t>8.0</t>
    </r>
    <r>
      <rPr>
        <sz val="10"/>
        <rFont val="メイリオ"/>
        <family val="3"/>
        <charset val="128"/>
      </rPr>
      <t>時間の場合は、</t>
    </r>
    <r>
      <rPr>
        <sz val="10"/>
        <rFont val="Arial"/>
        <family val="2"/>
      </rPr>
      <t>2.00</t>
    </r>
    <r>
      <rPr>
        <sz val="10"/>
        <rFont val="メイリオ"/>
        <family val="3"/>
        <charset val="128"/>
      </rPr>
      <t>と記載。</t>
    </r>
    <phoneticPr fontId="6"/>
  </si>
  <si>
    <r>
      <t>In case of pass-around, describe average of review time for the Peer Review Target.
[Example]</t>
    </r>
    <r>
      <rPr>
        <sz val="10"/>
        <rFont val="メイリオ"/>
        <family val="3"/>
        <charset val="128"/>
      </rPr>
      <t>　</t>
    </r>
    <r>
      <rPr>
        <sz val="10"/>
        <rFont val="Arial"/>
        <family val="2"/>
      </rPr>
      <t>If total duration of review for the Peer Review Target was 8.0hr by 4 persons using pass-around, then it should be described "2.0hr".</t>
    </r>
    <phoneticPr fontId="6"/>
  </si>
  <si>
    <r>
      <t xml:space="preserve">RCT-JB5001 7.2.1.(2) </t>
    </r>
    <r>
      <rPr>
        <u/>
        <sz val="10"/>
        <color theme="10"/>
        <rFont val="メイリオ"/>
        <family val="3"/>
        <charset val="128"/>
      </rPr>
      <t>開発着手審議[P.4]</t>
    </r>
    <rPh sb="21" eb="23">
      <t>カイハツ</t>
    </rPh>
    <rPh sb="23" eb="25">
      <t>チャクシュ</t>
    </rPh>
    <rPh sb="25" eb="27">
      <t>シンギ</t>
    </rPh>
    <phoneticPr fontId="4"/>
  </si>
  <si>
    <r>
      <t xml:space="preserve">RCT-JB5001 7.2.1.(2) </t>
    </r>
    <r>
      <rPr>
        <u/>
        <sz val="10"/>
        <color theme="10"/>
        <rFont val="メイリオ"/>
        <family val="3"/>
        <charset val="128"/>
      </rPr>
      <t>開発着手審議[P.4]</t>
    </r>
    <phoneticPr fontId="4"/>
  </si>
  <si>
    <r>
      <t xml:space="preserve">RCT-JB5001 8.11. </t>
    </r>
    <r>
      <rPr>
        <u/>
        <sz val="10"/>
        <color theme="10"/>
        <rFont val="メイリオ"/>
        <family val="3"/>
        <charset val="128"/>
      </rPr>
      <t>トレーニング計画[P.16]</t>
    </r>
    <rPh sb="23" eb="25">
      <t>ケイカク</t>
    </rPh>
    <phoneticPr fontId="4"/>
  </si>
  <si>
    <r>
      <t xml:space="preserve">RCT-JB5001 7.2.1.(3) </t>
    </r>
    <r>
      <rPr>
        <u/>
        <sz val="10"/>
        <color theme="10"/>
        <rFont val="メイリオ"/>
        <family val="3"/>
        <charset val="128"/>
      </rPr>
      <t>計画DR[P.4]</t>
    </r>
    <rPh sb="21" eb="23">
      <t>ケイカク</t>
    </rPh>
    <phoneticPr fontId="4"/>
  </si>
  <si>
    <r>
      <t xml:space="preserve">RCT-JB5001-003 6.1. </t>
    </r>
    <r>
      <rPr>
        <u/>
        <sz val="10"/>
        <color theme="10"/>
        <rFont val="メイリオ"/>
        <family val="3"/>
        <charset val="128"/>
      </rPr>
      <t>要求の入手[P.31]</t>
    </r>
    <rPh sb="20" eb="22">
      <t>ヨウキュウ</t>
    </rPh>
    <rPh sb="23" eb="25">
      <t>ニュウシュ</t>
    </rPh>
    <phoneticPr fontId="4"/>
  </si>
  <si>
    <r>
      <t xml:space="preserve">RCT-JB5001-003 6.2. </t>
    </r>
    <r>
      <rPr>
        <u/>
        <sz val="10"/>
        <color theme="10"/>
        <rFont val="メイリオ"/>
        <family val="3"/>
        <charset val="128"/>
      </rPr>
      <t>要求の実現可否判断[P.32]</t>
    </r>
    <rPh sb="20" eb="22">
      <t>ヨウキュウ</t>
    </rPh>
    <rPh sb="23" eb="25">
      <t>ジツゲン</t>
    </rPh>
    <rPh sb="25" eb="27">
      <t>カヒ</t>
    </rPh>
    <rPh sb="27" eb="29">
      <t>ハンダン</t>
    </rPh>
    <phoneticPr fontId="4"/>
  </si>
  <si>
    <r>
      <t xml:space="preserve">RCT-JB5001-003 6.3. </t>
    </r>
    <r>
      <rPr>
        <u/>
        <sz val="10"/>
        <color theme="10"/>
        <rFont val="メイリオ"/>
        <family val="3"/>
        <charset val="128"/>
      </rPr>
      <t>要求への変換[P.32]</t>
    </r>
    <rPh sb="24" eb="26">
      <t>ヘンカン</t>
    </rPh>
    <phoneticPr fontId="4"/>
  </si>
  <si>
    <r>
      <t xml:space="preserve">RCT-JB5001-003 6.4. </t>
    </r>
    <r>
      <rPr>
        <u/>
        <sz val="10"/>
        <color theme="10"/>
        <rFont val="メイリオ"/>
        <family val="3"/>
        <charset val="128"/>
      </rPr>
      <t>トレーサビリティの確保[P.32]</t>
    </r>
    <rPh sb="29" eb="31">
      <t>カクホ</t>
    </rPh>
    <phoneticPr fontId="4"/>
  </si>
  <si>
    <r>
      <rPr>
        <sz val="10"/>
        <color theme="1"/>
        <rFont val="メイリオ"/>
        <family val="3"/>
        <charset val="128"/>
      </rPr>
      <t>以下、余白</t>
    </r>
    <rPh sb="0" eb="2">
      <t>イカ</t>
    </rPh>
    <rPh sb="3" eb="5">
      <t>ヨハク</t>
    </rPh>
    <phoneticPr fontId="4"/>
  </si>
  <si>
    <t>REL-SEPG-PRM20190507</t>
    <phoneticPr fontId="6"/>
  </si>
  <si>
    <t>T. Aoyagi
Apr. 26, 2019</t>
    <phoneticPr fontId="6"/>
  </si>
  <si>
    <t>T. Hino
Apr. 26, 2019</t>
    <phoneticPr fontId="6"/>
  </si>
  <si>
    <r>
      <t xml:space="preserve">- </t>
    </r>
    <r>
      <rPr>
        <sz val="9"/>
        <rFont val="メイリオ"/>
        <family val="3"/>
        <charset val="128"/>
      </rPr>
      <t>様式内の説明を</t>
    </r>
    <r>
      <rPr>
        <sz val="9"/>
        <rFont val="Arial"/>
        <family val="2"/>
      </rPr>
      <t>HELP</t>
    </r>
    <r>
      <rPr>
        <sz val="9"/>
        <rFont val="メイリオ"/>
        <family val="3"/>
        <charset val="128"/>
      </rPr>
      <t xml:space="preserve">ウィンドウに統合、およびガイド内容の充実
</t>
    </r>
    <r>
      <rPr>
        <sz val="9"/>
        <rFont val="Arial"/>
        <family val="2"/>
      </rPr>
      <t>- 1st</t>
    </r>
    <r>
      <rPr>
        <sz val="9"/>
        <rFont val="メイリオ"/>
        <family val="3"/>
        <charset val="128"/>
      </rPr>
      <t xml:space="preserve">レビューと再レビューの選択欄を追加
</t>
    </r>
    <r>
      <rPr>
        <sz val="9"/>
        <rFont val="Arial"/>
        <family val="2"/>
      </rPr>
      <t xml:space="preserve">- </t>
    </r>
    <r>
      <rPr>
        <sz val="9"/>
        <rFont val="メイリオ"/>
        <family val="3"/>
        <charset val="128"/>
      </rPr>
      <t>レビュー種別でインスペクションまたはチームレビュー選択時に机上チェックの時間などが記入できるように変更</t>
    </r>
    <r>
      <rPr>
        <sz val="9"/>
        <rFont val="Arial"/>
        <family val="2"/>
      </rPr>
      <t xml:space="preserve">
- </t>
    </r>
    <r>
      <rPr>
        <sz val="9"/>
        <rFont val="メイリオ"/>
        <family val="3"/>
        <charset val="128"/>
      </rPr>
      <t>ピアレビューチェックリストの</t>
    </r>
    <r>
      <rPr>
        <sz val="9"/>
        <rFont val="Arial"/>
        <family val="2"/>
      </rPr>
      <t>PP, RD</t>
    </r>
    <r>
      <rPr>
        <sz val="9"/>
        <rFont val="メイリオ"/>
        <family val="3"/>
        <charset val="128"/>
      </rPr>
      <t>工程のチェック内容、および各工程のトレーサビリティチェック内容の見直し</t>
    </r>
    <rPh sb="2" eb="4">
      <t>ヨウシキ</t>
    </rPh>
    <rPh sb="4" eb="5">
      <t>ナイ</t>
    </rPh>
    <rPh sb="6" eb="8">
      <t>セツメイ</t>
    </rPh>
    <rPh sb="19" eb="21">
      <t>トウゴウ</t>
    </rPh>
    <rPh sb="28" eb="30">
      <t>ナイヨウ</t>
    </rPh>
    <rPh sb="31" eb="33">
      <t>ジュウジツ</t>
    </rPh>
    <rPh sb="44" eb="45">
      <t>サイ</t>
    </rPh>
    <rPh sb="50" eb="52">
      <t>センタク</t>
    </rPh>
    <rPh sb="52" eb="53">
      <t>ラン</t>
    </rPh>
    <rPh sb="54" eb="56">
      <t>ツイカ</t>
    </rPh>
    <rPh sb="63" eb="65">
      <t>シュベツ</t>
    </rPh>
    <rPh sb="84" eb="86">
      <t>センタク</t>
    </rPh>
    <rPh sb="86" eb="87">
      <t>ジ</t>
    </rPh>
    <rPh sb="88" eb="90">
      <t>キジョウ</t>
    </rPh>
    <rPh sb="95" eb="97">
      <t>ジカン</t>
    </rPh>
    <rPh sb="100" eb="102">
      <t>キニュウ</t>
    </rPh>
    <rPh sb="108" eb="110">
      <t>ヘンコウ</t>
    </rPh>
    <rPh sb="133" eb="135">
      <t>コウテイ</t>
    </rPh>
    <rPh sb="140" eb="142">
      <t>ナイヨウ</t>
    </rPh>
    <rPh sb="146" eb="149">
      <t>カクコウテイ</t>
    </rPh>
    <rPh sb="162" eb="164">
      <t>ナイヨウ</t>
    </rPh>
    <rPh sb="165" eb="167">
      <t>ミナオ</t>
    </rPh>
    <phoneticPr fontId="6"/>
  </si>
  <si>
    <t>- Integrated the explanation in the template into the HELP window, and the guide content has been enriched.
- Added a selection field for 1st review or re-review.
- When selecting inspection or team in review type, changed it to be able to enter the time of desk check etc.
- In the Peer Review Checklist, changed the check contents of PP and RD processes and the check contents regarding traceability of each process.</t>
    <phoneticPr fontId="6"/>
  </si>
  <si>
    <t>List of Issues/</t>
    <phoneticPr fontId="5"/>
  </si>
  <si>
    <t>Whether to conduct the review again/</t>
    <phoneticPr fontId="5"/>
  </si>
  <si>
    <t xml:space="preserve">     GuideCheck:20190507</t>
    <phoneticPr fontId="6"/>
  </si>
  <si>
    <t>NO.
(20190507版)</t>
    <phoneticPr fontId="4"/>
  </si>
  <si>
    <t>Pass-around</t>
  </si>
  <si>
    <t>use department checklist</t>
  </si>
  <si>
    <t>DEV checklist</t>
  </si>
  <si>
    <t>N/A</t>
  </si>
  <si>
    <t>DEV</t>
  </si>
  <si>
    <t>Page</t>
  </si>
  <si>
    <t>DEV Peer Review Checklist</t>
  </si>
  <si>
    <t>This checklist is a collection of points requiring attention in review of DEV document</t>
  </si>
  <si>
    <t>Review date &amp; time</t>
    <phoneticPr fontId="4"/>
  </si>
  <si>
    <t>Review member</t>
    <phoneticPr fontId="4"/>
  </si>
  <si>
    <t>Priority</t>
  </si>
  <si>
    <t>Test Report</t>
  </si>
  <si>
    <t>1. DEV content</t>
  </si>
  <si>
    <t>All file names correct</t>
  </si>
  <si>
    <t>Low</t>
  </si>
  <si>
    <t>Accepted</t>
  </si>
  <si>
    <t>All version correct</t>
  </si>
  <si>
    <t>High</t>
  </si>
  <si>
    <t>Date of release correct</t>
  </si>
  <si>
    <t>Receiver correct</t>
  </si>
  <si>
    <t>Only lastest version is fill color</t>
  </si>
  <si>
    <t>Border is correct</t>
  </si>
  <si>
    <t>Medium</t>
  </si>
  <si>
    <t>2. History</t>
  </si>
  <si>
    <t>Describe about which is add file/data and version according.</t>
  </si>
  <si>
    <t>Describe all new/updated file for this release</t>
  </si>
  <si>
    <t>* "Pre-Check" and "Check" column: Enter Accepted/Not accepted/NA and no. of issues pointed out.</t>
  </si>
  <si>
    <t>Guide_Off</t>
  </si>
  <si>
    <t>Project Name</t>
    <phoneticPr fontId="4"/>
  </si>
  <si>
    <t>Product part name</t>
    <phoneticPr fontId="4"/>
  </si>
  <si>
    <t>Target revision</t>
    <phoneticPr fontId="4"/>
  </si>
  <si>
    <t>Item 
no.</t>
    <phoneticPr fontId="4"/>
  </si>
  <si>
    <t>Description</t>
    <phoneticPr fontId="4"/>
  </si>
  <si>
    <t>Pre-check</t>
    <phoneticPr fontId="4"/>
  </si>
  <si>
    <t>Check date</t>
    <phoneticPr fontId="4"/>
  </si>
  <si>
    <t>Checked by</t>
    <phoneticPr fontId="4"/>
  </si>
  <si>
    <t>Check</t>
    <phoneticPr fontId="4"/>
  </si>
  <si>
    <t>Remarks</t>
    <phoneticPr fontId="4"/>
  </si>
  <si>
    <t>[Notes]</t>
    <phoneticPr fontId="4"/>
  </si>
  <si>
    <t>1st review</t>
  </si>
  <si>
    <t>Add note for released data (detail about new/updated data)
Ex 1: Full data for FCC1, and FCC2, still issue in tp03_02_057 of L2 in Windows/USK/AT mode.
Ex 2: Full data for FCC1, FCC2, fix ticket #35439 related to wait() in b_transport, fix ticket #30252 related to limitation of L1.</t>
  </si>
  <si>
    <t>ver1.16</t>
  </si>
  <si>
    <t>File extension is correct</t>
  </si>
  <si>
    <r>
      <t>(This sheet corresponds to "Form 1 Peer Review Minutes" of RCT-JB5001-002.)(</t>
    </r>
    <r>
      <rPr>
        <sz val="8"/>
        <color rgb="FFFF0000"/>
        <rFont val="メイリオ"/>
        <family val="3"/>
        <charset val="128"/>
      </rPr>
      <t>本書は</t>
    </r>
    <r>
      <rPr>
        <sz val="8"/>
        <color rgb="FFFF0000"/>
        <rFont val="Arial"/>
        <family val="2"/>
      </rPr>
      <t>RCT-JB5001-002</t>
    </r>
    <r>
      <rPr>
        <sz val="8"/>
        <color rgb="FFFF0000"/>
        <rFont val="メイリオ"/>
        <family val="3"/>
        <charset val="128"/>
      </rPr>
      <t>の「様式</t>
    </r>
    <r>
      <rPr>
        <sz val="8"/>
        <color rgb="FFFF0000"/>
        <rFont val="Arial"/>
        <family val="2"/>
      </rPr>
      <t xml:space="preserve">1 </t>
    </r>
    <r>
      <rPr>
        <sz val="8"/>
        <color rgb="FFFF0000"/>
        <rFont val="メイリオ"/>
        <family val="3"/>
        <charset val="128"/>
      </rPr>
      <t>ピアレビュー議事録」に相当します</t>
    </r>
    <r>
      <rPr>
        <sz val="8"/>
        <color rgb="FFFF0000"/>
        <rFont val="Arial"/>
        <family val="2"/>
      </rPr>
      <t>)</t>
    </r>
  </si>
  <si>
    <r>
      <t>The cells of this color are items added or changed as REL-SEPG template. /</t>
    </r>
    <r>
      <rPr>
        <sz val="10"/>
        <rFont val="メイリオ"/>
        <family val="3"/>
        <charset val="128"/>
      </rPr>
      <t>この色のセルは</t>
    </r>
    <r>
      <rPr>
        <sz val="10"/>
        <rFont val="Arial"/>
        <family val="2"/>
      </rPr>
      <t>REL-SEPG</t>
    </r>
    <r>
      <rPr>
        <sz val="10"/>
        <rFont val="メイリオ"/>
        <family val="3"/>
        <charset val="128"/>
      </rPr>
      <t>様式として追加</t>
    </r>
    <r>
      <rPr>
        <sz val="10"/>
        <rFont val="Arial"/>
        <family val="2"/>
      </rPr>
      <t>/</t>
    </r>
    <r>
      <rPr>
        <sz val="10"/>
        <rFont val="メイリオ"/>
        <family val="3"/>
        <charset val="128"/>
      </rPr>
      <t>変更された項目です</t>
    </r>
  </si>
  <si>
    <r>
      <t>Inform to/</t>
    </r>
    <r>
      <rPr>
        <sz val="10"/>
        <rFont val="メイリオ"/>
        <family val="3"/>
        <charset val="128"/>
      </rPr>
      <t>通知先</t>
    </r>
  </si>
  <si>
    <r>
      <t>Document name/</t>
    </r>
    <r>
      <rPr>
        <sz val="10"/>
        <rFont val="メイリオ"/>
        <family val="3"/>
        <charset val="128"/>
      </rPr>
      <t>文書名</t>
    </r>
  </si>
  <si>
    <r>
      <t xml:space="preserve">Document number
</t>
    </r>
    <r>
      <rPr>
        <sz val="10"/>
        <color theme="1"/>
        <rFont val="メイリオ"/>
        <family val="3"/>
        <charset val="128"/>
      </rPr>
      <t>文書番号</t>
    </r>
  </si>
  <si>
    <r>
      <t>Peer Review Minutes/</t>
    </r>
    <r>
      <rPr>
        <b/>
        <sz val="16"/>
        <rFont val="メイリオ"/>
        <family val="3"/>
        <charset val="128"/>
      </rPr>
      <t>ピアレビュー議事録</t>
    </r>
  </si>
  <si>
    <r>
      <t xml:space="preserve">Issue date
</t>
    </r>
    <r>
      <rPr>
        <sz val="10"/>
        <color theme="1"/>
        <rFont val="メイリオ"/>
        <family val="3"/>
        <charset val="128"/>
      </rPr>
      <t>発行日</t>
    </r>
  </si>
  <si>
    <r>
      <t>Process name/</t>
    </r>
    <r>
      <rPr>
        <sz val="10"/>
        <rFont val="メイリオ"/>
        <family val="3"/>
        <charset val="128"/>
      </rPr>
      <t>工程名</t>
    </r>
  </si>
  <si>
    <r>
      <t xml:space="preserve">Company name
</t>
    </r>
    <r>
      <rPr>
        <sz val="10"/>
        <color theme="1"/>
        <rFont val="メイリオ"/>
        <family val="3"/>
        <charset val="128"/>
      </rPr>
      <t>会社名</t>
    </r>
  </si>
  <si>
    <t>Renesas Design Vietnam Co., Ltd</t>
  </si>
  <si>
    <r>
      <t xml:space="preserve">Department name
</t>
    </r>
    <r>
      <rPr>
        <sz val="10"/>
        <color theme="1"/>
        <rFont val="メイリオ"/>
        <family val="3"/>
        <charset val="128"/>
      </rPr>
      <t>部門</t>
    </r>
  </si>
  <si>
    <t>Core Software</t>
  </si>
  <si>
    <r>
      <t>Project name/</t>
    </r>
    <r>
      <rPr>
        <sz val="10"/>
        <rFont val="メイリオ"/>
        <family val="3"/>
        <charset val="128"/>
      </rPr>
      <t>プロジェクト名</t>
    </r>
  </si>
  <si>
    <r>
      <t xml:space="preserve">Approved by
</t>
    </r>
    <r>
      <rPr>
        <sz val="10"/>
        <color theme="1"/>
        <rFont val="メイリオ"/>
        <family val="3"/>
        <charset val="128"/>
      </rPr>
      <t>承認</t>
    </r>
    <r>
      <rPr>
        <sz val="10"/>
        <color theme="1"/>
        <rFont val="Arial"/>
        <family val="2"/>
      </rPr>
      <t>(PL)</t>
    </r>
  </si>
  <si>
    <r>
      <t xml:space="preserve">Created by
</t>
    </r>
    <r>
      <rPr>
        <sz val="10"/>
        <color theme="1"/>
        <rFont val="メイリオ"/>
        <family val="3"/>
        <charset val="128"/>
      </rPr>
      <t>作成</t>
    </r>
  </si>
  <si>
    <r>
      <t>Project number/</t>
    </r>
    <r>
      <rPr>
        <sz val="10"/>
        <rFont val="メイリオ"/>
        <family val="3"/>
        <charset val="128"/>
      </rPr>
      <t>プロジェクト番号</t>
    </r>
  </si>
  <si>
    <r>
      <t>Overview of the review/</t>
    </r>
    <r>
      <rPr>
        <sz val="10"/>
        <rFont val="メイリオ"/>
        <family val="3"/>
        <charset val="128"/>
      </rPr>
      <t>レビュー概要</t>
    </r>
  </si>
  <si>
    <r>
      <t xml:space="preserve">Purpose (viewpoints)
</t>
    </r>
    <r>
      <rPr>
        <sz val="10"/>
        <rFont val="メイリオ"/>
        <family val="3"/>
        <charset val="128"/>
      </rPr>
      <t>目的（観点）</t>
    </r>
  </si>
  <si>
    <r>
      <t>Type/</t>
    </r>
    <r>
      <rPr>
        <sz val="10"/>
        <rFont val="メイリオ"/>
        <family val="3"/>
        <charset val="128"/>
      </rPr>
      <t>種類</t>
    </r>
  </si>
  <si>
    <r>
      <t xml:space="preserve">Peer review checklist
</t>
    </r>
    <r>
      <rPr>
        <sz val="10"/>
        <rFont val="メイリオ"/>
        <family val="3"/>
        <charset val="128"/>
      </rPr>
      <t>使用チェックリスト</t>
    </r>
  </si>
  <si>
    <r>
      <t xml:space="preserve">Check list name
</t>
    </r>
    <r>
      <rPr>
        <sz val="10"/>
        <rFont val="メイリオ"/>
        <family val="3"/>
        <charset val="128"/>
      </rPr>
      <t>チェックリスト名</t>
    </r>
  </si>
  <si>
    <r>
      <t>Review date, time and participants/</t>
    </r>
    <r>
      <rPr>
        <sz val="10"/>
        <rFont val="メイリオ"/>
        <family val="3"/>
        <charset val="128"/>
      </rPr>
      <t>実施日時・参加者</t>
    </r>
  </si>
  <si>
    <r>
      <t xml:space="preserve">Participants
</t>
    </r>
    <r>
      <rPr>
        <sz val="10"/>
        <rFont val="メイリオ"/>
        <family val="3"/>
        <charset val="128"/>
      </rPr>
      <t>参加者</t>
    </r>
  </si>
  <si>
    <r>
      <t xml:space="preserve">Moderator
</t>
    </r>
    <r>
      <rPr>
        <sz val="10"/>
        <rFont val="メイリオ"/>
        <family val="3"/>
        <charset val="128"/>
      </rPr>
      <t>運営担当者</t>
    </r>
  </si>
  <si>
    <r>
      <t xml:space="preserve">Recorder
</t>
    </r>
    <r>
      <rPr>
        <sz val="10"/>
        <rFont val="メイリオ"/>
        <family val="3"/>
        <charset val="128"/>
      </rPr>
      <t>記録係</t>
    </r>
  </si>
  <si>
    <r>
      <t xml:space="preserve">Presenter
</t>
    </r>
    <r>
      <rPr>
        <sz val="10"/>
        <rFont val="メイリオ"/>
        <family val="3"/>
        <charset val="128"/>
      </rPr>
      <t>説明者</t>
    </r>
  </si>
  <si>
    <r>
      <t xml:space="preserve">Author
</t>
    </r>
    <r>
      <rPr>
        <sz val="10"/>
        <rFont val="メイリオ"/>
        <family val="3"/>
        <charset val="128"/>
      </rPr>
      <t>作成者</t>
    </r>
  </si>
  <si>
    <r>
      <t xml:space="preserve">Reviewer
</t>
    </r>
    <r>
      <rPr>
        <sz val="10"/>
        <rFont val="メイリオ"/>
        <family val="3"/>
        <charset val="128"/>
      </rPr>
      <t>レビューア</t>
    </r>
  </si>
  <si>
    <r>
      <t xml:space="preserve">Meeting
</t>
    </r>
    <r>
      <rPr>
        <sz val="10"/>
        <rFont val="メイリオ"/>
        <family val="3"/>
        <charset val="128"/>
      </rPr>
      <t>ミーティング</t>
    </r>
  </si>
  <si>
    <r>
      <t xml:space="preserve">Implementation
date
</t>
    </r>
    <r>
      <rPr>
        <sz val="10"/>
        <rFont val="メイリオ"/>
        <family val="3"/>
        <charset val="128"/>
      </rPr>
      <t>実施日</t>
    </r>
  </si>
  <si>
    <r>
      <t xml:space="preserve">Start time
</t>
    </r>
    <r>
      <rPr>
        <sz val="10"/>
        <rFont val="メイリオ"/>
        <family val="3"/>
        <charset val="128"/>
      </rPr>
      <t>開始時刻</t>
    </r>
  </si>
  <si>
    <r>
      <t xml:space="preserve">End time
</t>
    </r>
    <r>
      <rPr>
        <sz val="10"/>
        <rFont val="メイリオ"/>
        <family val="3"/>
        <charset val="128"/>
      </rPr>
      <t>終了時刻</t>
    </r>
  </si>
  <si>
    <r>
      <t xml:space="preserve">Participants
number
</t>
    </r>
    <r>
      <rPr>
        <sz val="10"/>
        <rFont val="メイリオ"/>
        <family val="3"/>
        <charset val="128"/>
      </rPr>
      <t>ミーティング
人数</t>
    </r>
  </si>
  <si>
    <r>
      <t xml:space="preserve">Venue
</t>
    </r>
    <r>
      <rPr>
        <sz val="10"/>
        <rFont val="メイリオ"/>
        <family val="3"/>
        <charset val="128"/>
      </rPr>
      <t>実施
場所</t>
    </r>
  </si>
  <si>
    <t>3FW3</t>
  </si>
  <si>
    <r>
      <t xml:space="preserve">Desk check
</t>
    </r>
    <r>
      <rPr>
        <sz val="10"/>
        <rFont val="メイリオ"/>
        <family val="3"/>
        <charset val="128"/>
      </rPr>
      <t>机上チェック</t>
    </r>
  </si>
  <si>
    <r>
      <t xml:space="preserve">Start date
</t>
    </r>
    <r>
      <rPr>
        <sz val="10"/>
        <rFont val="メイリオ"/>
        <family val="3"/>
        <charset val="128"/>
      </rPr>
      <t>開始日</t>
    </r>
  </si>
  <si>
    <r>
      <t xml:space="preserve">End date
</t>
    </r>
    <r>
      <rPr>
        <sz val="10"/>
        <rFont val="メイリオ"/>
        <family val="3"/>
        <charset val="128"/>
      </rPr>
      <t>終了日</t>
    </r>
  </si>
  <si>
    <r>
      <t xml:space="preserve">Participants
number
</t>
    </r>
    <r>
      <rPr>
        <sz val="10"/>
        <rFont val="メイリオ"/>
        <family val="3"/>
        <charset val="128"/>
      </rPr>
      <t>チェック
人数</t>
    </r>
  </si>
  <si>
    <r>
      <t xml:space="preserve">Total duration
</t>
    </r>
    <r>
      <rPr>
        <sz val="10"/>
        <rFont val="メイリオ"/>
        <family val="3"/>
        <charset val="128"/>
      </rPr>
      <t>チェック
時間合計</t>
    </r>
  </si>
  <si>
    <r>
      <t>Review index/</t>
    </r>
    <r>
      <rPr>
        <sz val="10"/>
        <rFont val="メイリオ"/>
        <family val="3"/>
        <charset val="128"/>
      </rPr>
      <t>レビュー指標</t>
    </r>
  </si>
  <si>
    <r>
      <t xml:space="preserve">Review index name
</t>
    </r>
    <r>
      <rPr>
        <sz val="10"/>
        <rFont val="メイリオ"/>
        <family val="3"/>
        <charset val="128"/>
      </rPr>
      <t>指標名</t>
    </r>
  </si>
  <si>
    <r>
      <t>Index value (planned)/</t>
    </r>
    <r>
      <rPr>
        <sz val="10"/>
        <rFont val="メイリオ"/>
        <family val="3"/>
        <charset val="128"/>
      </rPr>
      <t>指標値（計画値）</t>
    </r>
  </si>
  <si>
    <r>
      <t>Index value (actual)/</t>
    </r>
    <r>
      <rPr>
        <sz val="10"/>
        <rFont val="メイリオ"/>
        <family val="3"/>
        <charset val="128"/>
      </rPr>
      <t>指標値（実績値）</t>
    </r>
  </si>
  <si>
    <r>
      <t xml:space="preserve">Target scale of review
</t>
    </r>
    <r>
      <rPr>
        <sz val="10"/>
        <rFont val="游ゴシック"/>
        <family val="2"/>
        <charset val="128"/>
      </rPr>
      <t>レビュー量</t>
    </r>
  </si>
  <si>
    <r>
      <t xml:space="preserve">Unit
</t>
    </r>
    <r>
      <rPr>
        <sz val="10"/>
        <rFont val="游ゴシック"/>
        <family val="2"/>
        <charset val="128"/>
      </rPr>
      <t>単位</t>
    </r>
  </si>
  <si>
    <r>
      <t xml:space="preserve">Total number of review issues
</t>
    </r>
    <r>
      <rPr>
        <sz val="10"/>
        <rFont val="メイリオ"/>
        <family val="3"/>
        <charset val="128"/>
      </rPr>
      <t>指摘件数合計</t>
    </r>
  </si>
  <si>
    <r>
      <t xml:space="preserve">Total review duration
</t>
    </r>
    <r>
      <rPr>
        <sz val="10"/>
        <rFont val="メイリオ"/>
        <family val="3"/>
        <charset val="128"/>
      </rPr>
      <t>レビュー時間合計</t>
    </r>
  </si>
  <si>
    <r>
      <t>Page/</t>
    </r>
    <r>
      <rPr>
        <sz val="10"/>
        <rFont val="メイリオ"/>
        <family val="3"/>
        <charset val="128"/>
      </rPr>
      <t>ページ</t>
    </r>
    <r>
      <rPr>
        <sz val="10"/>
        <rFont val="Arial"/>
        <family val="2"/>
      </rPr>
      <t xml:space="preserve"> </t>
    </r>
  </si>
  <si>
    <r>
      <t>Line/</t>
    </r>
    <r>
      <rPr>
        <sz val="10"/>
        <rFont val="メイリオ"/>
        <family val="3"/>
        <charset val="128"/>
      </rPr>
      <t>ライン</t>
    </r>
  </si>
  <si>
    <r>
      <t>Number of test item/</t>
    </r>
    <r>
      <rPr>
        <sz val="10"/>
        <rFont val="メイリオ"/>
        <family val="3"/>
        <charset val="128"/>
      </rPr>
      <t>テスト項目数</t>
    </r>
  </si>
  <si>
    <t>Page</t>
    <phoneticPr fontId="8"/>
  </si>
  <si>
    <r>
      <t xml:space="preserve">Review issue density
</t>
    </r>
    <r>
      <rPr>
        <sz val="10"/>
        <rFont val="メイリオ"/>
        <family val="3"/>
        <charset val="128"/>
      </rPr>
      <t>レビュー指摘密度</t>
    </r>
  </si>
  <si>
    <t>Line</t>
    <phoneticPr fontId="8"/>
  </si>
  <si>
    <r>
      <t xml:space="preserve">Review speed
</t>
    </r>
    <r>
      <rPr>
        <sz val="10"/>
        <rFont val="メイリオ"/>
        <family val="3"/>
        <charset val="128"/>
      </rPr>
      <t>レビュー速度</t>
    </r>
  </si>
  <si>
    <t>Number</t>
    <phoneticPr fontId="8"/>
  </si>
  <si>
    <r>
      <t>Review objects/</t>
    </r>
    <r>
      <rPr>
        <sz val="10"/>
        <rFont val="メイリオ"/>
        <family val="3"/>
        <charset val="128"/>
      </rPr>
      <t>レビュー対象物</t>
    </r>
  </si>
  <si>
    <r>
      <t xml:space="preserve">Objects
ID
</t>
    </r>
    <r>
      <rPr>
        <sz val="10"/>
        <rFont val="メイリオ"/>
        <family val="3"/>
        <charset val="128"/>
      </rPr>
      <t xml:space="preserve">対象物
</t>
    </r>
    <r>
      <rPr>
        <sz val="10"/>
        <rFont val="Arial"/>
        <family val="2"/>
      </rPr>
      <t>ID</t>
    </r>
  </si>
  <si>
    <r>
      <t>Name/</t>
    </r>
    <r>
      <rPr>
        <sz val="10"/>
        <rFont val="メイリオ"/>
        <family val="3"/>
        <charset val="128"/>
      </rPr>
      <t>名称</t>
    </r>
  </si>
  <si>
    <r>
      <t>File name/</t>
    </r>
    <r>
      <rPr>
        <sz val="10"/>
        <rFont val="メイリオ"/>
        <family val="3"/>
        <charset val="128"/>
      </rPr>
      <t>ファイル名</t>
    </r>
  </si>
  <si>
    <r>
      <t>Version/</t>
    </r>
    <r>
      <rPr>
        <sz val="10"/>
        <rFont val="メイリオ"/>
        <family val="3"/>
        <charset val="128"/>
      </rPr>
      <t>バージョン</t>
    </r>
  </si>
  <si>
    <r>
      <t xml:space="preserve">Target scale of review
</t>
    </r>
    <r>
      <rPr>
        <sz val="10"/>
        <rFont val="メイリオ"/>
        <family val="3"/>
        <charset val="128"/>
      </rPr>
      <t>レビュー量</t>
    </r>
  </si>
  <si>
    <r>
      <t xml:space="preserve">Unit
</t>
    </r>
    <r>
      <rPr>
        <sz val="10"/>
        <rFont val="メイリオ"/>
        <family val="3"/>
        <charset val="128"/>
      </rPr>
      <t>単位</t>
    </r>
  </si>
  <si>
    <r>
      <t xml:space="preserve">Number of review issues
</t>
    </r>
    <r>
      <rPr>
        <sz val="10"/>
        <rFont val="メイリオ"/>
        <family val="3"/>
        <charset val="128"/>
      </rPr>
      <t>指摘件数</t>
    </r>
  </si>
  <si>
    <r>
      <t xml:space="preserve">Review duration
</t>
    </r>
    <r>
      <rPr>
        <sz val="10"/>
        <rFont val="メイリオ"/>
        <family val="3"/>
        <charset val="128"/>
      </rPr>
      <t>レビュー時間</t>
    </r>
  </si>
  <si>
    <r>
      <rPr>
        <sz val="10"/>
        <rFont val="メイリオ"/>
        <family val="3"/>
        <charset val="128"/>
      </rPr>
      <t>統括</t>
    </r>
  </si>
  <si>
    <r>
      <t xml:space="preserve">Target value
</t>
    </r>
    <r>
      <rPr>
        <sz val="10"/>
        <rFont val="メイリオ"/>
        <family val="3"/>
        <charset val="128"/>
      </rPr>
      <t>予定</t>
    </r>
  </si>
  <si>
    <r>
      <t xml:space="preserve">Performance value
</t>
    </r>
    <r>
      <rPr>
        <sz val="10"/>
        <rFont val="メイリオ"/>
        <family val="3"/>
        <charset val="128"/>
      </rPr>
      <t>実績</t>
    </r>
  </si>
  <si>
    <r>
      <t>List of Issues/</t>
    </r>
    <r>
      <rPr>
        <sz val="10"/>
        <rFont val="メイリオ"/>
        <family val="3"/>
        <charset val="128"/>
      </rPr>
      <t>指摘事項一覧</t>
    </r>
  </si>
  <si>
    <r>
      <t xml:space="preserve">Location of issue
</t>
    </r>
    <r>
      <rPr>
        <sz val="10"/>
        <rFont val="メイリオ"/>
        <family val="3"/>
        <charset val="128"/>
      </rPr>
      <t>指摘箇所</t>
    </r>
  </si>
  <si>
    <r>
      <t xml:space="preserve">Detected by
</t>
    </r>
    <r>
      <rPr>
        <sz val="10"/>
        <rFont val="メイリオ"/>
        <family val="3"/>
        <charset val="128"/>
      </rPr>
      <t>指摘者</t>
    </r>
  </si>
  <si>
    <r>
      <t xml:space="preserve">Content classification
</t>
    </r>
    <r>
      <rPr>
        <sz val="10"/>
        <rFont val="メイリオ"/>
        <family val="3"/>
        <charset val="128"/>
      </rPr>
      <t>内容分類</t>
    </r>
  </si>
  <si>
    <r>
      <t xml:space="preserve">Contents of indication / contents of question and answer
</t>
    </r>
    <r>
      <rPr>
        <sz val="10"/>
        <rFont val="メイリオ"/>
        <family val="3"/>
        <charset val="128"/>
      </rPr>
      <t>指摘の内容</t>
    </r>
    <r>
      <rPr>
        <sz val="10"/>
        <rFont val="Arial"/>
        <family val="2"/>
      </rPr>
      <t>/</t>
    </r>
    <r>
      <rPr>
        <sz val="10"/>
        <rFont val="メイリオ"/>
        <family val="3"/>
        <charset val="128"/>
      </rPr>
      <t>質疑の内容</t>
    </r>
  </si>
  <si>
    <r>
      <t xml:space="preserve">Issue classification
</t>
    </r>
    <r>
      <rPr>
        <sz val="10"/>
        <rFont val="メイリオ"/>
        <family val="3"/>
        <charset val="128"/>
      </rPr>
      <t>指摘分類</t>
    </r>
  </si>
  <si>
    <r>
      <t xml:space="preserve">Processed by
</t>
    </r>
    <r>
      <rPr>
        <sz val="10"/>
        <rFont val="メイリオ"/>
        <family val="3"/>
        <charset val="128"/>
      </rPr>
      <t>対応者</t>
    </r>
  </si>
  <si>
    <r>
      <t xml:space="preserve">Deadline
</t>
    </r>
    <r>
      <rPr>
        <sz val="10"/>
        <rFont val="メイリオ"/>
        <family val="3"/>
        <charset val="128"/>
      </rPr>
      <t>対応期限</t>
    </r>
  </si>
  <si>
    <r>
      <t xml:space="preserve">Correspondence contents / response of question and answer
(In case of transfer, transfer destination and management number)
</t>
    </r>
    <r>
      <rPr>
        <sz val="10"/>
        <rFont val="メイリオ"/>
        <family val="3"/>
        <charset val="128"/>
      </rPr>
      <t>対応内容</t>
    </r>
    <r>
      <rPr>
        <sz val="10"/>
        <rFont val="Arial"/>
        <family val="2"/>
      </rPr>
      <t>/</t>
    </r>
    <r>
      <rPr>
        <sz val="10"/>
        <rFont val="メイリオ"/>
        <family val="3"/>
        <charset val="128"/>
      </rPr>
      <t>質疑の応答
（移管の場合は移管先と管理番号）</t>
    </r>
  </si>
  <si>
    <r>
      <t xml:space="preserve">Verified by
</t>
    </r>
    <r>
      <rPr>
        <sz val="10"/>
        <rFont val="メイリオ"/>
        <family val="3"/>
        <charset val="128"/>
      </rPr>
      <t>対応
確認者</t>
    </r>
  </si>
  <si>
    <r>
      <t xml:space="preserve">Verification date
</t>
    </r>
    <r>
      <rPr>
        <sz val="10"/>
        <rFont val="メイリオ"/>
        <family val="3"/>
        <charset val="128"/>
      </rPr>
      <t>対応
確認日</t>
    </r>
  </si>
  <si>
    <r>
      <t xml:space="preserve">Object 
ID
</t>
    </r>
    <r>
      <rPr>
        <sz val="10"/>
        <rFont val="メイリオ"/>
        <family val="3"/>
        <charset val="128"/>
      </rPr>
      <t xml:space="preserve">対象物
</t>
    </r>
    <r>
      <rPr>
        <sz val="10"/>
        <rFont val="Arial"/>
        <family val="2"/>
      </rPr>
      <t>ID</t>
    </r>
  </si>
  <si>
    <r>
      <t xml:space="preserve">Location
</t>
    </r>
    <r>
      <rPr>
        <sz val="10"/>
        <rFont val="メイリオ"/>
        <family val="3"/>
        <charset val="128"/>
      </rPr>
      <t>位置</t>
    </r>
  </si>
  <si>
    <r>
      <t>Whether to conduct the review again/</t>
    </r>
    <r>
      <rPr>
        <sz val="10"/>
        <rFont val="メイリオ"/>
        <family val="3"/>
        <charset val="128"/>
      </rPr>
      <t>再レビュー実施判定</t>
    </r>
  </si>
  <si>
    <r>
      <t xml:space="preserve">Result of the determination
</t>
    </r>
    <r>
      <rPr>
        <sz val="10"/>
        <rFont val="メイリオ"/>
        <family val="3"/>
        <charset val="128"/>
      </rPr>
      <t>判定</t>
    </r>
  </si>
  <si>
    <r>
      <t>Notes/</t>
    </r>
    <r>
      <rPr>
        <sz val="10"/>
        <rFont val="メイリオ"/>
        <family val="3"/>
        <charset val="128"/>
      </rPr>
      <t>備考</t>
    </r>
  </si>
  <si>
    <t>Unit test process</t>
  </si>
  <si>
    <t>I approved DEV because:
- Review speed is in range.
- Review issue density is lower than range. It is OK because the DEV is only for recording delivery date and we confirmed there is no more issue.</t>
  </si>
  <si>
    <t>Review the version and deliverable date of documents.</t>
  </si>
  <si>
    <t>U2B</t>
  </si>
  <si>
    <t>proceedings</t>
  </si>
  <si>
    <t>No comment</t>
  </si>
  <si>
    <t>Renesas Design Vietnam Co., Ltd
Software Engineering Division
Core Software Department
Core Software 1 Section
RH850 Modeling Group</t>
  </si>
  <si>
    <t>MCU_model (RH850_U2B)
Development for U2B/SPIDCTL model</t>
  </si>
  <si>
    <t>SPIDCTL</t>
  </si>
  <si>
    <t>DEV-MCS-20001_SPIDCTL.xls</t>
  </si>
  <si>
    <t>Duong Phan</t>
  </si>
  <si>
    <t>Thiep Nguyen</t>
  </si>
  <si>
    <t>Threadhold is 30% for Review issue density and Review speed, so:
- Review issue density = 0 out of range 0.392 +/-30% (from 0.2744 to 0.5096)
- Review speed = 4 in range 4.689 +/-30% (from 3.2823 to 6.0957)</t>
  </si>
  <si>
    <t>Dec/01/2021</t>
  </si>
  <si>
    <t>1.4</t>
  </si>
  <si>
    <t>Duong Phan
Dec/01/2021</t>
  </si>
  <si>
    <t>Chuong Le
Dec/01/2021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</si>
</sst>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h:mm;@"/>
    <numFmt numFmtId="165" formatCode="0.00_);[Red]\(0.00\)"/>
    <numFmt numFmtId="166" formatCode="0.0000_);[Red]\(0.0000\)"/>
    <numFmt numFmtId="167" formatCode="0_);[Red]\(0\)"/>
    <numFmt numFmtId="168" formatCode="yy/mm/dd"/>
    <numFmt numFmtId="169" formatCode="dd/mm/yyyy"/>
    <numFmt numFmtId="170" formatCode="0.00_ "/>
  </numFmts>
  <fonts count="46">
    <font>
      <sz val="11"/>
      <color theme="1"/>
      <name val="メイリオ"/>
      <family val="2"/>
      <charset val="128"/>
    </font>
    <font>
      <sz val="11"/>
      <color theme="1"/>
      <name val="Calibri"/>
      <family val="2"/>
      <charset val="128"/>
      <scheme val="minor"/>
    </font>
    <font>
      <sz val="11"/>
      <color theme="1"/>
      <name val="Calibri"/>
      <family val="2"/>
      <charset val="128"/>
      <scheme val="minor"/>
    </font>
    <font>
      <sz val="11"/>
      <name val="ＭＳ Ｐゴシック"/>
      <family val="3"/>
      <charset val="128"/>
    </font>
    <font>
      <sz val="6"/>
      <name val="Calibri"/>
      <family val="2"/>
      <charset val="128"/>
      <scheme val="minor"/>
    </font>
    <font>
      <sz val="6"/>
      <name val="ＭＳ Ｐゴシック"/>
      <family val="3"/>
      <charset val="128"/>
    </font>
    <font>
      <sz val="6"/>
      <name val="メイリオ"/>
      <family val="2"/>
      <charset val="128"/>
    </font>
    <font>
      <sz val="11"/>
      <color theme="1"/>
      <name val="Calibri"/>
      <family val="3"/>
      <charset val="128"/>
      <scheme val="minor"/>
    </font>
    <font>
      <sz val="9"/>
      <color indexed="10"/>
      <name val="游ゴシック"/>
      <family val="3"/>
      <charset val="128"/>
    </font>
    <font>
      <sz val="11"/>
      <color theme="1"/>
      <name val="Calibri"/>
      <family val="2"/>
      <charset val="128"/>
      <scheme val="minor"/>
    </font>
    <font>
      <sz val="6"/>
      <name val="Calibri"/>
      <family val="3"/>
      <charset val="128"/>
      <scheme val="minor"/>
    </font>
    <font>
      <b/>
      <sz val="8"/>
      <color indexed="81"/>
      <name val="MS P ゴシック"/>
      <family val="3"/>
      <charset val="128"/>
    </font>
    <font>
      <b/>
      <sz val="10"/>
      <color indexed="81"/>
      <name val="MS P ゴシック"/>
      <family val="3"/>
      <charset val="128"/>
    </font>
    <font>
      <u/>
      <sz val="11"/>
      <color theme="10"/>
      <name val="Calibri"/>
      <family val="2"/>
      <charset val="128"/>
      <scheme val="minor"/>
    </font>
    <font>
      <sz val="11"/>
      <color theme="1"/>
      <name val="メイリオ"/>
      <family val="3"/>
      <charset val="128"/>
    </font>
    <font>
      <u/>
      <sz val="11"/>
      <color theme="10"/>
      <name val="メイリオ"/>
      <family val="2"/>
      <charset val="128"/>
    </font>
    <font>
      <sz val="9"/>
      <color indexed="81"/>
      <name val="MS P ゴシック"/>
      <family val="3"/>
      <charset val="128"/>
    </font>
    <font>
      <sz val="11"/>
      <color rgb="FF9C0006"/>
      <name val="メイリオ"/>
      <family val="2"/>
      <charset val="128"/>
    </font>
    <font>
      <sz val="10"/>
      <name val="メイリオ"/>
      <family val="3"/>
      <charset val="128"/>
    </font>
    <font>
      <sz val="8"/>
      <color rgb="FFFF0000"/>
      <name val="メイリオ"/>
      <family val="3"/>
      <charset val="128"/>
    </font>
    <font>
      <sz val="10"/>
      <color theme="1"/>
      <name val="メイリオ"/>
      <family val="3"/>
      <charset val="128"/>
    </font>
    <font>
      <b/>
      <sz val="16"/>
      <name val="メイリオ"/>
      <family val="3"/>
      <charset val="128"/>
    </font>
    <font>
      <sz val="10"/>
      <name val="Arial"/>
      <family val="2"/>
    </font>
    <font>
      <sz val="10"/>
      <color rgb="FFFF0000"/>
      <name val="Arial"/>
      <family val="2"/>
    </font>
    <font>
      <sz val="8"/>
      <color rgb="FFFF0000"/>
      <name val="Arial"/>
      <family val="2"/>
    </font>
    <font>
      <sz val="11"/>
      <color theme="1"/>
      <name val="Arial"/>
      <family val="2"/>
    </font>
    <font>
      <sz val="10"/>
      <color theme="1"/>
      <name val="Arial"/>
      <family val="2"/>
    </font>
    <font>
      <b/>
      <sz val="16"/>
      <name val="Arial"/>
      <family val="2"/>
    </font>
    <font>
      <sz val="16"/>
      <name val="Arial"/>
      <family val="2"/>
    </font>
    <font>
      <sz val="10"/>
      <color theme="0" tint="-0.34998626667073579"/>
      <name val="Arial"/>
      <family val="2"/>
    </font>
    <font>
      <b/>
      <sz val="11"/>
      <color theme="1"/>
      <name val="メイリオ"/>
      <family val="3"/>
      <charset val="128"/>
    </font>
    <font>
      <b/>
      <sz val="11"/>
      <color theme="1"/>
      <name val="Arial"/>
      <family val="2"/>
    </font>
    <font>
      <sz val="9"/>
      <color theme="1"/>
      <name val="メイリオ"/>
      <family val="3"/>
      <charset val="128"/>
    </font>
    <font>
      <b/>
      <sz val="11"/>
      <color rgb="FFFF0000"/>
      <name val="Arial"/>
      <family val="2"/>
    </font>
    <font>
      <sz val="9"/>
      <color theme="1"/>
      <name val="Arial"/>
      <family val="2"/>
    </font>
    <font>
      <u/>
      <sz val="10"/>
      <color theme="10"/>
      <name val="Arial"/>
      <family val="2"/>
    </font>
    <font>
      <u/>
      <sz val="10"/>
      <color theme="10"/>
      <name val="メイリオ"/>
      <family val="2"/>
      <charset val="128"/>
    </font>
    <font>
      <u/>
      <sz val="10"/>
      <color theme="10"/>
      <name val="メイリオ"/>
      <family val="3"/>
      <charset val="128"/>
    </font>
    <font>
      <sz val="10"/>
      <color rgb="FF0000FF"/>
      <name val="Arial"/>
      <family val="2"/>
    </font>
    <font>
      <sz val="9"/>
      <name val="Arial"/>
      <family val="2"/>
    </font>
    <font>
      <sz val="9"/>
      <name val="メイリオ"/>
      <family val="3"/>
      <charset val="128"/>
    </font>
    <font>
      <sz val="11"/>
      <color theme="1"/>
      <name val="メイリオ"/>
      <family val="2"/>
      <charset val="128"/>
    </font>
    <font>
      <b/>
      <sz val="9"/>
      <color indexed="81"/>
      <name val="Tahoma"/>
      <family val="2"/>
    </font>
    <font>
      <sz val="9"/>
      <color indexed="81"/>
      <name val="Tahoma"/>
      <family val="2"/>
    </font>
    <font>
      <b/>
      <sz val="10"/>
      <name val="Arial"/>
      <family val="2"/>
    </font>
    <font>
      <sz val="10"/>
      <name val="游ゴシック"/>
      <family val="2"/>
      <charset val="128"/>
    </font>
  </fonts>
  <fills count="18">
    <fill>
      <patternFill patternType="none"/>
    </fill>
    <fill>
      <patternFill patternType="gray125"/>
    </fill>
    <fill>
      <patternFill patternType="solid">
        <fgColor theme="4" tint="0.7999816888943144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CCFF"/>
        <bgColor indexed="64"/>
      </patternFill>
    </fill>
    <fill>
      <patternFill patternType="solid">
        <fgColor rgb="FFFFFFCC"/>
        <bgColor indexed="64"/>
      </patternFill>
    </fill>
    <fill>
      <patternFill patternType="solid">
        <fgColor rgb="FFFFFF00"/>
        <bgColor indexed="64"/>
      </patternFill>
    </fill>
    <fill>
      <patternFill patternType="solid">
        <fgColor rgb="FFF0F0F0"/>
        <bgColor indexed="64"/>
      </patternFill>
    </fill>
    <fill>
      <patternFill patternType="solid">
        <fgColor indexed="13"/>
        <bgColor indexed="64"/>
      </patternFill>
    </fill>
    <fill>
      <patternFill patternType="solid">
        <fgColor rgb="FFFFC7CE"/>
      </patternFill>
    </fill>
    <fill>
      <patternFill patternType="solid">
        <fgColor theme="0" tint="-4.9989318521683403E-2"/>
        <bgColor indexed="64"/>
      </patternFill>
    </fill>
    <fill>
      <patternFill patternType="solid">
        <fgColor indexed="43"/>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indexed="15"/>
        <bgColor indexed="64"/>
      </patternFill>
    </fill>
  </fills>
  <borders count="45">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auto="1"/>
      </left>
      <right style="medium">
        <color auto="1"/>
      </right>
      <top/>
      <bottom style="medium">
        <color auto="1"/>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thin">
        <color auto="1"/>
      </right>
      <top style="medium">
        <color auto="1"/>
      </top>
      <bottom style="medium">
        <color auto="1"/>
      </bottom>
      <diagonal/>
    </border>
    <border>
      <left style="thin">
        <color indexed="64"/>
      </left>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style="medium">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indexed="64"/>
      </left>
      <right/>
      <top style="thin">
        <color indexed="64"/>
      </top>
      <bottom style="thin">
        <color indexed="64"/>
      </bottom>
      <diagonal/>
    </border>
    <border>
      <left style="medium">
        <color auto="1"/>
      </left>
      <right style="thin">
        <color auto="1"/>
      </right>
      <top style="thin">
        <color auto="1"/>
      </top>
      <bottom style="medium">
        <color auto="1"/>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auto="1"/>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s>
  <cellStyleXfs count="21">
    <xf numFmtId="0" fontId="0" fillId="0" borderId="0">
      <alignment vertical="center"/>
    </xf>
    <xf numFmtId="0" fontId="3" fillId="0" borderId="0"/>
    <xf numFmtId="0" fontId="3" fillId="0" borderId="0">
      <alignment vertical="center"/>
    </xf>
    <xf numFmtId="0" fontId="7" fillId="0" borderId="0">
      <alignment vertical="center"/>
    </xf>
    <xf numFmtId="0" fontId="3" fillId="0" borderId="0">
      <alignment vertical="center"/>
    </xf>
    <xf numFmtId="0" fontId="3" fillId="0" borderId="0"/>
    <xf numFmtId="0" fontId="3" fillId="0" borderId="0"/>
    <xf numFmtId="0" fontId="9" fillId="0" borderId="0">
      <alignment vertical="center"/>
    </xf>
    <xf numFmtId="0" fontId="9" fillId="0" borderId="0">
      <alignment vertical="center"/>
    </xf>
    <xf numFmtId="0" fontId="13" fillId="0" borderId="0" applyNumberFormat="0" applyFill="0" applyBorder="0" applyAlignment="0" applyProtection="0">
      <alignment vertical="center"/>
    </xf>
    <xf numFmtId="0" fontId="2" fillId="0" borderId="0">
      <alignment vertical="center"/>
    </xf>
    <xf numFmtId="0" fontId="2" fillId="0" borderId="0">
      <alignment vertical="center"/>
    </xf>
    <xf numFmtId="0" fontId="15" fillId="0" borderId="0" applyNumberFormat="0" applyFill="0" applyBorder="0" applyAlignment="0" applyProtection="0">
      <alignment vertical="center"/>
    </xf>
    <xf numFmtId="0" fontId="17" fillId="11" borderId="0" applyNumberFormat="0" applyBorder="0" applyAlignment="0" applyProtection="0">
      <alignment vertical="center"/>
    </xf>
    <xf numFmtId="0" fontId="1" fillId="0" borderId="0">
      <alignment vertical="center"/>
    </xf>
    <xf numFmtId="0" fontId="1" fillId="0" borderId="0">
      <alignment vertical="center"/>
    </xf>
    <xf numFmtId="0" fontId="3" fillId="0" borderId="0">
      <alignment vertical="center"/>
    </xf>
    <xf numFmtId="0" fontId="3" fillId="0" borderId="0">
      <alignment vertical="center"/>
    </xf>
    <xf numFmtId="0" fontId="41" fillId="0" borderId="0">
      <alignment vertical="center"/>
    </xf>
    <xf numFmtId="0" fontId="3" fillId="0" borderId="0"/>
    <xf numFmtId="0" fontId="3" fillId="0" borderId="0">
      <alignment vertical="center"/>
    </xf>
  </cellStyleXfs>
  <cellXfs count="342">
    <xf numFmtId="0" fontId="0" fillId="0" borderId="0" xfId="0">
      <alignment vertical="center"/>
    </xf>
    <xf numFmtId="0" fontId="22" fillId="0" borderId="0" xfId="1" applyFont="1" applyAlignment="1">
      <alignment horizontal="left" vertical="top"/>
    </xf>
    <xf numFmtId="0" fontId="23" fillId="0" borderId="0" xfId="1" applyFont="1" applyAlignment="1">
      <alignment vertical="top"/>
    </xf>
    <xf numFmtId="0" fontId="22" fillId="0" borderId="0" xfId="1" applyFont="1" applyAlignment="1">
      <alignment vertical="top"/>
    </xf>
    <xf numFmtId="0" fontId="24" fillId="0" borderId="0" xfId="1" applyFont="1" applyAlignment="1">
      <alignment horizontal="left" vertical="top"/>
    </xf>
    <xf numFmtId="0" fontId="22" fillId="0" borderId="0" xfId="2" applyFont="1" applyAlignment="1">
      <alignment horizontal="right" vertical="top"/>
    </xf>
    <xf numFmtId="0" fontId="22" fillId="0" borderId="0" xfId="2" applyFont="1" applyAlignment="1">
      <alignment horizontal="left" vertical="top"/>
    </xf>
    <xf numFmtId="0" fontId="22" fillId="0" borderId="0" xfId="1" applyFont="1" applyAlignment="1">
      <alignment horizontal="left" vertical="top" wrapText="1"/>
    </xf>
    <xf numFmtId="0" fontId="22" fillId="10" borderId="0" xfId="1" applyFont="1" applyFill="1" applyAlignment="1">
      <alignment vertical="top" wrapText="1"/>
    </xf>
    <xf numFmtId="0" fontId="22" fillId="0" borderId="0" xfId="1" applyFont="1" applyAlignment="1">
      <alignment vertical="top" wrapText="1"/>
    </xf>
    <xf numFmtId="0" fontId="22" fillId="0" borderId="0" xfId="2" applyFont="1" applyAlignment="1">
      <alignment horizontal="left" vertical="top" wrapText="1"/>
    </xf>
    <xf numFmtId="0" fontId="26" fillId="0" borderId="0" xfId="3" applyFont="1" applyAlignment="1">
      <alignment horizontal="left" vertical="top" wrapText="1"/>
    </xf>
    <xf numFmtId="0" fontId="23" fillId="0" borderId="0" xfId="1" applyFont="1" applyAlignment="1">
      <alignment horizontal="left" vertical="top" wrapText="1"/>
    </xf>
    <xf numFmtId="0" fontId="22" fillId="0" borderId="0" xfId="4" applyFont="1" applyAlignment="1">
      <alignment horizontal="left" vertical="top"/>
    </xf>
    <xf numFmtId="0" fontId="22" fillId="0" borderId="0" xfId="5" applyFont="1" applyAlignment="1">
      <alignment horizontal="left" vertical="top"/>
    </xf>
    <xf numFmtId="0" fontId="22" fillId="0" borderId="0" xfId="4" applyFont="1">
      <alignment vertical="center"/>
    </xf>
    <xf numFmtId="0" fontId="22" fillId="0" borderId="8" xfId="5" applyFont="1" applyBorder="1" applyAlignment="1">
      <alignment horizontal="left" vertical="top"/>
    </xf>
    <xf numFmtId="0" fontId="22" fillId="0" borderId="1" xfId="4" applyFont="1" applyBorder="1" applyAlignment="1" applyProtection="1">
      <alignment horizontal="left" vertical="top" wrapText="1"/>
      <protection locked="0"/>
    </xf>
    <xf numFmtId="0" fontId="22" fillId="0" borderId="1" xfId="4" applyFont="1" applyBorder="1" applyAlignment="1">
      <alignment horizontal="left" vertical="top"/>
    </xf>
    <xf numFmtId="0" fontId="22" fillId="0" borderId="0" xfId="4" applyFont="1" applyAlignment="1" applyProtection="1">
      <alignment horizontal="left" vertical="top" wrapText="1"/>
      <protection locked="0"/>
    </xf>
    <xf numFmtId="0" fontId="22" fillId="0" borderId="6" xfId="4" applyFont="1" applyBorder="1">
      <alignment vertical="center"/>
    </xf>
    <xf numFmtId="0" fontId="22" fillId="0" borderId="8" xfId="4" applyFont="1" applyBorder="1">
      <alignment vertical="center"/>
    </xf>
    <xf numFmtId="0" fontId="22" fillId="0" borderId="1" xfId="5" applyFont="1" applyBorder="1" applyAlignment="1">
      <alignment horizontal="left" vertical="top"/>
    </xf>
    <xf numFmtId="165" fontId="22" fillId="4" borderId="13" xfId="4" applyNumberFormat="1" applyFont="1" applyFill="1" applyBorder="1" applyAlignment="1" applyProtection="1">
      <alignment horizontal="center" vertical="center" shrinkToFit="1"/>
      <protection locked="0"/>
    </xf>
    <xf numFmtId="167" fontId="22" fillId="4" borderId="13" xfId="5" applyNumberFormat="1" applyFont="1" applyFill="1" applyBorder="1" applyAlignment="1" applyProtection="1">
      <alignment horizontal="center" vertical="center" shrinkToFit="1"/>
      <protection locked="0"/>
    </xf>
    <xf numFmtId="0" fontId="22" fillId="3" borderId="8" xfId="4" applyFont="1" applyFill="1" applyBorder="1" applyAlignment="1" applyProtection="1">
      <alignment horizontal="center" vertical="center" shrinkToFit="1"/>
      <protection locked="0"/>
    </xf>
    <xf numFmtId="165" fontId="22" fillId="3" borderId="8" xfId="4" applyNumberFormat="1" applyFont="1" applyFill="1" applyBorder="1" applyAlignment="1" applyProtection="1">
      <alignment horizontal="center" vertical="center" shrinkToFit="1"/>
      <protection locked="0"/>
    </xf>
    <xf numFmtId="167" fontId="29" fillId="3" borderId="0" xfId="5" applyNumberFormat="1" applyFont="1" applyFill="1" applyAlignment="1" applyProtection="1">
      <alignment horizontal="center" vertical="center" shrinkToFit="1"/>
      <protection locked="0"/>
    </xf>
    <xf numFmtId="0" fontId="22" fillId="0" borderId="0" xfId="4" applyFont="1" applyAlignment="1">
      <alignment vertical="center" wrapText="1"/>
    </xf>
    <xf numFmtId="0" fontId="22" fillId="2" borderId="13" xfId="5" applyFont="1" applyFill="1" applyBorder="1" applyAlignment="1" applyProtection="1">
      <alignment horizontal="center" vertical="center"/>
      <protection locked="0"/>
    </xf>
    <xf numFmtId="0" fontId="22" fillId="0" borderId="13" xfId="5" applyFont="1" applyBorder="1" applyAlignment="1" applyProtection="1">
      <alignment horizontal="center" vertical="center" wrapText="1"/>
      <protection locked="0"/>
    </xf>
    <xf numFmtId="49" fontId="22" fillId="0" borderId="13" xfId="5" applyNumberFormat="1" applyFont="1" applyBorder="1" applyAlignment="1" applyProtection="1">
      <alignment horizontal="center" vertical="center" wrapText="1"/>
      <protection locked="0"/>
    </xf>
    <xf numFmtId="0" fontId="22" fillId="0" borderId="13" xfId="4" applyFont="1" applyBorder="1" applyAlignment="1">
      <alignment horizontal="center" vertical="center" wrapText="1"/>
    </xf>
    <xf numFmtId="14" fontId="22" fillId="0" borderId="13" xfId="4" applyNumberFormat="1" applyFont="1" applyBorder="1" applyAlignment="1">
      <alignment vertical="center" wrapText="1" shrinkToFit="1"/>
    </xf>
    <xf numFmtId="0" fontId="22" fillId="3" borderId="0" xfId="5" applyFont="1" applyFill="1" applyAlignment="1" applyProtection="1">
      <alignment horizontal="center" vertical="center"/>
      <protection locked="0"/>
    </xf>
    <xf numFmtId="0" fontId="22" fillId="3" borderId="0" xfId="5" applyFont="1" applyFill="1" applyAlignment="1" applyProtection="1">
      <alignment horizontal="center" vertical="center" wrapText="1"/>
      <protection locked="0"/>
    </xf>
    <xf numFmtId="49" fontId="22" fillId="3" borderId="0" xfId="5" applyNumberFormat="1" applyFont="1" applyFill="1" applyAlignment="1" applyProtection="1">
      <alignment horizontal="center" vertical="center" wrapText="1"/>
      <protection locked="0"/>
    </xf>
    <xf numFmtId="0" fontId="22" fillId="3" borderId="0" xfId="4" applyFont="1" applyFill="1" applyAlignment="1">
      <alignment horizontal="center" vertical="center" wrapText="1"/>
    </xf>
    <xf numFmtId="0" fontId="22" fillId="3" borderId="0" xfId="4" applyFont="1" applyFill="1" applyAlignment="1">
      <alignment vertical="center" wrapText="1"/>
    </xf>
    <xf numFmtId="0" fontId="22" fillId="3" borderId="0" xfId="4" applyFont="1" applyFill="1">
      <alignment vertical="center"/>
    </xf>
    <xf numFmtId="0" fontId="22" fillId="0" borderId="0" xfId="4" applyFont="1" applyProtection="1">
      <alignment vertical="center"/>
      <protection locked="0"/>
    </xf>
    <xf numFmtId="0" fontId="22" fillId="0" borderId="0" xfId="4" applyFont="1" applyAlignment="1" applyProtection="1">
      <alignment vertical="top"/>
      <protection locked="0"/>
    </xf>
    <xf numFmtId="0" fontId="22" fillId="0" borderId="0" xfId="6" applyFont="1" applyAlignment="1">
      <alignment vertical="top"/>
    </xf>
    <xf numFmtId="0" fontId="25" fillId="0" borderId="0" xfId="8" applyFont="1">
      <alignment vertical="center"/>
    </xf>
    <xf numFmtId="0" fontId="33" fillId="0" borderId="0" xfId="8" applyFont="1">
      <alignment vertical="center"/>
    </xf>
    <xf numFmtId="0" fontId="25" fillId="0" borderId="0" xfId="8" applyFont="1" applyAlignment="1">
      <alignment vertical="center" shrinkToFit="1"/>
    </xf>
    <xf numFmtId="0" fontId="25" fillId="0" borderId="0" xfId="8" applyFont="1" applyAlignment="1">
      <alignment horizontal="left" vertical="center" indent="1"/>
    </xf>
    <xf numFmtId="0" fontId="31" fillId="0" borderId="0" xfId="8" applyFont="1">
      <alignment vertical="center"/>
    </xf>
    <xf numFmtId="0" fontId="31" fillId="0" borderId="0" xfId="8" applyFont="1" applyAlignment="1">
      <alignment horizontal="right" vertical="center"/>
    </xf>
    <xf numFmtId="0" fontId="31" fillId="7" borderId="13" xfId="8" applyFont="1" applyFill="1" applyBorder="1" applyAlignment="1">
      <alignment horizontal="center" vertical="center" wrapText="1"/>
    </xf>
    <xf numFmtId="0" fontId="31" fillId="7" borderId="13" xfId="8" applyFont="1" applyFill="1" applyBorder="1" applyAlignment="1">
      <alignment horizontal="center" vertical="center"/>
    </xf>
    <xf numFmtId="0" fontId="25" fillId="0" borderId="0" xfId="7" applyFont="1">
      <alignment vertical="center"/>
    </xf>
    <xf numFmtId="49" fontId="26" fillId="0" borderId="13" xfId="8" applyNumberFormat="1" applyFont="1" applyBorder="1" applyAlignment="1">
      <alignment horizontal="left" vertical="top" wrapText="1"/>
    </xf>
    <xf numFmtId="49" fontId="26" fillId="0" borderId="13" xfId="7" applyNumberFormat="1" applyFont="1" applyBorder="1" applyAlignment="1">
      <alignment horizontal="left" vertical="top" wrapText="1"/>
    </xf>
    <xf numFmtId="49" fontId="34" fillId="0" borderId="13" xfId="7" applyNumberFormat="1" applyFont="1" applyBorder="1" applyAlignment="1">
      <alignment horizontal="left" vertical="top" wrapText="1"/>
    </xf>
    <xf numFmtId="0" fontId="22" fillId="9" borderId="13" xfId="4" applyFont="1" applyFill="1" applyBorder="1" applyAlignment="1" applyProtection="1">
      <alignment horizontal="center" vertical="center" shrinkToFit="1"/>
      <protection locked="0"/>
    </xf>
    <xf numFmtId="165" fontId="22" fillId="9" borderId="13" xfId="4" applyNumberFormat="1" applyFont="1" applyFill="1" applyBorder="1" applyAlignment="1" applyProtection="1">
      <alignment horizontal="center" vertical="center" shrinkToFit="1"/>
      <protection locked="0"/>
    </xf>
    <xf numFmtId="0" fontId="35" fillId="8" borderId="13" xfId="9" applyFont="1" applyFill="1" applyBorder="1" applyAlignment="1">
      <alignment horizontal="center" vertical="center" wrapText="1" shrinkToFit="1"/>
    </xf>
    <xf numFmtId="0" fontId="22" fillId="0" borderId="0" xfId="13" applyFont="1" applyFill="1" applyAlignment="1">
      <alignment vertical="center" wrapText="1"/>
    </xf>
    <xf numFmtId="0" fontId="36" fillId="0" borderId="0" xfId="12" applyFont="1" applyAlignment="1">
      <alignment vertical="center" wrapText="1"/>
    </xf>
    <xf numFmtId="49" fontId="39" fillId="0" borderId="13" xfId="7" applyNumberFormat="1" applyFont="1" applyBorder="1" applyAlignment="1">
      <alignment horizontal="left" vertical="top" wrapText="1"/>
    </xf>
    <xf numFmtId="0" fontId="26" fillId="8" borderId="13" xfId="14" applyFont="1" applyFill="1" applyBorder="1" applyAlignment="1">
      <alignment horizontal="center" vertical="center" shrinkToFit="1"/>
    </xf>
    <xf numFmtId="0" fontId="26" fillId="8" borderId="13" xfId="14" applyFont="1" applyFill="1" applyBorder="1" applyAlignment="1">
      <alignment horizontal="center" vertical="center" wrapText="1"/>
    </xf>
    <xf numFmtId="0" fontId="26" fillId="8" borderId="13" xfId="14" applyFont="1" applyFill="1" applyBorder="1">
      <alignment vertical="center"/>
    </xf>
    <xf numFmtId="0" fontId="26" fillId="0" borderId="0" xfId="14" applyFont="1">
      <alignment vertical="center"/>
    </xf>
    <xf numFmtId="0" fontId="26" fillId="0" borderId="0" xfId="14" applyFont="1" applyAlignment="1">
      <alignment horizontal="center" vertical="center" shrinkToFit="1"/>
    </xf>
    <xf numFmtId="0" fontId="26" fillId="0" borderId="0" xfId="14" applyFont="1" applyAlignment="1">
      <alignment horizontal="center" vertical="center" wrapText="1"/>
    </xf>
    <xf numFmtId="0" fontId="26" fillId="0" borderId="0" xfId="14" applyFont="1" applyAlignment="1">
      <alignment vertical="center" wrapText="1"/>
    </xf>
    <xf numFmtId="0" fontId="26" fillId="0" borderId="0" xfId="15" applyFont="1" applyAlignment="1">
      <alignment vertical="center" wrapText="1"/>
    </xf>
    <xf numFmtId="0" fontId="22" fillId="0" borderId="0" xfId="15" applyFont="1" applyAlignment="1">
      <alignment vertical="center" wrapText="1"/>
    </xf>
    <xf numFmtId="0" fontId="22" fillId="0" borderId="0" xfId="14" applyFont="1" applyAlignment="1">
      <alignment horizontal="center" vertical="center" shrinkToFit="1"/>
    </xf>
    <xf numFmtId="0" fontId="22" fillId="0" borderId="0" xfId="15" applyFont="1" applyAlignment="1">
      <alignment horizontal="center" vertical="center" wrapText="1"/>
    </xf>
    <xf numFmtId="0" fontId="22" fillId="0" borderId="0" xfId="14" applyFont="1" applyAlignment="1">
      <alignment horizontal="center" vertical="center" wrapText="1"/>
    </xf>
    <xf numFmtId="0" fontId="22" fillId="0" borderId="0" xfId="14" applyFont="1" applyAlignment="1">
      <alignment vertical="center" wrapText="1"/>
    </xf>
    <xf numFmtId="0" fontId="15" fillId="0" borderId="0" xfId="12" applyAlignment="1">
      <alignment vertical="center" wrapText="1"/>
    </xf>
    <xf numFmtId="0" fontId="38" fillId="0" borderId="0" xfId="14" applyFont="1" applyAlignment="1">
      <alignment vertical="center" wrapText="1"/>
    </xf>
    <xf numFmtId="0" fontId="22" fillId="0" borderId="0" xfId="4" applyFont="1" applyAlignment="1">
      <alignment horizontal="center" vertical="center"/>
    </xf>
    <xf numFmtId="168" fontId="22" fillId="0" borderId="0" xfId="4" applyNumberFormat="1" applyFont="1">
      <alignment vertical="center"/>
    </xf>
    <xf numFmtId="0" fontId="22" fillId="0" borderId="0" xfId="19" applyFont="1"/>
    <xf numFmtId="0" fontId="22" fillId="14" borderId="25" xfId="20" applyFont="1" applyFill="1" applyBorder="1" applyAlignment="1">
      <alignment horizontal="center" vertical="center" wrapText="1"/>
    </xf>
    <xf numFmtId="0" fontId="22" fillId="10" borderId="27" xfId="20" applyFont="1" applyFill="1" applyBorder="1" applyAlignment="1">
      <alignment horizontal="center" vertical="center"/>
    </xf>
    <xf numFmtId="0" fontId="22" fillId="14" borderId="25" xfId="20" applyFont="1" applyFill="1" applyBorder="1" applyAlignment="1">
      <alignment horizontal="center" vertical="center"/>
    </xf>
    <xf numFmtId="168" fontId="22" fillId="14" borderId="28" xfId="20" applyNumberFormat="1" applyFont="1" applyFill="1" applyBorder="1" applyAlignment="1">
      <alignment horizontal="center" vertical="center"/>
    </xf>
    <xf numFmtId="0" fontId="22" fillId="14" borderId="29" xfId="20" applyFont="1" applyFill="1" applyBorder="1" applyAlignment="1">
      <alignment horizontal="center" vertical="center"/>
    </xf>
    <xf numFmtId="0" fontId="22" fillId="15" borderId="25" xfId="20" applyFont="1" applyFill="1" applyBorder="1" applyAlignment="1">
      <alignment horizontal="center" vertical="center"/>
    </xf>
    <xf numFmtId="168" fontId="22" fillId="15" borderId="28" xfId="20" applyNumberFormat="1" applyFont="1" applyFill="1" applyBorder="1" applyAlignment="1">
      <alignment horizontal="center" vertical="center"/>
    </xf>
    <xf numFmtId="0" fontId="22" fillId="15" borderId="29" xfId="20" applyFont="1" applyFill="1" applyBorder="1" applyAlignment="1">
      <alignment horizontal="center" vertical="center"/>
    </xf>
    <xf numFmtId="0" fontId="22" fillId="0" borderId="36" xfId="4" applyFont="1" applyBorder="1" applyAlignment="1">
      <alignment horizontal="center" vertical="center"/>
    </xf>
    <xf numFmtId="0" fontId="22" fillId="0" borderId="36" xfId="4" applyFont="1" applyBorder="1">
      <alignment vertical="center"/>
    </xf>
    <xf numFmtId="169" fontId="22" fillId="17" borderId="3" xfId="20" applyNumberFormat="1" applyFont="1" applyFill="1" applyBorder="1" applyAlignment="1">
      <alignment horizontal="center" vertical="center"/>
    </xf>
    <xf numFmtId="0" fontId="22" fillId="0" borderId="42" xfId="4" applyFont="1" applyBorder="1">
      <alignment vertical="center"/>
    </xf>
    <xf numFmtId="0" fontId="22" fillId="0" borderId="0" xfId="20" applyFont="1" applyAlignment="1">
      <alignment vertical="center" wrapText="1"/>
    </xf>
    <xf numFmtId="0" fontId="22" fillId="0" borderId="0" xfId="20" applyFont="1" applyAlignment="1">
      <alignment horizontal="center" vertical="center"/>
    </xf>
    <xf numFmtId="168" fontId="22" fillId="0" borderId="0" xfId="20" applyNumberFormat="1" applyFont="1">
      <alignment vertical="center"/>
    </xf>
    <xf numFmtId="0" fontId="22" fillId="0" borderId="0" xfId="20" applyFont="1">
      <alignment vertical="center"/>
    </xf>
    <xf numFmtId="0" fontId="22" fillId="0" borderId="0" xfId="20" applyFont="1" applyAlignment="1">
      <alignment horizontal="right" vertical="center"/>
    </xf>
    <xf numFmtId="0" fontId="25" fillId="0" borderId="1" xfId="0" applyFont="1" applyBorder="1" applyAlignment="1">
      <alignment vertical="top"/>
    </xf>
    <xf numFmtId="0" fontId="22" fillId="2" borderId="13" xfId="4" applyFont="1" applyFill="1" applyBorder="1" applyAlignment="1">
      <alignment horizontal="center" vertical="center" wrapText="1"/>
    </xf>
    <xf numFmtId="0" fontId="22" fillId="2" borderId="13" xfId="5" applyFont="1" applyFill="1" applyBorder="1" applyAlignment="1">
      <alignment horizontal="center" vertical="center" wrapText="1"/>
    </xf>
    <xf numFmtId="0" fontId="22" fillId="2" borderId="13" xfId="4" applyFont="1" applyFill="1" applyBorder="1" applyAlignment="1">
      <alignment horizontal="center" vertical="center" wrapText="1" shrinkToFit="1"/>
    </xf>
    <xf numFmtId="0" fontId="44" fillId="0" borderId="0" xfId="20" applyFont="1">
      <alignment vertical="center"/>
    </xf>
    <xf numFmtId="0" fontId="22" fillId="0" borderId="0" xfId="19" applyFont="1" applyAlignment="1">
      <alignment vertical="center"/>
    </xf>
    <xf numFmtId="0" fontId="22" fillId="0" borderId="0" xfId="19" applyFont="1" applyAlignment="1">
      <alignment horizontal="left"/>
    </xf>
    <xf numFmtId="0" fontId="22" fillId="0" borderId="0" xfId="4" applyFont="1" applyAlignment="1">
      <alignment horizontal="left"/>
    </xf>
    <xf numFmtId="168" fontId="22" fillId="0" borderId="0" xfId="4" applyNumberFormat="1" applyFont="1" applyAlignment="1">
      <alignment horizontal="left"/>
    </xf>
    <xf numFmtId="0" fontId="22" fillId="0" borderId="34" xfId="4" applyFont="1" applyBorder="1" applyAlignment="1">
      <alignment horizontal="center" vertical="center"/>
    </xf>
    <xf numFmtId="169" fontId="22" fillId="0" borderId="13" xfId="20" applyNumberFormat="1" applyFont="1" applyBorder="1" applyAlignment="1">
      <alignment horizontal="center" vertical="center"/>
    </xf>
    <xf numFmtId="0" fontId="22" fillId="0" borderId="37" xfId="4" applyFont="1" applyBorder="1">
      <alignment vertical="center"/>
    </xf>
    <xf numFmtId="0" fontId="22" fillId="7" borderId="34" xfId="4" applyFont="1" applyFill="1" applyBorder="1" applyAlignment="1">
      <alignment horizontal="center" vertical="center"/>
    </xf>
    <xf numFmtId="0" fontId="22" fillId="7" borderId="36" xfId="4" applyFont="1" applyFill="1" applyBorder="1" applyAlignment="1">
      <alignment horizontal="center" vertical="center"/>
    </xf>
    <xf numFmtId="0" fontId="22" fillId="7" borderId="36" xfId="4" applyFont="1" applyFill="1" applyBorder="1">
      <alignment vertical="center"/>
    </xf>
    <xf numFmtId="49" fontId="44" fillId="17" borderId="38" xfId="20" applyNumberFormat="1" applyFont="1" applyFill="1" applyBorder="1">
      <alignment vertical="center"/>
    </xf>
    <xf numFmtId="0" fontId="22" fillId="17" borderId="3" xfId="20" applyFont="1" applyFill="1" applyBorder="1">
      <alignment vertical="center"/>
    </xf>
    <xf numFmtId="0" fontId="22" fillId="17" borderId="35" xfId="20" applyFont="1" applyFill="1" applyBorder="1">
      <alignment vertical="center"/>
    </xf>
    <xf numFmtId="0" fontId="22" fillId="0" borderId="39" xfId="4" applyFont="1" applyBorder="1" applyAlignment="1">
      <alignment horizontal="center" vertical="center"/>
    </xf>
    <xf numFmtId="0" fontId="22" fillId="0" borderId="42" xfId="4" applyFont="1" applyBorder="1" applyAlignment="1">
      <alignment horizontal="center" vertical="center"/>
    </xf>
    <xf numFmtId="169" fontId="22" fillId="0" borderId="43" xfId="20" applyNumberFormat="1" applyFont="1" applyBorder="1" applyAlignment="1">
      <alignment horizontal="center" vertical="center"/>
    </xf>
    <xf numFmtId="0" fontId="22" fillId="0" borderId="44" xfId="4" applyFont="1" applyBorder="1">
      <alignment vertical="center"/>
    </xf>
    <xf numFmtId="0" fontId="22" fillId="6" borderId="13" xfId="4" applyFont="1" applyFill="1" applyBorder="1" applyAlignment="1">
      <alignment horizontal="center" vertical="center" wrapText="1" shrinkToFit="1"/>
    </xf>
    <xf numFmtId="0" fontId="22" fillId="4" borderId="13" xfId="4" applyFont="1" applyFill="1" applyBorder="1">
      <alignment vertical="center"/>
    </xf>
    <xf numFmtId="170" fontId="22" fillId="4" borderId="13" xfId="4" applyNumberFormat="1" applyFont="1" applyFill="1" applyBorder="1">
      <alignment vertical="center"/>
    </xf>
    <xf numFmtId="49" fontId="22" fillId="0" borderId="13" xfId="5" quotePrefix="1" applyNumberFormat="1" applyFont="1" applyBorder="1" applyAlignment="1" applyProtection="1">
      <alignment horizontal="center" vertical="center" wrapText="1"/>
      <protection locked="0"/>
    </xf>
    <xf numFmtId="0" fontId="22" fillId="13" borderId="21" xfId="19" applyFont="1" applyFill="1" applyBorder="1" applyAlignment="1">
      <alignment vertical="center" wrapText="1"/>
    </xf>
    <xf numFmtId="49" fontId="22" fillId="13" borderId="21" xfId="19" applyNumberFormat="1" applyFont="1" applyFill="1" applyBorder="1" applyAlignment="1">
      <alignment horizontal="left" vertical="center" wrapText="1"/>
    </xf>
    <xf numFmtId="0" fontId="22" fillId="0" borderId="2" xfId="2" applyFont="1" applyBorder="1" applyAlignment="1">
      <alignment horizontal="left" vertical="center" wrapText="1"/>
    </xf>
    <xf numFmtId="0" fontId="22" fillId="0" borderId="3" xfId="2" applyFont="1" applyBorder="1" applyAlignment="1">
      <alignment horizontal="left" vertical="center" wrapText="1"/>
    </xf>
    <xf numFmtId="0" fontId="22" fillId="0" borderId="4" xfId="2" applyFont="1" applyBorder="1" applyAlignment="1">
      <alignment horizontal="left" vertical="center" wrapText="1"/>
    </xf>
    <xf numFmtId="0" fontId="26" fillId="2" borderId="6" xfId="2" applyFont="1" applyFill="1" applyBorder="1" applyAlignment="1">
      <alignment horizontal="center" vertical="center" wrapText="1"/>
    </xf>
    <xf numFmtId="0" fontId="26" fillId="2" borderId="8" xfId="2" applyFont="1" applyFill="1" applyBorder="1" applyAlignment="1">
      <alignment horizontal="center" vertical="center" wrapText="1"/>
    </xf>
    <xf numFmtId="0" fontId="26" fillId="2" borderId="7" xfId="2" applyFont="1" applyFill="1" applyBorder="1" applyAlignment="1">
      <alignment horizontal="center" vertical="center" wrapText="1"/>
    </xf>
    <xf numFmtId="0" fontId="26" fillId="2" borderId="9" xfId="2" applyFont="1" applyFill="1" applyBorder="1" applyAlignment="1">
      <alignment horizontal="center" vertical="center" wrapText="1"/>
    </xf>
    <xf numFmtId="0" fontId="26" fillId="2" borderId="1" xfId="2" applyFont="1" applyFill="1" applyBorder="1" applyAlignment="1">
      <alignment horizontal="center" vertical="center" wrapText="1"/>
    </xf>
    <xf numFmtId="0" fontId="26" fillId="2" borderId="10" xfId="2" applyFont="1" applyFill="1" applyBorder="1" applyAlignment="1">
      <alignment horizontal="center" vertical="center" wrapText="1"/>
    </xf>
    <xf numFmtId="0" fontId="26" fillId="0" borderId="6" xfId="2" applyFont="1" applyBorder="1" applyAlignment="1">
      <alignment horizontal="center" vertical="center" wrapText="1"/>
    </xf>
    <xf numFmtId="0" fontId="26" fillId="0" borderId="8" xfId="2" applyFont="1" applyBorder="1" applyAlignment="1">
      <alignment horizontal="center" vertical="center" wrapText="1"/>
    </xf>
    <xf numFmtId="0" fontId="26" fillId="0" borderId="7" xfId="2" applyFont="1" applyBorder="1" applyAlignment="1">
      <alignment horizontal="center" vertical="center" wrapText="1"/>
    </xf>
    <xf numFmtId="0" fontId="26" fillId="0" borderId="9" xfId="2" applyFont="1" applyBorder="1" applyAlignment="1">
      <alignment horizontal="center" vertical="center" wrapText="1"/>
    </xf>
    <xf numFmtId="0" fontId="26" fillId="0" borderId="1" xfId="2" applyFont="1" applyBorder="1" applyAlignment="1">
      <alignment horizontal="center" vertical="center" wrapText="1"/>
    </xf>
    <xf numFmtId="0" fontId="26" fillId="0" borderId="10" xfId="2" applyFont="1" applyBorder="1" applyAlignment="1">
      <alignment horizontal="center" vertical="center" wrapText="1"/>
    </xf>
    <xf numFmtId="0" fontId="28" fillId="0" borderId="6" xfId="2" applyFont="1" applyBorder="1" applyAlignment="1">
      <alignment horizontal="center" vertical="center" wrapText="1"/>
    </xf>
    <xf numFmtId="0" fontId="28" fillId="0" borderId="8" xfId="2" applyFont="1" applyBorder="1" applyAlignment="1">
      <alignment horizontal="center" vertical="center" wrapText="1"/>
    </xf>
    <xf numFmtId="0" fontId="28" fillId="0" borderId="7" xfId="2" applyFont="1" applyBorder="1" applyAlignment="1">
      <alignment horizontal="center" vertical="center" wrapText="1"/>
    </xf>
    <xf numFmtId="0" fontId="28" fillId="0" borderId="11" xfId="2" applyFont="1" applyBorder="1" applyAlignment="1">
      <alignment horizontal="center" vertical="center" wrapText="1"/>
    </xf>
    <xf numFmtId="0" fontId="28" fillId="0" borderId="0" xfId="2" applyFont="1" applyAlignment="1">
      <alignment horizontal="center" vertical="center" wrapText="1"/>
    </xf>
    <xf numFmtId="0" fontId="28" fillId="0" borderId="12" xfId="2" applyFont="1" applyBorder="1" applyAlignment="1">
      <alignment horizontal="center" vertical="center" wrapText="1"/>
    </xf>
    <xf numFmtId="0" fontId="28" fillId="0" borderId="9" xfId="2" applyFont="1" applyBorder="1" applyAlignment="1">
      <alignment horizontal="center" vertical="center" wrapText="1"/>
    </xf>
    <xf numFmtId="0" fontId="28" fillId="0" borderId="1" xfId="2" applyFont="1" applyBorder="1" applyAlignment="1">
      <alignment horizontal="center" vertical="center" wrapText="1"/>
    </xf>
    <xf numFmtId="0" fontId="28" fillId="0" borderId="10" xfId="2" applyFont="1" applyBorder="1" applyAlignment="1">
      <alignment horizontal="center" vertical="center" wrapText="1"/>
    </xf>
    <xf numFmtId="0" fontId="22" fillId="2" borderId="13" xfId="2" applyFont="1" applyFill="1" applyBorder="1" applyAlignment="1">
      <alignment horizontal="left" vertical="top" wrapText="1"/>
    </xf>
    <xf numFmtId="0" fontId="26" fillId="2" borderId="13" xfId="2" applyFont="1" applyFill="1" applyBorder="1" applyAlignment="1">
      <alignment horizontal="center" vertical="center" wrapText="1"/>
    </xf>
    <xf numFmtId="0" fontId="22" fillId="6" borderId="1" xfId="2" applyFont="1" applyFill="1" applyBorder="1" applyAlignment="1">
      <alignment horizontal="left" vertical="top" wrapText="1"/>
    </xf>
    <xf numFmtId="0" fontId="25" fillId="0" borderId="1" xfId="0" applyFont="1" applyBorder="1" applyAlignment="1">
      <alignment vertical="top"/>
    </xf>
    <xf numFmtId="0" fontId="22" fillId="2" borderId="13" xfId="5" applyFont="1" applyFill="1" applyBorder="1" applyAlignment="1">
      <alignment horizontal="center" vertical="center"/>
    </xf>
    <xf numFmtId="0" fontId="22" fillId="0" borderId="13" xfId="4" applyFont="1" applyBorder="1" applyAlignment="1" applyProtection="1">
      <alignment horizontal="center" vertical="center" wrapText="1"/>
      <protection locked="0"/>
    </xf>
    <xf numFmtId="0" fontId="22" fillId="6" borderId="2" xfId="4" applyFont="1" applyFill="1" applyBorder="1" applyAlignment="1">
      <alignment horizontal="center" vertical="center" wrapText="1"/>
    </xf>
    <xf numFmtId="0" fontId="22" fillId="6" borderId="3" xfId="4" applyFont="1" applyFill="1" applyBorder="1" applyAlignment="1">
      <alignment horizontal="center" vertical="center"/>
    </xf>
    <xf numFmtId="0" fontId="22" fillId="6" borderId="4" xfId="4" applyFont="1" applyFill="1" applyBorder="1" applyAlignment="1">
      <alignment horizontal="center" vertical="center"/>
    </xf>
    <xf numFmtId="0" fontId="22" fillId="0" borderId="13" xfId="4" applyFont="1" applyBorder="1" applyAlignment="1">
      <alignment horizontal="center" vertical="center"/>
    </xf>
    <xf numFmtId="0" fontId="22" fillId="2" borderId="2" xfId="5" applyFont="1" applyFill="1" applyBorder="1" applyAlignment="1">
      <alignment horizontal="center" vertical="center" wrapText="1"/>
    </xf>
    <xf numFmtId="0" fontId="22" fillId="2" borderId="3" xfId="5" applyFont="1" applyFill="1" applyBorder="1" applyAlignment="1">
      <alignment horizontal="center" vertical="center"/>
    </xf>
    <xf numFmtId="0" fontId="22" fillId="2" borderId="4" xfId="5" applyFont="1" applyFill="1" applyBorder="1" applyAlignment="1">
      <alignment horizontal="center" vertical="center"/>
    </xf>
    <xf numFmtId="0" fontId="22" fillId="9" borderId="13" xfId="4" applyFont="1" applyFill="1" applyBorder="1" applyAlignment="1" applyProtection="1">
      <alignment horizontal="center" vertical="center" wrapText="1"/>
      <protection locked="0"/>
    </xf>
    <xf numFmtId="0" fontId="22" fillId="0" borderId="2" xfId="17" applyFont="1" applyBorder="1" applyAlignment="1">
      <alignment horizontal="center" vertical="center"/>
    </xf>
    <xf numFmtId="0" fontId="22" fillId="0" borderId="3" xfId="17" applyFont="1" applyBorder="1" applyAlignment="1">
      <alignment horizontal="center" vertical="center"/>
    </xf>
    <xf numFmtId="0" fontId="22" fillId="0" borderId="4" xfId="17" applyFont="1" applyBorder="1" applyAlignment="1">
      <alignment horizontal="center" vertical="center"/>
    </xf>
    <xf numFmtId="0" fontId="28" fillId="9" borderId="6" xfId="2" applyFont="1" applyFill="1" applyBorder="1" applyAlignment="1">
      <alignment horizontal="center" vertical="center" wrapText="1"/>
    </xf>
    <xf numFmtId="0" fontId="22" fillId="2" borderId="13" xfId="5" applyFont="1" applyFill="1" applyBorder="1" applyAlignment="1">
      <alignment horizontal="center" vertical="center" wrapText="1"/>
    </xf>
    <xf numFmtId="0" fontId="22" fillId="0" borderId="13" xfId="17" applyFont="1" applyBorder="1" applyAlignment="1" applyProtection="1">
      <alignment horizontal="left" vertical="top" wrapText="1"/>
      <protection locked="0"/>
    </xf>
    <xf numFmtId="0" fontId="22" fillId="9" borderId="13" xfId="2" applyFont="1" applyFill="1" applyBorder="1" applyAlignment="1">
      <alignment horizontal="left" vertical="top" wrapText="1"/>
    </xf>
    <xf numFmtId="0" fontId="22" fillId="0" borderId="13" xfId="2" applyFont="1" applyBorder="1" applyAlignment="1">
      <alignment horizontal="left" vertical="top" wrapText="1"/>
    </xf>
    <xf numFmtId="0" fontId="27" fillId="0" borderId="6" xfId="2" applyFont="1" applyBorder="1" applyAlignment="1">
      <alignment horizontal="center" vertical="center" wrapText="1"/>
    </xf>
    <xf numFmtId="0" fontId="27" fillId="0" borderId="8" xfId="2" applyFont="1" applyBorder="1" applyAlignment="1">
      <alignment horizontal="center" vertical="center" wrapText="1"/>
    </xf>
    <xf numFmtId="0" fontId="27" fillId="0" borderId="7" xfId="2" applyFont="1" applyBorder="1" applyAlignment="1">
      <alignment horizontal="center" vertical="center" wrapText="1"/>
    </xf>
    <xf numFmtId="0" fontId="27" fillId="0" borderId="11" xfId="2" applyFont="1" applyBorder="1" applyAlignment="1">
      <alignment horizontal="center" vertical="center" wrapText="1"/>
    </xf>
    <xf numFmtId="0" fontId="27" fillId="0" borderId="0" xfId="2" applyFont="1" applyAlignment="1">
      <alignment horizontal="center" vertical="center" wrapText="1"/>
    </xf>
    <xf numFmtId="0" fontId="27" fillId="0" borderId="12" xfId="2" applyFont="1" applyBorder="1" applyAlignment="1">
      <alignment horizontal="center" vertical="center" wrapText="1"/>
    </xf>
    <xf numFmtId="0" fontId="27" fillId="0" borderId="9" xfId="2" applyFont="1" applyBorder="1" applyAlignment="1">
      <alignment horizontal="center" vertical="center" wrapText="1"/>
    </xf>
    <xf numFmtId="0" fontId="27" fillId="0" borderId="1" xfId="2" applyFont="1" applyBorder="1" applyAlignment="1">
      <alignment horizontal="center" vertical="center" wrapText="1"/>
    </xf>
    <xf numFmtId="0" fontId="27" fillId="0" borderId="10" xfId="2" applyFont="1" applyBorder="1" applyAlignment="1">
      <alignment horizontal="center" vertical="center" wrapText="1"/>
    </xf>
    <xf numFmtId="14" fontId="26" fillId="0" borderId="6" xfId="2" applyNumberFormat="1" applyFont="1" applyBorder="1" applyAlignment="1">
      <alignment horizontal="center" vertical="center" wrapText="1"/>
    </xf>
    <xf numFmtId="14" fontId="26" fillId="0" borderId="8" xfId="2" applyNumberFormat="1" applyFont="1" applyBorder="1" applyAlignment="1">
      <alignment horizontal="center" vertical="center" wrapText="1"/>
    </xf>
    <xf numFmtId="14" fontId="26" fillId="0" borderId="7" xfId="2" applyNumberFormat="1" applyFont="1" applyBorder="1" applyAlignment="1">
      <alignment horizontal="center" vertical="center" wrapText="1"/>
    </xf>
    <xf numFmtId="14" fontId="26" fillId="0" borderId="9" xfId="2" applyNumberFormat="1" applyFont="1" applyBorder="1" applyAlignment="1">
      <alignment horizontal="center" vertical="center" wrapText="1"/>
    </xf>
    <xf numFmtId="14" fontId="26" fillId="0" borderId="1" xfId="2" applyNumberFormat="1" applyFont="1" applyBorder="1" applyAlignment="1">
      <alignment horizontal="center" vertical="center" wrapText="1"/>
    </xf>
    <xf numFmtId="14" fontId="26" fillId="0" borderId="10" xfId="2" applyNumberFormat="1" applyFont="1" applyBorder="1" applyAlignment="1">
      <alignment horizontal="center" vertical="center" wrapText="1"/>
    </xf>
    <xf numFmtId="0" fontId="26" fillId="0" borderId="13" xfId="2" applyFont="1" applyBorder="1" applyAlignment="1">
      <alignment horizontal="center" vertical="center" wrapText="1"/>
    </xf>
    <xf numFmtId="0" fontId="22" fillId="6" borderId="2" xfId="2" applyFont="1" applyFill="1" applyBorder="1" applyAlignment="1">
      <alignment horizontal="left" vertical="center" wrapText="1"/>
    </xf>
    <xf numFmtId="0" fontId="22" fillId="6" borderId="3" xfId="2" applyFont="1" applyFill="1" applyBorder="1" applyAlignment="1">
      <alignment horizontal="left" vertical="center" wrapText="1"/>
    </xf>
    <xf numFmtId="0" fontId="22" fillId="6" borderId="4" xfId="2" applyFont="1" applyFill="1" applyBorder="1" applyAlignment="1">
      <alignment horizontal="left" vertical="center" wrapText="1"/>
    </xf>
    <xf numFmtId="0" fontId="22" fillId="0" borderId="2" xfId="4" applyFont="1" applyBorder="1" applyAlignment="1" applyProtection="1">
      <alignment vertical="center" wrapText="1" shrinkToFit="1"/>
      <protection locked="0"/>
    </xf>
    <xf numFmtId="0" fontId="22" fillId="0" borderId="4" xfId="4" applyFont="1" applyBorder="1" applyAlignment="1" applyProtection="1">
      <alignment vertical="center" wrapText="1" shrinkToFit="1"/>
      <protection locked="0"/>
    </xf>
    <xf numFmtId="0" fontId="22" fillId="2" borderId="2" xfId="4" applyFont="1" applyFill="1" applyBorder="1" applyAlignment="1" applyProtection="1">
      <alignment horizontal="center" vertical="center" wrapText="1" shrinkToFit="1"/>
      <protection locked="0"/>
    </xf>
    <xf numFmtId="0" fontId="22" fillId="2" borderId="4" xfId="4" applyFont="1" applyFill="1" applyBorder="1" applyAlignment="1" applyProtection="1">
      <alignment horizontal="center" vertical="center" shrinkToFit="1"/>
      <protection locked="0"/>
    </xf>
    <xf numFmtId="0" fontId="22" fillId="0" borderId="3" xfId="4" applyFont="1" applyBorder="1" applyAlignment="1" applyProtection="1">
      <alignment vertical="center" wrapText="1" shrinkToFit="1"/>
      <protection locked="0"/>
    </xf>
    <xf numFmtId="0" fontId="22" fillId="2" borderId="13" xfId="4" applyFont="1" applyFill="1" applyBorder="1" applyAlignment="1" applyProtection="1">
      <alignment horizontal="center" vertical="center" wrapText="1" shrinkToFit="1"/>
      <protection locked="0"/>
    </xf>
    <xf numFmtId="0" fontId="22" fillId="2" borderId="13" xfId="4" applyFont="1" applyFill="1" applyBorder="1" applyAlignment="1" applyProtection="1">
      <alignment horizontal="center" vertical="center" shrinkToFit="1"/>
      <protection locked="0"/>
    </xf>
    <xf numFmtId="0" fontId="22" fillId="0" borderId="13" xfId="4" applyFont="1" applyBorder="1" applyAlignment="1" applyProtection="1">
      <alignment horizontal="left" vertical="center" wrapText="1" shrinkToFit="1"/>
      <protection locked="0"/>
    </xf>
    <xf numFmtId="0" fontId="22" fillId="2" borderId="13" xfId="4" applyFont="1" applyFill="1" applyBorder="1" applyAlignment="1">
      <alignment horizontal="center" vertical="center" wrapText="1"/>
    </xf>
    <xf numFmtId="0" fontId="22" fillId="2" borderId="13" xfId="4" applyFont="1" applyFill="1" applyBorder="1" applyAlignment="1">
      <alignment horizontal="center" vertical="center"/>
    </xf>
    <xf numFmtId="14" fontId="22" fillId="0" borderId="13" xfId="4" applyNumberFormat="1" applyFont="1" applyBorder="1" applyAlignment="1" applyProtection="1">
      <alignment horizontal="center" vertical="center" shrinkToFit="1"/>
      <protection locked="0"/>
    </xf>
    <xf numFmtId="164" fontId="22" fillId="0" borderId="13" xfId="4" applyNumberFormat="1" applyFont="1" applyBorder="1" applyAlignment="1" applyProtection="1">
      <alignment horizontal="center" vertical="center" shrinkToFit="1"/>
      <protection locked="0"/>
    </xf>
    <xf numFmtId="0" fontId="22" fillId="2" borderId="6" xfId="5" applyFont="1" applyFill="1" applyBorder="1" applyAlignment="1">
      <alignment horizontal="center" vertical="center" wrapText="1"/>
    </xf>
    <xf numFmtId="0" fontId="25" fillId="0" borderId="8" xfId="0" applyFont="1" applyBorder="1" applyAlignment="1">
      <alignment horizontal="center" vertical="center" wrapText="1"/>
    </xf>
    <xf numFmtId="0" fontId="25" fillId="0" borderId="7" xfId="0" applyFont="1" applyBorder="1" applyAlignment="1">
      <alignment horizontal="center" vertical="center" wrapText="1"/>
    </xf>
    <xf numFmtId="0" fontId="25" fillId="0" borderId="9" xfId="0" applyFont="1" applyBorder="1" applyAlignment="1">
      <alignment horizontal="center" vertical="center" wrapText="1"/>
    </xf>
    <xf numFmtId="0" fontId="25" fillId="0" borderId="1" xfId="0" applyFont="1" applyBorder="1" applyAlignment="1">
      <alignment horizontal="center" vertical="center" wrapText="1"/>
    </xf>
    <xf numFmtId="0" fontId="25" fillId="0" borderId="10" xfId="0" applyFont="1" applyBorder="1" applyAlignment="1">
      <alignment horizontal="center" vertical="center" wrapText="1"/>
    </xf>
    <xf numFmtId="0" fontId="22" fillId="0" borderId="8" xfId="4" applyFont="1" applyBorder="1" applyAlignment="1" applyProtection="1">
      <alignment horizontal="center" vertical="center" wrapText="1" shrinkToFit="1"/>
      <protection locked="0"/>
    </xf>
    <xf numFmtId="0" fontId="22" fillId="2" borderId="5" xfId="4" applyFont="1" applyFill="1" applyBorder="1" applyAlignment="1" applyProtection="1">
      <alignment horizontal="center" vertical="center" wrapText="1" shrinkToFit="1"/>
      <protection locked="0"/>
    </xf>
    <xf numFmtId="0" fontId="22" fillId="2" borderId="5" xfId="4" applyFont="1" applyFill="1" applyBorder="1" applyAlignment="1" applyProtection="1">
      <alignment horizontal="center" vertical="center" shrinkToFit="1"/>
      <protection locked="0"/>
    </xf>
    <xf numFmtId="164" fontId="22" fillId="0" borderId="2" xfId="4" applyNumberFormat="1" applyFont="1" applyBorder="1" applyAlignment="1">
      <alignment horizontal="center" vertical="center"/>
    </xf>
    <xf numFmtId="164" fontId="22" fillId="0" borderId="4" xfId="4" applyNumberFormat="1" applyFont="1" applyBorder="1" applyAlignment="1">
      <alignment horizontal="center" vertical="center"/>
    </xf>
    <xf numFmtId="0" fontId="22" fillId="0" borderId="2" xfId="4" applyFont="1" applyBorder="1" applyAlignment="1">
      <alignment horizontal="left" vertical="center" wrapText="1"/>
    </xf>
    <xf numFmtId="0" fontId="22" fillId="0" borderId="3" xfId="4" applyFont="1" applyBorder="1" applyAlignment="1">
      <alignment horizontal="left" vertical="center" wrapText="1"/>
    </xf>
    <xf numFmtId="0" fontId="22" fillId="0" borderId="4" xfId="4" applyFont="1" applyBorder="1" applyAlignment="1">
      <alignment horizontal="left" vertical="center" wrapText="1"/>
    </xf>
    <xf numFmtId="0" fontId="22" fillId="6" borderId="2" xfId="4" applyFont="1" applyFill="1" applyBorder="1" applyAlignment="1">
      <alignment horizontal="center" vertical="center" wrapText="1" shrinkToFit="1"/>
    </xf>
    <xf numFmtId="0" fontId="22" fillId="6" borderId="4" xfId="4" applyFont="1" applyFill="1" applyBorder="1" applyAlignment="1">
      <alignment horizontal="center" vertical="center" wrapText="1" shrinkToFit="1"/>
    </xf>
    <xf numFmtId="0" fontId="22" fillId="2" borderId="2" xfId="4" applyFont="1" applyFill="1" applyBorder="1" applyAlignment="1">
      <alignment horizontal="center" vertical="center" wrapText="1"/>
    </xf>
    <xf numFmtId="0" fontId="22" fillId="2" borderId="4" xfId="4" applyFont="1" applyFill="1" applyBorder="1" applyAlignment="1">
      <alignment horizontal="center" vertical="center"/>
    </xf>
    <xf numFmtId="0" fontId="22" fillId="6" borderId="13" xfId="4" applyFont="1" applyFill="1" applyBorder="1" applyAlignment="1">
      <alignment horizontal="center" vertical="center" wrapText="1"/>
    </xf>
    <xf numFmtId="0" fontId="22" fillId="6" borderId="13" xfId="4" applyFont="1" applyFill="1" applyBorder="1" applyAlignment="1">
      <alignment horizontal="center" vertical="center"/>
    </xf>
    <xf numFmtId="0" fontId="22" fillId="2" borderId="3" xfId="4" applyFont="1" applyFill="1" applyBorder="1" applyAlignment="1">
      <alignment horizontal="center" vertical="center"/>
    </xf>
    <xf numFmtId="14" fontId="22" fillId="2" borderId="13" xfId="4" applyNumberFormat="1" applyFont="1" applyFill="1" applyBorder="1" applyAlignment="1">
      <alignment horizontal="center" vertical="center" wrapText="1"/>
    </xf>
    <xf numFmtId="14" fontId="22" fillId="2" borderId="13" xfId="4" applyNumberFormat="1" applyFont="1" applyFill="1" applyBorder="1" applyAlignment="1">
      <alignment horizontal="center" vertical="center"/>
    </xf>
    <xf numFmtId="14" fontId="22" fillId="0" borderId="13" xfId="4" applyNumberFormat="1" applyFont="1" applyBorder="1" applyAlignment="1">
      <alignment horizontal="center" vertical="center"/>
    </xf>
    <xf numFmtId="2" fontId="22" fillId="0" borderId="13" xfId="4" applyNumberFormat="1" applyFont="1" applyBorder="1" applyAlignment="1">
      <alignment horizontal="center" vertical="center"/>
    </xf>
    <xf numFmtId="166" fontId="22" fillId="4" borderId="13" xfId="4" applyNumberFormat="1" applyFont="1" applyFill="1" applyBorder="1" applyAlignment="1">
      <alignment horizontal="right" vertical="center"/>
    </xf>
    <xf numFmtId="165" fontId="22" fillId="0" borderId="13" xfId="17" applyNumberFormat="1" applyFont="1" applyBorder="1" applyAlignment="1">
      <alignment vertical="center"/>
    </xf>
    <xf numFmtId="165" fontId="22" fillId="0" borderId="13" xfId="4" applyNumberFormat="1" applyFont="1" applyBorder="1">
      <alignment vertical="center"/>
    </xf>
    <xf numFmtId="165" fontId="22" fillId="4" borderId="13" xfId="4" applyNumberFormat="1" applyFont="1" applyFill="1" applyBorder="1" applyAlignment="1">
      <alignment horizontal="right" vertical="center"/>
    </xf>
    <xf numFmtId="166" fontId="22" fillId="0" borderId="13" xfId="17" applyNumberFormat="1" applyFont="1" applyBorder="1" applyAlignment="1">
      <alignment vertical="center"/>
    </xf>
    <xf numFmtId="166" fontId="22" fillId="0" borderId="13" xfId="4" applyNumberFormat="1" applyFont="1" applyBorder="1">
      <alignment vertical="center"/>
    </xf>
    <xf numFmtId="0" fontId="22" fillId="2" borderId="6" xfId="4" applyFont="1" applyFill="1" applyBorder="1" applyAlignment="1">
      <alignment horizontal="center" vertical="center" wrapText="1"/>
    </xf>
    <xf numFmtId="0" fontId="22" fillId="2" borderId="8" xfId="4" applyFont="1" applyFill="1" applyBorder="1" applyAlignment="1">
      <alignment horizontal="center" vertical="center"/>
    </xf>
    <xf numFmtId="0" fontId="22" fillId="2" borderId="7" xfId="4" applyFont="1" applyFill="1" applyBorder="1" applyAlignment="1">
      <alignment horizontal="center" vertical="center"/>
    </xf>
    <xf numFmtId="0" fontId="22" fillId="2" borderId="9" xfId="4" applyFont="1" applyFill="1" applyBorder="1" applyAlignment="1">
      <alignment horizontal="center" vertical="center"/>
    </xf>
    <xf numFmtId="0" fontId="22" fillId="2" borderId="1" xfId="4" applyFont="1" applyFill="1" applyBorder="1" applyAlignment="1">
      <alignment horizontal="center" vertical="center"/>
    </xf>
    <xf numFmtId="0" fontId="22" fillId="2" borderId="10" xfId="4" applyFont="1" applyFill="1" applyBorder="1" applyAlignment="1">
      <alignment horizontal="center" vertical="center"/>
    </xf>
    <xf numFmtId="0" fontId="22" fillId="2" borderId="3" xfId="4" applyFont="1" applyFill="1" applyBorder="1" applyAlignment="1">
      <alignment horizontal="center" vertical="center" wrapText="1"/>
    </xf>
    <xf numFmtId="0" fontId="22" fillId="2" borderId="4" xfId="4" applyFont="1" applyFill="1" applyBorder="1" applyAlignment="1">
      <alignment horizontal="center" vertical="center" wrapText="1"/>
    </xf>
    <xf numFmtId="0" fontId="22" fillId="6" borderId="3" xfId="4" applyFont="1" applyFill="1" applyBorder="1" applyAlignment="1">
      <alignment horizontal="center" vertical="center" wrapText="1"/>
    </xf>
    <xf numFmtId="0" fontId="22" fillId="6" borderId="4" xfId="4" applyFont="1" applyFill="1" applyBorder="1" applyAlignment="1">
      <alignment horizontal="center" vertical="center" wrapText="1"/>
    </xf>
    <xf numFmtId="0" fontId="22" fillId="2" borderId="2" xfId="4" applyFont="1" applyFill="1" applyBorder="1" applyAlignment="1">
      <alignment horizontal="center" vertical="center" wrapText="1" shrinkToFit="1"/>
    </xf>
    <xf numFmtId="0" fontId="22" fillId="2" borderId="4" xfId="4" applyFont="1" applyFill="1" applyBorder="1" applyAlignment="1">
      <alignment horizontal="center" vertical="center" wrapText="1" shrinkToFit="1"/>
    </xf>
    <xf numFmtId="0" fontId="22" fillId="2" borderId="2" xfId="4" applyFont="1" applyFill="1" applyBorder="1" applyAlignment="1">
      <alignment horizontal="center" vertical="center"/>
    </xf>
    <xf numFmtId="0" fontId="22" fillId="12" borderId="2" xfId="5" applyFont="1" applyFill="1" applyBorder="1" applyAlignment="1" applyProtection="1">
      <alignment vertical="center" wrapText="1"/>
      <protection locked="0"/>
    </xf>
    <xf numFmtId="0" fontId="22" fillId="12" borderId="3" xfId="5" applyFont="1" applyFill="1" applyBorder="1" applyAlignment="1" applyProtection="1">
      <alignment vertical="center" wrapText="1"/>
      <protection locked="0"/>
    </xf>
    <xf numFmtId="0" fontId="22" fillId="12" borderId="4" xfId="5" applyFont="1" applyFill="1" applyBorder="1" applyAlignment="1" applyProtection="1">
      <alignment vertical="center" wrapText="1"/>
      <protection locked="0"/>
    </xf>
    <xf numFmtId="0" fontId="22" fillId="9" borderId="2" xfId="5" applyFont="1" applyFill="1" applyBorder="1" applyAlignment="1" applyProtection="1">
      <alignment vertical="center" wrapText="1"/>
      <protection locked="0"/>
    </xf>
    <xf numFmtId="0" fontId="22" fillId="9" borderId="3" xfId="5" applyFont="1" applyFill="1" applyBorder="1" applyAlignment="1" applyProtection="1">
      <alignment vertical="center" wrapText="1"/>
      <protection locked="0"/>
    </xf>
    <xf numFmtId="0" fontId="22" fillId="9" borderId="4" xfId="5" applyFont="1" applyFill="1" applyBorder="1" applyAlignment="1" applyProtection="1">
      <alignment vertical="center" wrapText="1"/>
      <protection locked="0"/>
    </xf>
    <xf numFmtId="0" fontId="22" fillId="9" borderId="2" xfId="4" quotePrefix="1" applyFont="1" applyFill="1" applyBorder="1" applyAlignment="1" applyProtection="1">
      <alignment horizontal="right" vertical="center" wrapText="1" shrinkToFit="1"/>
      <protection locked="0"/>
    </xf>
    <xf numFmtId="0" fontId="22" fillId="9" borderId="3" xfId="4" quotePrefix="1" applyFont="1" applyFill="1" applyBorder="1" applyAlignment="1" applyProtection="1">
      <alignment horizontal="right" vertical="center" wrapText="1" shrinkToFit="1"/>
      <protection locked="0"/>
    </xf>
    <xf numFmtId="0" fontId="22" fillId="9" borderId="4" xfId="4" quotePrefix="1" applyFont="1" applyFill="1" applyBorder="1" applyAlignment="1" applyProtection="1">
      <alignment horizontal="right" vertical="center" wrapText="1" shrinkToFit="1"/>
      <protection locked="0"/>
    </xf>
    <xf numFmtId="0" fontId="22" fillId="9" borderId="2" xfId="4" applyFont="1" applyFill="1" applyBorder="1" applyAlignment="1" applyProtection="1">
      <alignment vertical="center" shrinkToFit="1"/>
      <protection locked="0"/>
    </xf>
    <xf numFmtId="0" fontId="22" fillId="9" borderId="4" xfId="4" applyFont="1" applyFill="1" applyBorder="1" applyAlignment="1" applyProtection="1">
      <alignment vertical="center" shrinkToFit="1"/>
      <protection locked="0"/>
    </xf>
    <xf numFmtId="0" fontId="22" fillId="2" borderId="7" xfId="5" applyFont="1" applyFill="1" applyBorder="1" applyAlignment="1">
      <alignment horizontal="center" vertical="center" wrapText="1"/>
    </xf>
    <xf numFmtId="0" fontId="22" fillId="2" borderId="9" xfId="5" applyFont="1" applyFill="1" applyBorder="1" applyAlignment="1">
      <alignment horizontal="center" vertical="center" wrapText="1"/>
    </xf>
    <xf numFmtId="0" fontId="22" fillId="2" borderId="10" xfId="5" applyFont="1" applyFill="1" applyBorder="1" applyAlignment="1">
      <alignment horizontal="center" vertical="center" wrapText="1"/>
    </xf>
    <xf numFmtId="0" fontId="22" fillId="2" borderId="8" xfId="5" applyFont="1" applyFill="1" applyBorder="1" applyAlignment="1">
      <alignment horizontal="center" vertical="center" wrapText="1"/>
    </xf>
    <xf numFmtId="0" fontId="22" fillId="2" borderId="1" xfId="5" applyFont="1" applyFill="1" applyBorder="1" applyAlignment="1">
      <alignment horizontal="center" vertical="center" wrapText="1"/>
    </xf>
    <xf numFmtId="0" fontId="22" fillId="2" borderId="6" xfId="4" applyFont="1" applyFill="1" applyBorder="1" applyAlignment="1">
      <alignment horizontal="center" vertical="center" shrinkToFit="1"/>
    </xf>
    <xf numFmtId="0" fontId="22" fillId="2" borderId="8" xfId="4" applyFont="1" applyFill="1" applyBorder="1" applyAlignment="1">
      <alignment horizontal="center" vertical="center" shrinkToFit="1"/>
    </xf>
    <xf numFmtId="0" fontId="22" fillId="2" borderId="7" xfId="4" applyFont="1" applyFill="1" applyBorder="1" applyAlignment="1">
      <alignment horizontal="center" vertical="center" shrinkToFit="1"/>
    </xf>
    <xf numFmtId="0" fontId="22" fillId="2" borderId="9" xfId="4" applyFont="1" applyFill="1" applyBorder="1" applyAlignment="1">
      <alignment horizontal="center" vertical="center" shrinkToFit="1"/>
    </xf>
    <xf numFmtId="0" fontId="22" fillId="2" borderId="1" xfId="4" applyFont="1" applyFill="1" applyBorder="1" applyAlignment="1">
      <alignment horizontal="center" vertical="center" shrinkToFit="1"/>
    </xf>
    <xf numFmtId="0" fontId="22" fillId="2" borderId="10" xfId="4" applyFont="1" applyFill="1" applyBorder="1" applyAlignment="1">
      <alignment horizontal="center" vertical="center" shrinkToFit="1"/>
    </xf>
    <xf numFmtId="0" fontId="22" fillId="2" borderId="6" xfId="4" applyFont="1" applyFill="1" applyBorder="1" applyAlignment="1">
      <alignment horizontal="center" vertical="center" wrapText="1" shrinkToFit="1"/>
    </xf>
    <xf numFmtId="0" fontId="22" fillId="2" borderId="7" xfId="4" applyFont="1" applyFill="1" applyBorder="1" applyAlignment="1">
      <alignment horizontal="center" vertical="center" wrapText="1" shrinkToFit="1"/>
    </xf>
    <xf numFmtId="0" fontId="22" fillId="2" borderId="9" xfId="4" applyFont="1" applyFill="1" applyBorder="1" applyAlignment="1">
      <alignment horizontal="center" vertical="center" wrapText="1" shrinkToFit="1"/>
    </xf>
    <xf numFmtId="0" fontId="22" fillId="2" borderId="10" xfId="4" applyFont="1" applyFill="1" applyBorder="1" applyAlignment="1">
      <alignment horizontal="center" vertical="center" wrapText="1" shrinkToFit="1"/>
    </xf>
    <xf numFmtId="0" fontId="22" fillId="2" borderId="5" xfId="4" applyFont="1" applyFill="1" applyBorder="1" applyAlignment="1">
      <alignment horizontal="center" vertical="center" wrapText="1" shrinkToFit="1"/>
    </xf>
    <xf numFmtId="0" fontId="22" fillId="2" borderId="14" xfId="4" applyFont="1" applyFill="1" applyBorder="1" applyAlignment="1">
      <alignment horizontal="center" vertical="center" wrapText="1" shrinkToFit="1"/>
    </xf>
    <xf numFmtId="0" fontId="22" fillId="9" borderId="3" xfId="4" applyFont="1" applyFill="1" applyBorder="1" applyAlignment="1" applyProtection="1">
      <alignment horizontal="right" vertical="center" wrapText="1" shrinkToFit="1"/>
      <protection locked="0"/>
    </xf>
    <xf numFmtId="0" fontId="22" fillId="9" borderId="4" xfId="4" applyFont="1" applyFill="1" applyBorder="1" applyAlignment="1" applyProtection="1">
      <alignment horizontal="right" vertical="center" wrapText="1" shrinkToFit="1"/>
      <protection locked="0"/>
    </xf>
    <xf numFmtId="0" fontId="22" fillId="3" borderId="8" xfId="4" applyFont="1" applyFill="1" applyBorder="1" applyAlignment="1" applyProtection="1">
      <alignment vertical="center" wrapText="1" shrinkToFit="1"/>
      <protection locked="0"/>
    </xf>
    <xf numFmtId="0" fontId="22" fillId="3" borderId="8" xfId="4" applyFont="1" applyFill="1" applyBorder="1" applyAlignment="1" applyProtection="1">
      <alignment vertical="center" shrinkToFit="1"/>
      <protection locked="0"/>
    </xf>
    <xf numFmtId="0" fontId="22" fillId="9" borderId="2" xfId="4" quotePrefix="1" applyFont="1" applyFill="1" applyBorder="1" applyAlignment="1" applyProtection="1">
      <alignment horizontal="right" vertical="center" shrinkToFit="1"/>
      <protection locked="0"/>
    </xf>
    <xf numFmtId="0" fontId="22" fillId="9" borderId="4" xfId="4" applyFont="1" applyFill="1" applyBorder="1" applyAlignment="1" applyProtection="1">
      <alignment horizontal="right" vertical="center" shrinkToFit="1"/>
      <protection locked="0"/>
    </xf>
    <xf numFmtId="0" fontId="22" fillId="3" borderId="8" xfId="4" applyFont="1" applyFill="1" applyBorder="1" applyAlignment="1">
      <alignment horizontal="center" vertical="center"/>
    </xf>
    <xf numFmtId="0" fontId="22" fillId="3" borderId="8" xfId="5" applyFont="1" applyFill="1" applyBorder="1" applyAlignment="1" applyProtection="1">
      <alignment vertical="center" wrapText="1"/>
      <protection locked="0"/>
    </xf>
    <xf numFmtId="0" fontId="22" fillId="0" borderId="13" xfId="5" applyFont="1" applyBorder="1" applyAlignment="1" applyProtection="1">
      <alignment horizontal="left" vertical="center" wrapText="1"/>
      <protection locked="0"/>
    </xf>
    <xf numFmtId="14" fontId="22" fillId="0" borderId="13" xfId="4" applyNumberFormat="1" applyFont="1" applyBorder="1" applyAlignment="1">
      <alignment horizontal="center" vertical="center" wrapText="1"/>
    </xf>
    <xf numFmtId="0" fontId="22" fillId="0" borderId="13" xfId="4" applyFont="1" applyBorder="1" applyAlignment="1">
      <alignment horizontal="left" vertical="center" wrapText="1"/>
    </xf>
    <xf numFmtId="14" fontId="22" fillId="0" borderId="13" xfId="5" applyNumberFormat="1" applyFont="1" applyBorder="1" applyAlignment="1" applyProtection="1">
      <alignment horizontal="center" vertical="center" wrapText="1"/>
      <protection locked="0"/>
    </xf>
    <xf numFmtId="0" fontId="22" fillId="0" borderId="2" xfId="5" applyFont="1" applyBorder="1" applyAlignment="1" applyProtection="1">
      <alignment horizontal="left" vertical="center" wrapText="1"/>
      <protection locked="0"/>
    </xf>
    <xf numFmtId="0" fontId="22" fillId="0" borderId="3" xfId="5" applyFont="1" applyBorder="1" applyAlignment="1" applyProtection="1">
      <alignment horizontal="left" vertical="center" wrapText="1"/>
      <protection locked="0"/>
    </xf>
    <xf numFmtId="0" fontId="22" fillId="0" borderId="4" xfId="5" applyFont="1" applyBorder="1" applyAlignment="1" applyProtection="1">
      <alignment horizontal="left" vertical="center" wrapText="1"/>
      <protection locked="0"/>
    </xf>
    <xf numFmtId="0" fontId="22" fillId="9" borderId="13" xfId="4" applyFont="1" applyFill="1" applyBorder="1" applyAlignment="1">
      <alignment horizontal="left" vertical="center" wrapText="1"/>
    </xf>
    <xf numFmtId="0" fontId="22" fillId="0" borderId="13" xfId="4" applyFont="1" applyBorder="1" applyAlignment="1">
      <alignment horizontal="left" vertical="center"/>
    </xf>
    <xf numFmtId="0" fontId="22" fillId="9" borderId="2" xfId="4" quotePrefix="1" applyFont="1" applyFill="1" applyBorder="1" applyAlignment="1">
      <alignment horizontal="left" vertical="center" wrapText="1"/>
    </xf>
    <xf numFmtId="0" fontId="22" fillId="5" borderId="3" xfId="4" applyFont="1" applyFill="1" applyBorder="1" applyAlignment="1">
      <alignment horizontal="left" vertical="center"/>
    </xf>
    <xf numFmtId="0" fontId="22" fillId="5" borderId="4" xfId="4" applyFont="1" applyFill="1" applyBorder="1" applyAlignment="1">
      <alignment horizontal="left" vertical="center"/>
    </xf>
    <xf numFmtId="0" fontId="22" fillId="3" borderId="0" xfId="5" applyFont="1" applyFill="1" applyAlignment="1" applyProtection="1">
      <alignment horizontal="left" vertical="center" wrapText="1"/>
      <protection locked="0"/>
    </xf>
    <xf numFmtId="14" fontId="22" fillId="3" borderId="0" xfId="4" applyNumberFormat="1" applyFont="1" applyFill="1" applyAlignment="1">
      <alignment horizontal="center" vertical="center" wrapText="1"/>
    </xf>
    <xf numFmtId="0" fontId="22" fillId="3" borderId="0" xfId="4" applyFont="1" applyFill="1" applyAlignment="1">
      <alignment horizontal="left" vertical="center" shrinkToFit="1"/>
    </xf>
    <xf numFmtId="14" fontId="22" fillId="3" borderId="0" xfId="5" applyNumberFormat="1" applyFont="1" applyFill="1" applyAlignment="1" applyProtection="1">
      <alignment horizontal="center" vertical="center" wrapText="1"/>
      <protection locked="0"/>
    </xf>
    <xf numFmtId="0" fontId="22" fillId="0" borderId="2" xfId="4" applyFont="1" applyBorder="1" applyAlignment="1">
      <alignment horizontal="left" vertical="center"/>
    </xf>
    <xf numFmtId="0" fontId="22" fillId="0" borderId="35" xfId="4" applyFont="1" applyBorder="1" applyAlignment="1">
      <alignment horizontal="left" vertical="center"/>
    </xf>
    <xf numFmtId="0" fontId="22" fillId="0" borderId="15" xfId="19" applyFont="1" applyBorder="1" applyAlignment="1">
      <alignment horizontal="center" vertical="center"/>
    </xf>
    <xf numFmtId="0" fontId="22" fillId="0" borderId="16" xfId="19" applyFont="1" applyBorder="1" applyAlignment="1">
      <alignment horizontal="center" vertical="center"/>
    </xf>
    <xf numFmtId="0" fontId="22" fillId="0" borderId="19" xfId="19" applyFont="1" applyBorder="1" applyAlignment="1">
      <alignment horizontal="center" vertical="center"/>
    </xf>
    <xf numFmtId="0" fontId="22" fillId="0" borderId="20" xfId="19" applyFont="1" applyBorder="1" applyAlignment="1">
      <alignment horizontal="center" vertical="center"/>
    </xf>
    <xf numFmtId="0" fontId="22" fillId="13" borderId="17" xfId="19" applyFont="1" applyFill="1" applyBorder="1" applyAlignment="1">
      <alignment horizontal="left" vertical="center" wrapText="1"/>
    </xf>
    <xf numFmtId="0" fontId="22" fillId="13" borderId="21" xfId="19" applyFont="1" applyFill="1" applyBorder="1" applyAlignment="1">
      <alignment horizontal="left" vertical="center" wrapText="1"/>
    </xf>
    <xf numFmtId="0" fontId="22" fillId="0" borderId="15" xfId="4" applyFont="1" applyBorder="1" applyAlignment="1">
      <alignment horizontal="center" vertical="center"/>
    </xf>
    <xf numFmtId="0" fontId="22" fillId="0" borderId="16" xfId="4" applyFont="1" applyBorder="1" applyAlignment="1">
      <alignment horizontal="center" vertical="center"/>
    </xf>
    <xf numFmtId="0" fontId="22" fillId="0" borderId="19" xfId="4" applyFont="1" applyBorder="1" applyAlignment="1">
      <alignment horizontal="center" vertical="center"/>
    </xf>
    <xf numFmtId="0" fontId="22" fillId="0" borderId="20" xfId="4" applyFont="1" applyBorder="1" applyAlignment="1">
      <alignment horizontal="center" vertical="center"/>
    </xf>
    <xf numFmtId="169" fontId="22" fillId="13" borderId="15" xfId="19" applyNumberFormat="1" applyFont="1" applyFill="1" applyBorder="1" applyAlignment="1">
      <alignment horizontal="left" vertical="center"/>
    </xf>
    <xf numFmtId="169" fontId="22" fillId="13" borderId="18" xfId="19" applyNumberFormat="1" applyFont="1" applyFill="1" applyBorder="1" applyAlignment="1">
      <alignment horizontal="left" vertical="center"/>
    </xf>
    <xf numFmtId="169" fontId="22" fillId="13" borderId="16" xfId="19" applyNumberFormat="1" applyFont="1" applyFill="1" applyBorder="1" applyAlignment="1">
      <alignment horizontal="left" vertical="center"/>
    </xf>
    <xf numFmtId="169" fontId="22" fillId="13" borderId="19" xfId="19" applyNumberFormat="1" applyFont="1" applyFill="1" applyBorder="1" applyAlignment="1">
      <alignment horizontal="left" vertical="center"/>
    </xf>
    <xf numFmtId="169" fontId="22" fillId="13" borderId="22" xfId="19" applyNumberFormat="1" applyFont="1" applyFill="1" applyBorder="1" applyAlignment="1">
      <alignment horizontal="left" vertical="center"/>
    </xf>
    <xf numFmtId="169" fontId="22" fillId="13" borderId="20" xfId="19" applyNumberFormat="1" applyFont="1" applyFill="1" applyBorder="1" applyAlignment="1">
      <alignment horizontal="left" vertical="center"/>
    </xf>
    <xf numFmtId="0" fontId="22" fillId="0" borderId="23" xfId="19" applyFont="1" applyBorder="1" applyAlignment="1">
      <alignment horizontal="center" vertical="center"/>
    </xf>
    <xf numFmtId="0" fontId="22" fillId="0" borderId="24" xfId="19" applyFont="1" applyBorder="1" applyAlignment="1">
      <alignment horizontal="center" vertical="center"/>
    </xf>
    <xf numFmtId="0" fontId="22" fillId="13" borderId="15" xfId="19" applyFont="1" applyFill="1" applyBorder="1" applyAlignment="1">
      <alignment horizontal="left" vertical="center"/>
    </xf>
    <xf numFmtId="0" fontId="22" fillId="13" borderId="18" xfId="19" applyFont="1" applyFill="1" applyBorder="1" applyAlignment="1">
      <alignment horizontal="left" vertical="center"/>
    </xf>
    <xf numFmtId="0" fontId="22" fillId="13" borderId="16" xfId="19" applyFont="1" applyFill="1" applyBorder="1" applyAlignment="1">
      <alignment horizontal="left" vertical="center"/>
    </xf>
    <xf numFmtId="0" fontId="22" fillId="13" borderId="19" xfId="19" applyFont="1" applyFill="1" applyBorder="1" applyAlignment="1">
      <alignment horizontal="left" vertical="center"/>
    </xf>
    <xf numFmtId="0" fontId="22" fillId="13" borderId="22" xfId="19" applyFont="1" applyFill="1" applyBorder="1" applyAlignment="1">
      <alignment horizontal="left" vertical="center"/>
    </xf>
    <xf numFmtId="0" fontId="22" fillId="13" borderId="20" xfId="19" applyFont="1" applyFill="1" applyBorder="1" applyAlignment="1">
      <alignment horizontal="left" vertical="center"/>
    </xf>
    <xf numFmtId="0" fontId="22" fillId="14" borderId="26" xfId="20" applyFont="1" applyFill="1" applyBorder="1" applyAlignment="1">
      <alignment horizontal="left" vertical="center" wrapText="1"/>
    </xf>
    <xf numFmtId="0" fontId="22" fillId="14" borderId="24" xfId="20" applyFont="1" applyFill="1" applyBorder="1" applyAlignment="1">
      <alignment horizontal="left" vertical="center" wrapText="1"/>
    </xf>
    <xf numFmtId="0" fontId="44" fillId="16" borderId="23" xfId="20" applyFont="1" applyFill="1" applyBorder="1" applyAlignment="1">
      <alignment horizontal="left" vertical="center"/>
    </xf>
    <xf numFmtId="0" fontId="22" fillId="16" borderId="30" xfId="20" applyFont="1" applyFill="1" applyBorder="1">
      <alignment vertical="center"/>
    </xf>
    <xf numFmtId="0" fontId="22" fillId="16" borderId="24" xfId="20" applyFont="1" applyFill="1" applyBorder="1">
      <alignment vertical="center"/>
    </xf>
    <xf numFmtId="49" fontId="44" fillId="17" borderId="31" xfId="20" applyNumberFormat="1" applyFont="1" applyFill="1" applyBorder="1">
      <alignment vertical="center"/>
    </xf>
    <xf numFmtId="0" fontId="22" fillId="17" borderId="32" xfId="20" applyFont="1" applyFill="1" applyBorder="1">
      <alignment vertical="center"/>
    </xf>
    <xf numFmtId="0" fontId="22" fillId="17" borderId="33" xfId="20" applyFont="1" applyFill="1" applyBorder="1">
      <alignment vertical="center"/>
    </xf>
    <xf numFmtId="0" fontId="22" fillId="0" borderId="2" xfId="20" applyFont="1" applyBorder="1" applyAlignment="1">
      <alignment vertical="center" wrapText="1"/>
    </xf>
    <xf numFmtId="0" fontId="22" fillId="0" borderId="35" xfId="20" applyFont="1" applyBorder="1" applyAlignment="1">
      <alignment vertical="center" wrapText="1"/>
    </xf>
    <xf numFmtId="0" fontId="22" fillId="0" borderId="40" xfId="4" applyFont="1" applyBorder="1" applyAlignment="1">
      <alignment horizontal="left" vertical="center" wrapText="1"/>
    </xf>
    <xf numFmtId="0" fontId="22" fillId="0" borderId="41" xfId="4" applyFont="1" applyBorder="1" applyAlignment="1">
      <alignment horizontal="left" vertical="center" wrapText="1"/>
    </xf>
    <xf numFmtId="0" fontId="22" fillId="7" borderId="2" xfId="4" applyFont="1" applyFill="1" applyBorder="1" applyAlignment="1">
      <alignment horizontal="left" vertical="center"/>
    </xf>
    <xf numFmtId="0" fontId="22" fillId="7" borderId="35" xfId="4" applyFont="1" applyFill="1" applyBorder="1" applyAlignment="1">
      <alignment horizontal="left" vertical="center"/>
    </xf>
    <xf numFmtId="0" fontId="25" fillId="0" borderId="5" xfId="7" applyFont="1" applyBorder="1" applyAlignment="1">
      <alignment horizontal="center" vertical="top" shrinkToFit="1"/>
    </xf>
    <xf numFmtId="0" fontId="25" fillId="0" borderId="14" xfId="7" applyFont="1" applyBorder="1" applyAlignment="1">
      <alignment horizontal="center" vertical="top" shrinkToFit="1"/>
    </xf>
    <xf numFmtId="0" fontId="25" fillId="0" borderId="5" xfId="7" applyFont="1" applyBorder="1" applyAlignment="1">
      <alignment horizontal="center" vertical="top" wrapText="1" shrinkToFit="1"/>
    </xf>
    <xf numFmtId="0" fontId="25" fillId="0" borderId="5" xfId="8" applyFont="1" applyBorder="1" applyAlignment="1">
      <alignment horizontal="center" vertical="top" wrapText="1" shrinkToFit="1"/>
    </xf>
    <xf numFmtId="0" fontId="25" fillId="0" borderId="14" xfId="8" applyFont="1" applyBorder="1" applyAlignment="1">
      <alignment horizontal="center" vertical="top" shrinkToFit="1"/>
    </xf>
  </cellXfs>
  <cellStyles count="21">
    <cellStyle name="Bad" xfId="13" builtinId="27"/>
    <cellStyle name="Hyperlink" xfId="12" builtinId="8"/>
    <cellStyle name="Normal" xfId="0" builtinId="0"/>
    <cellStyle name="Normal 2" xfId="18" xr:uid="{00000000-0005-0000-0000-000003000000}"/>
    <cellStyle name="Normal 3" xfId="20" xr:uid="{00000000-0005-0000-0000-000004000000}"/>
    <cellStyle name="ハイパーリンク 2" xfId="9" xr:uid="{00000000-0005-0000-0000-000005000000}"/>
    <cellStyle name="標準 2" xfId="1" xr:uid="{00000000-0005-0000-0000-000006000000}"/>
    <cellStyle name="標準 2 2" xfId="4" xr:uid="{00000000-0005-0000-0000-000007000000}"/>
    <cellStyle name="標準 2 2 2" xfId="17" xr:uid="{00000000-0005-0000-0000-000008000000}"/>
    <cellStyle name="標準 2 5" xfId="7" xr:uid="{00000000-0005-0000-0000-000009000000}"/>
    <cellStyle name="標準 3" xfId="2" xr:uid="{00000000-0005-0000-0000-00000A000000}"/>
    <cellStyle name="標準 3 3" xfId="16" xr:uid="{00000000-0005-0000-0000-00000B000000}"/>
    <cellStyle name="標準 4" xfId="3" xr:uid="{00000000-0005-0000-0000-00000C000000}"/>
    <cellStyle name="標準 4 2" xfId="8" xr:uid="{00000000-0005-0000-0000-00000D000000}"/>
    <cellStyle name="標準 5" xfId="10" xr:uid="{00000000-0005-0000-0000-00000E000000}"/>
    <cellStyle name="標準 5 2" xfId="14" xr:uid="{00000000-0005-0000-0000-00000F000000}"/>
    <cellStyle name="標準 6" xfId="11" xr:uid="{00000000-0005-0000-0000-000010000000}"/>
    <cellStyle name="標準 6 2" xfId="15" xr:uid="{00000000-0005-0000-0000-000011000000}"/>
    <cellStyle name="標準_コードレビューに関するコメント" xfId="19" xr:uid="{00000000-0005-0000-0000-000012000000}"/>
    <cellStyle name="標準_コードレビューに関するコメント_コードレビューチェックリストv0.22" xfId="5" xr:uid="{00000000-0005-0000-0000-000013000000}"/>
    <cellStyle name="標準_レビューチェックリスト_機能仕様書" xfId="6" xr:uid="{00000000-0005-0000-0000-000014000000}"/>
  </cellStyles>
  <dxfs count="76">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numFmt numFmtId="0" formatCode="General"/>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fill>
        <patternFill patternType="none">
          <fgColor rgb="FF000000"/>
          <bgColor rgb="FFFFFFFF"/>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ill>
        <patternFill>
          <bgColor rgb="FFFFFF00"/>
        </patternFill>
      </fill>
    </dxf>
    <dxf>
      <fill>
        <patternFill>
          <bgColor rgb="FFFFFF00"/>
        </patternFill>
      </fill>
    </dxf>
    <dxf>
      <fill>
        <patternFill>
          <bgColor rgb="FFFFFF00"/>
        </patternFill>
      </fill>
    </dxf>
    <dxf>
      <fill>
        <patternFill>
          <bgColor rgb="FFFFFF00"/>
        </patternFill>
      </fill>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24994659260841701"/>
        </patternFill>
      </fill>
    </dxf>
    <dxf>
      <font>
        <color rgb="FF0000FF"/>
      </font>
    </dxf>
    <dxf>
      <font>
        <color rgb="FF0000FF"/>
      </font>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75"/>
      <tableStyleElement type="headerRow" dxfId="74"/>
    </tableStyle>
  </tableStyles>
  <colors>
    <mruColors>
      <color rgb="FFFFCCFF"/>
      <color rgb="FF0000FF"/>
      <color rgb="FFFFE0D7"/>
      <color rgb="FFF8FEC2"/>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rvc-vnas-01\MobAP2\Users\a5088417\Desktop\&#30906;&#35469;&#29992;\REL_SEPG_Peer_Review_Minutes_bk.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rvc-vnas-01\MobAP2\PRM_checklist\REL_SEPG_Peer_Review_Minut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er Review Minutes"/>
      <sheetName val="Peer Review Checklist"/>
      <sheetName val="REL-SEPG-PRM20190507"/>
      <sheetName val="Template Revision history"/>
    </sheetNames>
    <sheetDataSet>
      <sheetData sheetId="0">
        <row r="8">
          <cell r="G8" t="str">
            <v>(Select)</v>
          </cell>
        </row>
      </sheetData>
      <sheetData sheetId="1" refreshError="1"/>
      <sheetData sheetId="2" refreshError="1"/>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Revision history"/>
      <sheetName val="Peer Review Minutes"/>
      <sheetName val="Peer Review Checklist"/>
      <sheetName val="REL-SEPG-PRM20190801"/>
      <sheetName val="REL_SEPG_Peer_Review_Minutes"/>
    </sheetNames>
    <sheetDataSet>
      <sheetData sheetId="0" refreshError="1">
        <row r="3">
          <cell r="B3" t="str">
            <v>REL-SEPG-PRM20190801</v>
          </cell>
        </row>
      </sheetData>
      <sheetData sheetId="1" refreshError="1"/>
      <sheetData sheetId="2" refreshError="1"/>
      <sheetData sheetId="3" refreshError="1"/>
      <sheetData sheetId="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テーブル13283232" displayName="テーブル13283232" ref="A2:I69" totalsRowShown="0" headerRowDxfId="10" dataDxfId="9">
  <tableColumns count="9">
    <tableColumn id="1" xr3:uid="{00000000-0010-0000-0000-000001000000}" name="列1" dataDxfId="8">
      <calculatedColumnFormula>ROW()-2</calculatedColumnFormula>
    </tableColumn>
    <tableColumn id="2" xr3:uid="{00000000-0010-0000-0000-000002000000}" name="列2" dataDxfId="7"/>
    <tableColumn id="3" xr3:uid="{00000000-0010-0000-0000-000003000000}" name="列3" dataDxfId="6"/>
    <tableColumn id="4" xr3:uid="{00000000-0010-0000-0000-000004000000}" name="列4" dataDxfId="5"/>
    <tableColumn id="5" xr3:uid="{00000000-0010-0000-0000-000005000000}" name="列5" dataDxfId="4"/>
    <tableColumn id="6" xr3:uid="{00000000-0010-0000-0000-000006000000}" name="列6" dataDxfId="3"/>
    <tableColumn id="7" xr3:uid="{00000000-0010-0000-0000-000007000000}" name="列42" dataDxfId="2"/>
    <tableColumn id="8" xr3:uid="{00000000-0010-0000-0000-000008000000}" name="列52" dataDxfId="1"/>
    <tableColumn id="9" xr3:uid="{00000000-0010-0000-0000-000009000000}" name="列62" dataDxfId="0"/>
  </tableColumns>
  <tableStyleInfo name="TableStyleLight15"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ocrm.dgn.renesas.com/websvn/filedetails.php?repname=REL_SW-Std&amp;path=/trunk/template/en/0102en_Standard_Development_Procedure_Management_Table.xlsx" TargetMode="External"/><Relationship Id="rId13" Type="http://schemas.openxmlformats.org/officeDocument/2006/relationships/hyperlink" Target="https://renesasgroup.sharepoint.com/sites/CQ/SEPG/standards/guideline/SW_ProcessGuideline_j.pdf" TargetMode="External"/><Relationship Id="rId18" Type="http://schemas.openxmlformats.org/officeDocument/2006/relationships/hyperlink" Target="https://renesasgroup.sharepoint.com/sites/CK/Global_SEPG/Shared%20Documents/SW_ProcessGuideline_e.pdf" TargetMode="External"/><Relationship Id="rId26" Type="http://schemas.openxmlformats.org/officeDocument/2006/relationships/table" Target="../tables/table1.xml"/><Relationship Id="rId3" Type="http://schemas.openxmlformats.org/officeDocument/2006/relationships/hyperlink" Target="https://renesasgroup.sharepoint.com/sites/CQ/SEPG/standards/guideline/SW_ProcessGuideline_j.pdf" TargetMode="External"/><Relationship Id="rId21" Type="http://schemas.openxmlformats.org/officeDocument/2006/relationships/hyperlink" Target="https://renesasgroup.sharepoint.com/sites/CK/Global_SEPG/Shared%20Documents/SW_ProcessGuideline_e.pdf" TargetMode="External"/><Relationship Id="rId7" Type="http://schemas.openxmlformats.org/officeDocument/2006/relationships/hyperlink" Target="http://socrm.dgn.renesas.com/websvn/filedetails.php?repname=REL_SW-Std&amp;path=/trunk/template/en/0102en_Standard_Development_Procedure_Management_Table.xlsx" TargetMode="External"/><Relationship Id="rId12" Type="http://schemas.openxmlformats.org/officeDocument/2006/relationships/hyperlink" Target="https://renesasgroup.sharepoint.com/sites/CK/Global_SEPG/Shared%20Documents/REL_SEPG_templates_for_GlobalSEPG.zip" TargetMode="External"/><Relationship Id="rId17" Type="http://schemas.openxmlformats.org/officeDocument/2006/relationships/hyperlink" Target="https://renesasgroup.sharepoint.com/sites/CK/Global_SEPG/Shared%20Documents/SW_ProcessGuideline_e.pdf" TargetMode="External"/><Relationship Id="rId25" Type="http://schemas.openxmlformats.org/officeDocument/2006/relationships/printerSettings" Target="../printerSettings/printerSettings3.bin"/><Relationship Id="rId2" Type="http://schemas.openxmlformats.org/officeDocument/2006/relationships/hyperlink" Target="https://renesasgroup.sharepoint.com/sites/CK/Global_SEPG/Shared%20Documents/SW_ProcessGuideline_e.pdf" TargetMode="External"/><Relationship Id="rId16" Type="http://schemas.openxmlformats.org/officeDocument/2006/relationships/hyperlink" Target="https://renesasgroup.sharepoint.com/sites/CQ/SEPG/standards/guideline/SW_ProcessGuideline_j.pdf" TargetMode="External"/><Relationship Id="rId20" Type="http://schemas.openxmlformats.org/officeDocument/2006/relationships/hyperlink" Target="https://renesasgroup.sharepoint.com/sites/CK/Global_SEPG/Shared%20Documents/SW_ProcessGuideline_e.pdf" TargetMode="External"/><Relationship Id="rId1" Type="http://schemas.openxmlformats.org/officeDocument/2006/relationships/hyperlink" Target="https://renesasgroup.sharepoint.com/sites/CQ/SEPG/standards/guideline/SW_ProcessGuideline_j.pdf" TargetMode="External"/><Relationship Id="rId6" Type="http://schemas.openxmlformats.org/officeDocument/2006/relationships/hyperlink" Target="https://renesasgroup.sharepoint.com/sites/CQ/SEPG/standards/guideline/SW_ProcessGuideline_j.pdf" TargetMode="External"/><Relationship Id="rId11" Type="http://schemas.openxmlformats.org/officeDocument/2006/relationships/hyperlink" Target="https://renesasgroup.sharepoint.com/sites/CQ/SEPG/standards/template2/REL_SEPG_Project_Plan.xlsm" TargetMode="External"/><Relationship Id="rId24" Type="http://schemas.openxmlformats.org/officeDocument/2006/relationships/hyperlink" Target="https://renesasgroup.sharepoint.com/sites/CK/Global_SEPG/Shared%20Documents/SW_ProcessGuideline_e.pdf" TargetMode="External"/><Relationship Id="rId5" Type="http://schemas.openxmlformats.org/officeDocument/2006/relationships/hyperlink" Target="https://renesasgroup.sharepoint.com/sites/CQ/SEPG/standards/guideline/SW_ProcessGuideline_j.pdf" TargetMode="External"/><Relationship Id="rId15" Type="http://schemas.openxmlformats.org/officeDocument/2006/relationships/hyperlink" Target="https://renesasgroup.sharepoint.com/sites/CQ/SEPG/standards/guideline/SW_ProcessGuideline_j.pdf" TargetMode="External"/><Relationship Id="rId23" Type="http://schemas.openxmlformats.org/officeDocument/2006/relationships/hyperlink" Target="https://renesasgroup.sharepoint.com/sites/CK/Global_SEPG/Shared%20Documents/SW_ProcessGuideline_e.pdf" TargetMode="External"/><Relationship Id="rId10" Type="http://schemas.openxmlformats.org/officeDocument/2006/relationships/hyperlink" Target="http://socrm.dgn.renesas.com/websvn/filedetails.php?repname=REL_SW-Std&amp;path=/trunk/template/ja/0102ja_Standard_Development_Procedure_Management_Table.xlsx" TargetMode="External"/><Relationship Id="rId19" Type="http://schemas.openxmlformats.org/officeDocument/2006/relationships/hyperlink" Target="https://renesasgroup.sharepoint.com/sites/CK/Global_SEPG/Shared%20Documents/SW_ProcessGuideline_e.pdf" TargetMode="External"/><Relationship Id="rId4" Type="http://schemas.openxmlformats.org/officeDocument/2006/relationships/hyperlink" Target="https://renesasgroup.sharepoint.com/sites/CQ/SEPG/standards/guideline/SW_ProcessGuideline_j.pdf" TargetMode="External"/><Relationship Id="rId9" Type="http://schemas.openxmlformats.org/officeDocument/2006/relationships/hyperlink" Target="http://socrm.dgn.renesas.com/websvn/filedetails.php?repname=REL_SW-Std&amp;path=/trunk/template/ja/0102ja_Standard_Development_Procedure_Management_Table.xlsx" TargetMode="External"/><Relationship Id="rId14" Type="http://schemas.openxmlformats.org/officeDocument/2006/relationships/hyperlink" Target="https://renesasgroup.sharepoint.com/sites/CQ/SEPG/standards/guideline/SW_ProcessGuideline_j.pdf" TargetMode="External"/><Relationship Id="rId22" Type="http://schemas.openxmlformats.org/officeDocument/2006/relationships/hyperlink" Target="https://renesasgroup.sharepoint.com/sites/CK/Global_SEPG/Shared%20Documents/SW_ProcessGuideline_e.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B1:BL59"/>
  <sheetViews>
    <sheetView showGridLines="0" topLeftCell="A49" zoomScale="70" zoomScaleNormal="70" zoomScaleSheetLayoutView="100" workbookViewId="0">
      <selection activeCell="W20" sqref="W20"/>
    </sheetView>
  </sheetViews>
  <sheetFormatPr defaultColWidth="8.88671875" defaultRowHeight="12.75"/>
  <cols>
    <col min="1" max="2" width="2.77734375" style="15" customWidth="1"/>
    <col min="3" max="3" width="5" style="15" customWidth="1"/>
    <col min="4" max="4" width="6.77734375" style="15" customWidth="1"/>
    <col min="5" max="5" width="9.21875" style="15" customWidth="1"/>
    <col min="6" max="7" width="9.77734375" style="15" customWidth="1"/>
    <col min="8" max="14" width="6.77734375" style="15" customWidth="1"/>
    <col min="15" max="15" width="9.77734375" style="15" customWidth="1"/>
    <col min="16" max="16" width="10.44140625" style="15" customWidth="1"/>
    <col min="17" max="21" width="6.77734375" style="15" customWidth="1"/>
    <col min="22" max="22" width="7.77734375" style="15" customWidth="1"/>
    <col min="23" max="26" width="9.77734375" style="15" customWidth="1"/>
    <col min="27" max="28" width="2.77734375" style="15" hidden="1" customWidth="1"/>
    <col min="29" max="29" width="2.77734375" style="15" customWidth="1"/>
    <col min="30" max="40" width="8.88671875" style="15"/>
    <col min="41" max="41" width="3.44140625" style="15" customWidth="1"/>
    <col min="42" max="42" width="8.88671875" style="15" customWidth="1"/>
    <col min="43" max="43" width="36.44140625" style="15" customWidth="1"/>
    <col min="44" max="44" width="13.21875" style="15" customWidth="1"/>
    <col min="45" max="45" width="10" style="15" customWidth="1"/>
    <col min="46" max="46" width="11.77734375" style="15" customWidth="1"/>
    <col min="47" max="51" width="8.88671875" style="15" customWidth="1"/>
    <col min="52" max="16384" width="8.88671875" style="15"/>
  </cols>
  <sheetData>
    <row r="1" spans="2:28" s="1" customFormat="1" ht="17.100000000000001" customHeight="1">
      <c r="C1" s="2" t="s">
        <v>0</v>
      </c>
      <c r="D1" s="3"/>
      <c r="E1" s="3"/>
      <c r="F1" s="3"/>
      <c r="J1" s="4" t="s">
        <v>339</v>
      </c>
      <c r="U1" s="3"/>
      <c r="V1" s="3"/>
      <c r="X1" s="5"/>
      <c r="Z1" s="5" t="str">
        <f>'[2]Template Revision history'!B3</f>
        <v>REL-SEPG-PRM20190801</v>
      </c>
      <c r="AA1" s="6"/>
      <c r="AB1" s="6"/>
    </row>
    <row r="2" spans="2:28" s="7" customFormat="1" ht="17.100000000000001" customHeight="1">
      <c r="C2" s="8" t="s">
        <v>323</v>
      </c>
      <c r="D2" s="9"/>
      <c r="E2" s="9"/>
      <c r="F2" s="9"/>
      <c r="G2" s="9"/>
      <c r="H2" s="9"/>
      <c r="I2" s="9"/>
      <c r="J2" s="150" t="s">
        <v>340</v>
      </c>
      <c r="K2" s="151"/>
      <c r="L2" s="151"/>
      <c r="M2" s="151"/>
      <c r="N2" s="151"/>
      <c r="O2" s="151"/>
      <c r="P2" s="151"/>
      <c r="Q2" s="151"/>
      <c r="R2" s="151"/>
      <c r="S2" s="151"/>
      <c r="T2" s="151"/>
      <c r="U2" s="151"/>
      <c r="V2" s="151"/>
      <c r="W2" s="151"/>
      <c r="X2" s="151"/>
      <c r="Y2" s="96"/>
      <c r="Z2" s="96"/>
      <c r="AA2" s="6"/>
      <c r="AB2" s="6"/>
    </row>
    <row r="3" spans="2:28" s="7" customFormat="1" ht="17.100000000000001" customHeight="1">
      <c r="B3" s="10" t="s">
        <v>1</v>
      </c>
      <c r="C3" s="148" t="s">
        <v>341</v>
      </c>
      <c r="D3" s="148"/>
      <c r="E3" s="148"/>
      <c r="F3" s="148"/>
      <c r="G3" s="148" t="s">
        <v>342</v>
      </c>
      <c r="H3" s="148"/>
      <c r="I3" s="148"/>
      <c r="J3" s="148"/>
      <c r="K3" s="148"/>
      <c r="L3" s="148"/>
      <c r="M3" s="148"/>
      <c r="N3" s="148"/>
      <c r="O3" s="148"/>
      <c r="P3" s="148"/>
      <c r="Q3" s="148"/>
      <c r="R3" s="127" t="s">
        <v>343</v>
      </c>
      <c r="S3" s="128"/>
      <c r="T3" s="129"/>
      <c r="U3" s="133" t="s">
        <v>167</v>
      </c>
      <c r="V3" s="134"/>
      <c r="W3" s="134"/>
      <c r="X3" s="134"/>
      <c r="Y3" s="134"/>
      <c r="Z3" s="135"/>
    </row>
    <row r="4" spans="2:28" s="7" customFormat="1" ht="17.100000000000001" customHeight="1">
      <c r="B4" s="10"/>
      <c r="C4" s="168" t="s">
        <v>429</v>
      </c>
      <c r="D4" s="169"/>
      <c r="E4" s="169"/>
      <c r="F4" s="169"/>
      <c r="G4" s="170" t="s">
        <v>344</v>
      </c>
      <c r="H4" s="171"/>
      <c r="I4" s="171"/>
      <c r="J4" s="171"/>
      <c r="K4" s="171"/>
      <c r="L4" s="171"/>
      <c r="M4" s="171"/>
      <c r="N4" s="171"/>
      <c r="O4" s="171"/>
      <c r="P4" s="171"/>
      <c r="Q4" s="172"/>
      <c r="R4" s="130"/>
      <c r="S4" s="131"/>
      <c r="T4" s="132"/>
      <c r="U4" s="136"/>
      <c r="V4" s="137"/>
      <c r="W4" s="137"/>
      <c r="X4" s="137"/>
      <c r="Y4" s="137"/>
      <c r="Z4" s="138"/>
    </row>
    <row r="5" spans="2:28" s="7" customFormat="1" ht="17.100000000000001" customHeight="1">
      <c r="B5" s="10"/>
      <c r="C5" s="169"/>
      <c r="D5" s="169"/>
      <c r="E5" s="169"/>
      <c r="F5" s="169"/>
      <c r="G5" s="173"/>
      <c r="H5" s="174"/>
      <c r="I5" s="174"/>
      <c r="J5" s="174"/>
      <c r="K5" s="174"/>
      <c r="L5" s="174"/>
      <c r="M5" s="174"/>
      <c r="N5" s="174"/>
      <c r="O5" s="174"/>
      <c r="P5" s="174"/>
      <c r="Q5" s="175"/>
      <c r="R5" s="127" t="s">
        <v>345</v>
      </c>
      <c r="S5" s="128"/>
      <c r="T5" s="129"/>
      <c r="U5" s="179" t="s">
        <v>436</v>
      </c>
      <c r="V5" s="180"/>
      <c r="W5" s="180"/>
      <c r="X5" s="180"/>
      <c r="Y5" s="180"/>
      <c r="Z5" s="181"/>
    </row>
    <row r="6" spans="2:28" s="7" customFormat="1" ht="17.100000000000001" customHeight="1">
      <c r="B6" s="10"/>
      <c r="C6" s="169"/>
      <c r="D6" s="169"/>
      <c r="E6" s="169"/>
      <c r="F6" s="169"/>
      <c r="G6" s="176"/>
      <c r="H6" s="177"/>
      <c r="I6" s="177"/>
      <c r="J6" s="177"/>
      <c r="K6" s="177"/>
      <c r="L6" s="177"/>
      <c r="M6" s="177"/>
      <c r="N6" s="177"/>
      <c r="O6" s="177"/>
      <c r="P6" s="177"/>
      <c r="Q6" s="178"/>
      <c r="R6" s="130"/>
      <c r="S6" s="131"/>
      <c r="T6" s="132"/>
      <c r="U6" s="182"/>
      <c r="V6" s="183"/>
      <c r="W6" s="183"/>
      <c r="X6" s="183"/>
      <c r="Y6" s="183"/>
      <c r="Z6" s="184"/>
    </row>
    <row r="7" spans="2:28" s="7" customFormat="1" ht="17.100000000000001" customHeight="1">
      <c r="B7" s="10"/>
      <c r="C7" s="169"/>
      <c r="D7" s="169"/>
      <c r="E7" s="169"/>
      <c r="F7" s="169"/>
      <c r="G7" s="148" t="s">
        <v>346</v>
      </c>
      <c r="H7" s="148"/>
      <c r="I7" s="148"/>
      <c r="J7" s="148"/>
      <c r="K7" s="148"/>
      <c r="L7" s="148"/>
      <c r="M7" s="148"/>
      <c r="N7" s="148"/>
      <c r="O7" s="148"/>
      <c r="P7" s="148"/>
      <c r="Q7" s="148"/>
      <c r="R7" s="127" t="s">
        <v>347</v>
      </c>
      <c r="S7" s="128"/>
      <c r="T7" s="129"/>
      <c r="U7" s="133" t="s">
        <v>348</v>
      </c>
      <c r="V7" s="134"/>
      <c r="W7" s="134"/>
      <c r="X7" s="134"/>
      <c r="Y7" s="134"/>
      <c r="Z7" s="135"/>
    </row>
    <row r="8" spans="2:28" s="7" customFormat="1" ht="17.100000000000001" customHeight="1">
      <c r="B8" s="10"/>
      <c r="C8" s="169"/>
      <c r="D8" s="169"/>
      <c r="E8" s="169"/>
      <c r="F8" s="169"/>
      <c r="G8" s="139" t="s">
        <v>423</v>
      </c>
      <c r="H8" s="140"/>
      <c r="I8" s="140"/>
      <c r="J8" s="140"/>
      <c r="K8" s="140"/>
      <c r="L8" s="140"/>
      <c r="M8" s="140"/>
      <c r="N8" s="140"/>
      <c r="O8" s="140"/>
      <c r="P8" s="140"/>
      <c r="Q8" s="141"/>
      <c r="R8" s="130"/>
      <c r="S8" s="131"/>
      <c r="T8" s="132"/>
      <c r="U8" s="136"/>
      <c r="V8" s="137"/>
      <c r="W8" s="137"/>
      <c r="X8" s="137"/>
      <c r="Y8" s="137"/>
      <c r="Z8" s="138"/>
    </row>
    <row r="9" spans="2:28" s="7" customFormat="1" ht="17.100000000000001" customHeight="1">
      <c r="B9" s="10"/>
      <c r="C9" s="169"/>
      <c r="D9" s="169"/>
      <c r="E9" s="169"/>
      <c r="F9" s="169"/>
      <c r="G9" s="142"/>
      <c r="H9" s="143"/>
      <c r="I9" s="143"/>
      <c r="J9" s="143"/>
      <c r="K9" s="143"/>
      <c r="L9" s="143"/>
      <c r="M9" s="143"/>
      <c r="N9" s="143"/>
      <c r="O9" s="143"/>
      <c r="P9" s="143"/>
      <c r="Q9" s="144"/>
      <c r="R9" s="127" t="s">
        <v>349</v>
      </c>
      <c r="S9" s="128"/>
      <c r="T9" s="129"/>
      <c r="U9" s="133" t="s">
        <v>350</v>
      </c>
      <c r="V9" s="134"/>
      <c r="W9" s="134"/>
      <c r="X9" s="134"/>
      <c r="Y9" s="134"/>
      <c r="Z9" s="135"/>
    </row>
    <row r="10" spans="2:28" s="7" customFormat="1" ht="17.100000000000001" customHeight="1">
      <c r="B10" s="10"/>
      <c r="C10" s="169"/>
      <c r="D10" s="169"/>
      <c r="E10" s="169"/>
      <c r="F10" s="169"/>
      <c r="G10" s="145"/>
      <c r="H10" s="146"/>
      <c r="I10" s="146"/>
      <c r="J10" s="146"/>
      <c r="K10" s="146"/>
      <c r="L10" s="146"/>
      <c r="M10" s="146"/>
      <c r="N10" s="146"/>
      <c r="O10" s="146"/>
      <c r="P10" s="146"/>
      <c r="Q10" s="147"/>
      <c r="R10" s="130"/>
      <c r="S10" s="131"/>
      <c r="T10" s="132"/>
      <c r="U10" s="136"/>
      <c r="V10" s="137"/>
      <c r="W10" s="137"/>
      <c r="X10" s="137"/>
      <c r="Y10" s="137"/>
      <c r="Z10" s="138"/>
    </row>
    <row r="11" spans="2:28" s="7" customFormat="1" ht="33" customHeight="1">
      <c r="B11" s="10"/>
      <c r="C11" s="169"/>
      <c r="D11" s="169"/>
      <c r="E11" s="169"/>
      <c r="F11" s="169"/>
      <c r="G11" s="148" t="s">
        <v>351</v>
      </c>
      <c r="H11" s="148"/>
      <c r="I11" s="148"/>
      <c r="J11" s="148"/>
      <c r="K11" s="148"/>
      <c r="L11" s="148"/>
      <c r="M11" s="148"/>
      <c r="N11" s="148"/>
      <c r="O11" s="148"/>
      <c r="P11" s="148"/>
      <c r="Q11" s="148"/>
      <c r="R11" s="148"/>
      <c r="S11" s="148"/>
      <c r="T11" s="148"/>
      <c r="U11" s="149" t="s">
        <v>352</v>
      </c>
      <c r="V11" s="149"/>
      <c r="W11" s="149"/>
      <c r="X11" s="149" t="s">
        <v>353</v>
      </c>
      <c r="Y11" s="149"/>
      <c r="Z11" s="149"/>
    </row>
    <row r="12" spans="2:28" s="7" customFormat="1" ht="17.100000000000001" customHeight="1">
      <c r="B12" s="10"/>
      <c r="C12" s="169"/>
      <c r="D12" s="169"/>
      <c r="E12" s="169"/>
      <c r="F12" s="169"/>
      <c r="G12" s="165" t="s">
        <v>430</v>
      </c>
      <c r="H12" s="140"/>
      <c r="I12" s="140"/>
      <c r="J12" s="140"/>
      <c r="K12" s="140"/>
      <c r="L12" s="140"/>
      <c r="M12" s="140"/>
      <c r="N12" s="140"/>
      <c r="O12" s="140"/>
      <c r="P12" s="140"/>
      <c r="Q12" s="140"/>
      <c r="R12" s="140"/>
      <c r="S12" s="140"/>
      <c r="T12" s="141"/>
      <c r="U12" s="185" t="s">
        <v>439</v>
      </c>
      <c r="V12" s="185"/>
      <c r="W12" s="185"/>
      <c r="X12" s="185" t="s">
        <v>438</v>
      </c>
      <c r="Y12" s="185"/>
      <c r="Z12" s="185"/>
    </row>
    <row r="13" spans="2:28" s="7" customFormat="1" ht="17.100000000000001" customHeight="1">
      <c r="B13" s="10"/>
      <c r="C13" s="169"/>
      <c r="D13" s="169"/>
      <c r="E13" s="169"/>
      <c r="F13" s="169"/>
      <c r="G13" s="142"/>
      <c r="H13" s="143"/>
      <c r="I13" s="143"/>
      <c r="J13" s="143"/>
      <c r="K13" s="143"/>
      <c r="L13" s="143"/>
      <c r="M13" s="143"/>
      <c r="N13" s="143"/>
      <c r="O13" s="143"/>
      <c r="P13" s="143"/>
      <c r="Q13" s="143"/>
      <c r="R13" s="143"/>
      <c r="S13" s="143"/>
      <c r="T13" s="144"/>
      <c r="U13" s="185"/>
      <c r="V13" s="185"/>
      <c r="W13" s="185"/>
      <c r="X13" s="185"/>
      <c r="Y13" s="185"/>
      <c r="Z13" s="185"/>
    </row>
    <row r="14" spans="2:28" s="7" customFormat="1" ht="17.100000000000001" customHeight="1">
      <c r="B14" s="10"/>
      <c r="C14" s="169"/>
      <c r="D14" s="169"/>
      <c r="E14" s="169"/>
      <c r="F14" s="169"/>
      <c r="G14" s="142"/>
      <c r="H14" s="143"/>
      <c r="I14" s="143"/>
      <c r="J14" s="143"/>
      <c r="K14" s="143"/>
      <c r="L14" s="143"/>
      <c r="M14" s="143"/>
      <c r="N14" s="143"/>
      <c r="O14" s="143"/>
      <c r="P14" s="143"/>
      <c r="Q14" s="143"/>
      <c r="R14" s="143"/>
      <c r="S14" s="143"/>
      <c r="T14" s="144"/>
      <c r="U14" s="185"/>
      <c r="V14" s="185"/>
      <c r="W14" s="185"/>
      <c r="X14" s="185"/>
      <c r="Y14" s="185"/>
      <c r="Z14" s="185"/>
    </row>
    <row r="15" spans="2:28" s="7" customFormat="1" ht="17.100000000000001" customHeight="1">
      <c r="B15" s="10"/>
      <c r="C15" s="169"/>
      <c r="D15" s="169"/>
      <c r="E15" s="169"/>
      <c r="F15" s="169"/>
      <c r="G15" s="145"/>
      <c r="H15" s="146"/>
      <c r="I15" s="146"/>
      <c r="J15" s="146"/>
      <c r="K15" s="146"/>
      <c r="L15" s="146"/>
      <c r="M15" s="146"/>
      <c r="N15" s="146"/>
      <c r="O15" s="146"/>
      <c r="P15" s="146"/>
      <c r="Q15" s="146"/>
      <c r="R15" s="146"/>
      <c r="S15" s="146"/>
      <c r="T15" s="147"/>
      <c r="U15" s="185"/>
      <c r="V15" s="185"/>
      <c r="W15" s="185"/>
      <c r="X15" s="185"/>
      <c r="Y15" s="185"/>
      <c r="Z15" s="185"/>
    </row>
    <row r="16" spans="2:28" s="7" customFormat="1" ht="17.100000000000001" customHeight="1">
      <c r="B16" s="11"/>
      <c r="C16" s="169"/>
      <c r="D16" s="169"/>
      <c r="E16" s="169"/>
      <c r="F16" s="169"/>
      <c r="G16" s="186" t="s">
        <v>354</v>
      </c>
      <c r="H16" s="187"/>
      <c r="I16" s="187"/>
      <c r="J16" s="187"/>
      <c r="K16" s="188"/>
      <c r="L16" s="124">
        <v>21038</v>
      </c>
      <c r="M16" s="125"/>
      <c r="N16" s="125"/>
      <c r="O16" s="125"/>
      <c r="P16" s="125"/>
      <c r="Q16" s="125"/>
      <c r="R16" s="125"/>
      <c r="S16" s="125"/>
      <c r="T16" s="126"/>
      <c r="U16" s="185"/>
      <c r="V16" s="185"/>
      <c r="W16" s="185"/>
      <c r="X16" s="185"/>
      <c r="Y16" s="185"/>
      <c r="Z16" s="185"/>
    </row>
    <row r="17" spans="2:26" s="7" customFormat="1" ht="15.75" customHeight="1">
      <c r="B17" s="11"/>
      <c r="E17" s="12"/>
      <c r="L17" s="11"/>
    </row>
    <row r="18" spans="2:26" s="13" customFormat="1" ht="16.5">
      <c r="C18" s="14" t="s">
        <v>355</v>
      </c>
      <c r="D18" s="14"/>
      <c r="E18" s="14"/>
      <c r="F18" s="14"/>
      <c r="G18" s="14"/>
      <c r="H18" s="14"/>
      <c r="I18" s="14"/>
      <c r="J18" s="14"/>
      <c r="K18" s="14"/>
      <c r="L18" s="14"/>
      <c r="M18" s="14"/>
      <c r="N18" s="14"/>
      <c r="O18" s="14"/>
      <c r="P18" s="14"/>
      <c r="Q18" s="14"/>
      <c r="R18" s="14"/>
      <c r="S18" s="14"/>
      <c r="T18" s="14"/>
      <c r="U18" s="14"/>
      <c r="V18" s="14"/>
      <c r="W18" s="14"/>
      <c r="X18" s="14"/>
      <c r="Y18" s="14"/>
      <c r="Z18" s="14"/>
    </row>
    <row r="19" spans="2:26" ht="54.75" customHeight="1">
      <c r="C19" s="166" t="s">
        <v>356</v>
      </c>
      <c r="D19" s="166"/>
      <c r="E19" s="166"/>
      <c r="F19" s="166"/>
      <c r="G19" s="167" t="s">
        <v>425</v>
      </c>
      <c r="H19" s="167"/>
      <c r="I19" s="167"/>
      <c r="J19" s="167"/>
      <c r="K19" s="167"/>
      <c r="L19" s="167"/>
      <c r="M19" s="167"/>
      <c r="N19" s="167"/>
      <c r="O19" s="167"/>
      <c r="P19" s="167"/>
      <c r="Q19" s="167"/>
      <c r="R19" s="167"/>
      <c r="S19" s="167"/>
      <c r="T19" s="167"/>
      <c r="U19" s="167"/>
      <c r="V19" s="167"/>
      <c r="W19" s="167"/>
      <c r="X19" s="167"/>
      <c r="Y19" s="167"/>
      <c r="Z19" s="167"/>
    </row>
    <row r="20" spans="2:26" ht="16.5">
      <c r="C20" s="152" t="s">
        <v>357</v>
      </c>
      <c r="D20" s="152"/>
      <c r="E20" s="152"/>
      <c r="F20" s="152"/>
      <c r="G20" s="153" t="s">
        <v>296</v>
      </c>
      <c r="H20" s="153"/>
      <c r="I20" s="153"/>
      <c r="J20" s="153"/>
      <c r="K20" s="154" t="s">
        <v>109</v>
      </c>
      <c r="L20" s="155"/>
      <c r="M20" s="156"/>
      <c r="N20" s="157" t="s">
        <v>335</v>
      </c>
      <c r="O20" s="157"/>
      <c r="P20" s="157"/>
      <c r="Q20" s="157"/>
      <c r="R20" s="157"/>
      <c r="S20" s="157"/>
      <c r="T20" s="157"/>
    </row>
    <row r="21" spans="2:26" ht="27.75" customHeight="1">
      <c r="C21" s="158" t="s">
        <v>358</v>
      </c>
      <c r="D21" s="159"/>
      <c r="E21" s="159"/>
      <c r="F21" s="160"/>
      <c r="G21" s="161" t="s">
        <v>297</v>
      </c>
      <c r="H21" s="153"/>
      <c r="I21" s="153"/>
      <c r="J21" s="153"/>
      <c r="K21" s="154" t="s">
        <v>359</v>
      </c>
      <c r="L21" s="155"/>
      <c r="M21" s="156"/>
      <c r="N21" s="162" t="s">
        <v>298</v>
      </c>
      <c r="O21" s="163"/>
      <c r="P21" s="163"/>
      <c r="Q21" s="163"/>
      <c r="R21" s="163"/>
      <c r="S21" s="163"/>
      <c r="T21" s="164"/>
    </row>
    <row r="22" spans="2:26" s="13" customFormat="1" ht="16.5">
      <c r="C22" s="16" t="s">
        <v>360</v>
      </c>
      <c r="D22" s="16"/>
      <c r="E22" s="16"/>
      <c r="F22" s="16"/>
      <c r="G22" s="17"/>
      <c r="H22" s="18"/>
      <c r="I22" s="18"/>
      <c r="J22" s="18"/>
      <c r="K22" s="18"/>
      <c r="L22" s="18"/>
      <c r="M22" s="18"/>
      <c r="N22" s="18"/>
      <c r="O22" s="17"/>
      <c r="P22" s="17"/>
      <c r="Q22" s="19"/>
      <c r="R22" s="19"/>
      <c r="S22" s="19"/>
      <c r="T22" s="19"/>
      <c r="U22" s="19"/>
      <c r="V22" s="19"/>
      <c r="W22" s="19"/>
      <c r="X22" s="19"/>
      <c r="Y22" s="19"/>
      <c r="Z22" s="19"/>
    </row>
    <row r="23" spans="2:26" ht="31.5" customHeight="1">
      <c r="C23" s="201" t="s">
        <v>361</v>
      </c>
      <c r="D23" s="202"/>
      <c r="E23" s="202"/>
      <c r="F23" s="203"/>
      <c r="G23" s="194" t="s">
        <v>362</v>
      </c>
      <c r="H23" s="195"/>
      <c r="I23" s="207"/>
      <c r="J23" s="207"/>
      <c r="K23" s="208" t="s">
        <v>363</v>
      </c>
      <c r="L23" s="209"/>
      <c r="M23" s="207"/>
      <c r="N23" s="207"/>
      <c r="O23" s="208" t="s">
        <v>364</v>
      </c>
      <c r="P23" s="209"/>
      <c r="Q23" s="189"/>
      <c r="R23" s="190"/>
      <c r="S23" s="191" t="s">
        <v>365</v>
      </c>
      <c r="T23" s="192"/>
      <c r="U23" s="189" t="s">
        <v>433</v>
      </c>
      <c r="V23" s="193"/>
      <c r="W23" s="193"/>
      <c r="X23" s="193"/>
      <c r="Y23" s="193"/>
      <c r="Z23" s="190"/>
    </row>
    <row r="24" spans="2:26" ht="36" customHeight="1">
      <c r="C24" s="204"/>
      <c r="D24" s="205"/>
      <c r="E24" s="205"/>
      <c r="F24" s="206"/>
      <c r="G24" s="194" t="s">
        <v>366</v>
      </c>
      <c r="H24" s="195"/>
      <c r="I24" s="196" t="s">
        <v>434</v>
      </c>
      <c r="J24" s="196"/>
      <c r="K24" s="196"/>
      <c r="L24" s="196"/>
      <c r="M24" s="196"/>
      <c r="N24" s="196"/>
      <c r="O24" s="196"/>
      <c r="P24" s="196"/>
      <c r="Q24" s="196"/>
      <c r="R24" s="196"/>
      <c r="S24" s="196"/>
      <c r="T24" s="196"/>
      <c r="U24" s="196"/>
      <c r="V24" s="196"/>
      <c r="W24" s="196"/>
      <c r="X24" s="196"/>
      <c r="Y24" s="196"/>
      <c r="Z24" s="196"/>
    </row>
    <row r="25" spans="2:26" ht="61.5" customHeight="1">
      <c r="C25" s="166" t="s">
        <v>367</v>
      </c>
      <c r="D25" s="166"/>
      <c r="E25" s="166"/>
      <c r="F25" s="166"/>
      <c r="G25" s="197" t="s">
        <v>368</v>
      </c>
      <c r="H25" s="198"/>
      <c r="I25" s="199"/>
      <c r="J25" s="199"/>
      <c r="K25" s="194" t="s">
        <v>369</v>
      </c>
      <c r="L25" s="195"/>
      <c r="M25" s="200"/>
      <c r="N25" s="200"/>
      <c r="O25" s="197" t="s">
        <v>370</v>
      </c>
      <c r="P25" s="198"/>
      <c r="Q25" s="210"/>
      <c r="R25" s="211"/>
      <c r="S25" s="197" t="s">
        <v>371</v>
      </c>
      <c r="T25" s="197"/>
      <c r="U25" s="157"/>
      <c r="V25" s="157"/>
      <c r="W25" s="97" t="s">
        <v>372</v>
      </c>
      <c r="X25" s="212" t="s">
        <v>373</v>
      </c>
      <c r="Y25" s="213"/>
      <c r="Z25" s="214"/>
    </row>
    <row r="26" spans="2:26" ht="61.5" customHeight="1">
      <c r="C26" s="217" t="s">
        <v>374</v>
      </c>
      <c r="D26" s="221"/>
      <c r="E26" s="221"/>
      <c r="F26" s="218"/>
      <c r="G26" s="222" t="s">
        <v>375</v>
      </c>
      <c r="H26" s="223"/>
      <c r="I26" s="224" t="s">
        <v>436</v>
      </c>
      <c r="J26" s="224"/>
      <c r="K26" s="197" t="s">
        <v>376</v>
      </c>
      <c r="L26" s="198"/>
      <c r="M26" s="224" t="s">
        <v>436</v>
      </c>
      <c r="N26" s="224"/>
      <c r="O26" s="197" t="s">
        <v>377</v>
      </c>
      <c r="P26" s="197"/>
      <c r="Q26" s="157">
        <v>2</v>
      </c>
      <c r="R26" s="157"/>
      <c r="S26" s="197" t="s">
        <v>378</v>
      </c>
      <c r="T26" s="198"/>
      <c r="U26" s="225">
        <f>SUM(Z35:Z39)</f>
        <v>0.05</v>
      </c>
      <c r="V26" s="225"/>
      <c r="W26" s="20"/>
      <c r="X26" s="21"/>
      <c r="Y26" s="21"/>
      <c r="Z26" s="21"/>
    </row>
    <row r="27" spans="2:26" ht="16.5">
      <c r="C27" s="15" t="s">
        <v>379</v>
      </c>
    </row>
    <row r="28" spans="2:26" ht="69.75" customHeight="1">
      <c r="C28" s="232" t="s">
        <v>380</v>
      </c>
      <c r="D28" s="233"/>
      <c r="E28" s="233"/>
      <c r="F28" s="233"/>
      <c r="G28" s="234"/>
      <c r="H28" s="217" t="s">
        <v>381</v>
      </c>
      <c r="I28" s="238"/>
      <c r="J28" s="238"/>
      <c r="K28" s="238"/>
      <c r="L28" s="238"/>
      <c r="M28" s="239"/>
      <c r="N28" s="154" t="s">
        <v>382</v>
      </c>
      <c r="O28" s="240"/>
      <c r="P28" s="240"/>
      <c r="Q28" s="240"/>
      <c r="R28" s="240"/>
      <c r="S28" s="241"/>
      <c r="U28" s="118" t="s">
        <v>383</v>
      </c>
      <c r="V28" s="118" t="s">
        <v>384</v>
      </c>
      <c r="W28" s="215" t="s">
        <v>385</v>
      </c>
      <c r="X28" s="216"/>
      <c r="Y28" s="215" t="s">
        <v>386</v>
      </c>
      <c r="Z28" s="216"/>
    </row>
    <row r="29" spans="2:26" ht="39" customHeight="1">
      <c r="C29" s="235"/>
      <c r="D29" s="236"/>
      <c r="E29" s="236"/>
      <c r="F29" s="236"/>
      <c r="G29" s="237"/>
      <c r="H29" s="217" t="s">
        <v>387</v>
      </c>
      <c r="I29" s="218"/>
      <c r="J29" s="197" t="s">
        <v>388</v>
      </c>
      <c r="K29" s="198"/>
      <c r="L29" s="197" t="s">
        <v>389</v>
      </c>
      <c r="M29" s="198"/>
      <c r="N29" s="154" t="s">
        <v>387</v>
      </c>
      <c r="O29" s="156"/>
      <c r="P29" s="219" t="s">
        <v>388</v>
      </c>
      <c r="Q29" s="220"/>
      <c r="R29" s="219" t="s">
        <v>389</v>
      </c>
      <c r="S29" s="220"/>
      <c r="U29" s="119">
        <f>SUMIF($V$34:$V$40,$V29,T$34:T$40)</f>
        <v>0.2</v>
      </c>
      <c r="V29" s="118" t="s">
        <v>390</v>
      </c>
      <c r="W29" s="119">
        <f t="shared" ref="W29:Z31" si="0">SUMIF($V$34:$V$40,$V29,W$34:W$40)</f>
        <v>7.8400000000000011E-2</v>
      </c>
      <c r="X29" s="119">
        <f t="shared" si="0"/>
        <v>0</v>
      </c>
      <c r="Y29" s="120">
        <f t="shared" si="0"/>
        <v>4.2653017701002348E-2</v>
      </c>
      <c r="Z29" s="120">
        <f t="shared" si="0"/>
        <v>0.05</v>
      </c>
    </row>
    <row r="30" spans="2:26" ht="31.5" customHeight="1">
      <c r="C30" s="217" t="s">
        <v>391</v>
      </c>
      <c r="D30" s="221"/>
      <c r="E30" s="221"/>
      <c r="F30" s="221"/>
      <c r="G30" s="218"/>
      <c r="H30" s="230">
        <v>0.39200000000000002</v>
      </c>
      <c r="I30" s="230"/>
      <c r="J30" s="231" t="s">
        <v>299</v>
      </c>
      <c r="K30" s="231"/>
      <c r="L30" s="231" t="s">
        <v>299</v>
      </c>
      <c r="M30" s="231"/>
      <c r="N30" s="226">
        <f>IFERROR(SUMIF(V34:V40,"Page",X34:X40)/SUMIF(V34:V40,"Page",T34:U40),0)</f>
        <v>0</v>
      </c>
      <c r="O30" s="226"/>
      <c r="P30" s="226">
        <f>IFERROR(SUMIF(V34:V40,"Line",X34:X40)/SUMIF(V34:V40,"Line",T34:U40),0)</f>
        <v>0</v>
      </c>
      <c r="Q30" s="226"/>
      <c r="R30" s="226">
        <f>IFERROR(SUMIF(V34:V40,"Number",X34:X40)/SUMIF(V34:V40,"Number",T34:U40),0)</f>
        <v>0</v>
      </c>
      <c r="S30" s="226"/>
      <c r="U30" s="119">
        <f>SUMIF($V$34:$V$40,$V30,T$34:T$40)</f>
        <v>0</v>
      </c>
      <c r="V30" s="118" t="s">
        <v>392</v>
      </c>
      <c r="W30" s="119">
        <f t="shared" si="0"/>
        <v>0</v>
      </c>
      <c r="X30" s="119">
        <f t="shared" si="0"/>
        <v>0</v>
      </c>
      <c r="Y30" s="120">
        <f t="shared" si="0"/>
        <v>0</v>
      </c>
      <c r="Z30" s="120">
        <f t="shared" si="0"/>
        <v>0</v>
      </c>
    </row>
    <row r="31" spans="2:26" ht="35.25" customHeight="1">
      <c r="C31" s="217" t="s">
        <v>393</v>
      </c>
      <c r="D31" s="221"/>
      <c r="E31" s="221"/>
      <c r="F31" s="221"/>
      <c r="G31" s="218"/>
      <c r="H31" s="227">
        <v>4.6890000000000001</v>
      </c>
      <c r="I31" s="227"/>
      <c r="J31" s="228" t="s">
        <v>299</v>
      </c>
      <c r="K31" s="228"/>
      <c r="L31" s="228" t="s">
        <v>299</v>
      </c>
      <c r="M31" s="228"/>
      <c r="N31" s="229">
        <f>IFERROR(SUMIF(V34:V40,"Page",T34:U40)/SUMIF(V34:V40,"Page",Z34:Z40),0)</f>
        <v>4</v>
      </c>
      <c r="O31" s="229"/>
      <c r="P31" s="229">
        <f>IFERROR(SUMIF(V34:V40,"Line",T34:U40)/SUMIF(V34:V40,"Line",Z34:Z40),0)</f>
        <v>0</v>
      </c>
      <c r="Q31" s="229"/>
      <c r="R31" s="229">
        <f>IFERROR(SUMIF(V34:V40,"Number",T34:U40)/SUMIF(V34:V40,"Number",Z34:Z40),0)</f>
        <v>0</v>
      </c>
      <c r="S31" s="229"/>
      <c r="U31" s="119">
        <f>SUMIF($V$34:$V$40,$V31,T$34:T$40)</f>
        <v>0</v>
      </c>
      <c r="V31" s="118" t="s">
        <v>394</v>
      </c>
      <c r="W31" s="119">
        <f t="shared" si="0"/>
        <v>0</v>
      </c>
      <c r="X31" s="119">
        <f t="shared" si="0"/>
        <v>0</v>
      </c>
      <c r="Y31" s="120">
        <f t="shared" si="0"/>
        <v>0</v>
      </c>
      <c r="Z31" s="120">
        <f t="shared" si="0"/>
        <v>0</v>
      </c>
    </row>
    <row r="32" spans="2:26" ht="16.5">
      <c r="C32" s="14" t="s">
        <v>395</v>
      </c>
      <c r="D32" s="14"/>
      <c r="E32" s="14"/>
      <c r="F32" s="14"/>
      <c r="G32" s="14"/>
      <c r="H32" s="14"/>
      <c r="I32" s="14"/>
      <c r="J32" s="14"/>
      <c r="K32" s="14"/>
      <c r="L32" s="14"/>
      <c r="M32" s="14"/>
      <c r="N32" s="14"/>
      <c r="O32" s="14"/>
      <c r="P32" s="14"/>
      <c r="Q32" s="14"/>
      <c r="R32" s="14"/>
      <c r="S32" s="14"/>
      <c r="T32" s="14"/>
      <c r="U32" s="14"/>
      <c r="V32" s="14"/>
      <c r="W32" s="22"/>
      <c r="X32" s="22"/>
      <c r="Y32" s="22"/>
      <c r="Z32" s="22"/>
    </row>
    <row r="33" spans="3:64" ht="39" customHeight="1">
      <c r="C33" s="201" t="s">
        <v>396</v>
      </c>
      <c r="D33" s="256"/>
      <c r="E33" s="201" t="s">
        <v>397</v>
      </c>
      <c r="F33" s="259"/>
      <c r="G33" s="259"/>
      <c r="H33" s="259"/>
      <c r="I33" s="259"/>
      <c r="J33" s="259"/>
      <c r="K33" s="256"/>
      <c r="L33" s="261" t="s">
        <v>398</v>
      </c>
      <c r="M33" s="262"/>
      <c r="N33" s="262"/>
      <c r="O33" s="262"/>
      <c r="P33" s="263"/>
      <c r="Q33" s="261" t="s">
        <v>399</v>
      </c>
      <c r="R33" s="262"/>
      <c r="S33" s="263"/>
      <c r="T33" s="267" t="s">
        <v>400</v>
      </c>
      <c r="U33" s="268"/>
      <c r="V33" s="271" t="s">
        <v>401</v>
      </c>
      <c r="W33" s="242" t="s">
        <v>402</v>
      </c>
      <c r="X33" s="243"/>
      <c r="Y33" s="242" t="s">
        <v>403</v>
      </c>
      <c r="Z33" s="243"/>
      <c r="BL33" s="15" t="s">
        <v>404</v>
      </c>
    </row>
    <row r="34" spans="3:64" ht="46.5" customHeight="1">
      <c r="C34" s="257"/>
      <c r="D34" s="258"/>
      <c r="E34" s="257"/>
      <c r="F34" s="260"/>
      <c r="G34" s="260"/>
      <c r="H34" s="260"/>
      <c r="I34" s="260"/>
      <c r="J34" s="260"/>
      <c r="K34" s="258"/>
      <c r="L34" s="264"/>
      <c r="M34" s="265"/>
      <c r="N34" s="265"/>
      <c r="O34" s="265"/>
      <c r="P34" s="266"/>
      <c r="Q34" s="264"/>
      <c r="R34" s="265"/>
      <c r="S34" s="266"/>
      <c r="T34" s="269"/>
      <c r="U34" s="270"/>
      <c r="V34" s="272"/>
      <c r="W34" s="99" t="s">
        <v>405</v>
      </c>
      <c r="X34" s="98" t="s">
        <v>406</v>
      </c>
      <c r="Y34" s="99" t="s">
        <v>405</v>
      </c>
      <c r="Z34" s="99" t="s">
        <v>406</v>
      </c>
    </row>
    <row r="35" spans="3:64">
      <c r="C35" s="244">
        <v>1</v>
      </c>
      <c r="D35" s="218"/>
      <c r="E35" s="245" t="s">
        <v>300</v>
      </c>
      <c r="F35" s="246"/>
      <c r="G35" s="246"/>
      <c r="H35" s="246"/>
      <c r="I35" s="246"/>
      <c r="J35" s="246"/>
      <c r="K35" s="247"/>
      <c r="L35" s="248" t="s">
        <v>432</v>
      </c>
      <c r="M35" s="249"/>
      <c r="N35" s="249"/>
      <c r="O35" s="249"/>
      <c r="P35" s="250"/>
      <c r="Q35" s="251" t="s">
        <v>437</v>
      </c>
      <c r="R35" s="252"/>
      <c r="S35" s="253"/>
      <c r="T35" s="254">
        <v>0.2</v>
      </c>
      <c r="U35" s="255"/>
      <c r="V35" s="55" t="s">
        <v>301</v>
      </c>
      <c r="W35" s="23">
        <f t="shared" ref="W35" si="1">IF(V35="Page",$H$30*T35,IF(V35="Line",$J$30*T35,IF(V35="Number",$L$30*T35,"")))</f>
        <v>7.8400000000000011E-2</v>
      </c>
      <c r="X35" s="24">
        <f t="shared" ref="X35:X40" si="2">COUNTIF(AA$44:AA$54,C35)</f>
        <v>0</v>
      </c>
      <c r="Y35" s="23">
        <f>IFERROR(IF(V35="Page",T35/H31,IF(V35="Line",T35/H31,IF(V35="Number",T35/H31,""))),"")</f>
        <v>4.2653017701002348E-2</v>
      </c>
      <c r="Z35" s="56">
        <f>(0.08+0.02)/2</f>
        <v>0.05</v>
      </c>
    </row>
    <row r="36" spans="3:64">
      <c r="C36" s="244">
        <v>2</v>
      </c>
      <c r="D36" s="218"/>
      <c r="E36" s="248"/>
      <c r="F36" s="249"/>
      <c r="G36" s="249"/>
      <c r="H36" s="249"/>
      <c r="I36" s="249"/>
      <c r="J36" s="249"/>
      <c r="K36" s="250"/>
      <c r="L36" s="248"/>
      <c r="M36" s="249"/>
      <c r="N36" s="249"/>
      <c r="O36" s="249"/>
      <c r="P36" s="250"/>
      <c r="Q36" s="251"/>
      <c r="R36" s="273"/>
      <c r="S36" s="274"/>
      <c r="T36" s="254"/>
      <c r="U36" s="255"/>
      <c r="V36" s="55" t="s">
        <v>2</v>
      </c>
      <c r="W36" s="23" t="str">
        <f>IF(V36="Page",#REF!*T36,IF(V36="Line",#REF!*T36,IF(V36="Number",#REF!*T36,"")))</f>
        <v/>
      </c>
      <c r="X36" s="24">
        <f t="shared" si="2"/>
        <v>0</v>
      </c>
      <c r="Y36" s="23" t="str">
        <f>IFERROR(IF(V36="Page",T36/#REF!,IF(V36="Line",T36/#REF!,IF(V36="Number",T36/#REF!,""))),"")</f>
        <v/>
      </c>
      <c r="Z36" s="56"/>
    </row>
    <row r="37" spans="3:64">
      <c r="C37" s="244">
        <v>3</v>
      </c>
      <c r="D37" s="218"/>
      <c r="E37" s="248"/>
      <c r="F37" s="249"/>
      <c r="G37" s="249"/>
      <c r="H37" s="249"/>
      <c r="I37" s="249"/>
      <c r="J37" s="249"/>
      <c r="K37" s="250"/>
      <c r="L37" s="248"/>
      <c r="M37" s="249"/>
      <c r="N37" s="249"/>
      <c r="O37" s="249"/>
      <c r="P37" s="250"/>
      <c r="Q37" s="251"/>
      <c r="R37" s="273"/>
      <c r="S37" s="274"/>
      <c r="T37" s="254"/>
      <c r="U37" s="255"/>
      <c r="V37" s="55" t="s">
        <v>2</v>
      </c>
      <c r="W37" s="23" t="str">
        <f>IF(V37="Page",#REF!*T37,IF(V37="Line",#REF!*T37,IF(V37="Number",#REF!*T37,"")))</f>
        <v/>
      </c>
      <c r="X37" s="24">
        <f t="shared" si="2"/>
        <v>0</v>
      </c>
      <c r="Y37" s="23" t="str">
        <f>IFERROR(IF(V37="Page",T37/#REF!,IF(V37="Line",T37/#REF!,IF(V37="Number",T37/#REF!,""))),"")</f>
        <v/>
      </c>
      <c r="Z37" s="56"/>
    </row>
    <row r="38" spans="3:64">
      <c r="C38" s="244">
        <v>4</v>
      </c>
      <c r="D38" s="218"/>
      <c r="E38" s="248"/>
      <c r="F38" s="249"/>
      <c r="G38" s="249"/>
      <c r="H38" s="249"/>
      <c r="I38" s="249"/>
      <c r="J38" s="249"/>
      <c r="K38" s="250"/>
      <c r="L38" s="248"/>
      <c r="M38" s="249"/>
      <c r="N38" s="249"/>
      <c r="O38" s="249"/>
      <c r="P38" s="250"/>
      <c r="Q38" s="251"/>
      <c r="R38" s="273"/>
      <c r="S38" s="274"/>
      <c r="T38" s="277"/>
      <c r="U38" s="278"/>
      <c r="V38" s="55" t="s">
        <v>2</v>
      </c>
      <c r="W38" s="23" t="str">
        <f>IF(V38="Page",#REF!*T38,IF(V38="Line",#REF!*T38,IF(V38="Number",#REF!*T38,"")))</f>
        <v/>
      </c>
      <c r="X38" s="24">
        <f t="shared" si="2"/>
        <v>0</v>
      </c>
      <c r="Y38" s="23" t="str">
        <f>IFERROR(IF(V38="Page",T38/#REF!,IF(V38="Line",T38/#REF!,IF(V38="Number",T38/#REF!,""))),"")</f>
        <v/>
      </c>
      <c r="Z38" s="56"/>
    </row>
    <row r="39" spans="3:64">
      <c r="C39" s="244">
        <v>5</v>
      </c>
      <c r="D39" s="218"/>
      <c r="E39" s="248"/>
      <c r="F39" s="249"/>
      <c r="G39" s="249"/>
      <c r="H39" s="249"/>
      <c r="I39" s="249"/>
      <c r="J39" s="249"/>
      <c r="K39" s="250"/>
      <c r="L39" s="248"/>
      <c r="M39" s="249"/>
      <c r="N39" s="249"/>
      <c r="O39" s="249"/>
      <c r="P39" s="250"/>
      <c r="Q39" s="251"/>
      <c r="R39" s="273"/>
      <c r="S39" s="274"/>
      <c r="T39" s="277"/>
      <c r="U39" s="278"/>
      <c r="V39" s="55" t="s">
        <v>2</v>
      </c>
      <c r="W39" s="23" t="str">
        <f>IF(V39="Page",#REF!*T39,IF(V39="Line",#REF!*T39,IF(V39="Number",#REF!*T39,"")))</f>
        <v/>
      </c>
      <c r="X39" s="24">
        <f t="shared" si="2"/>
        <v>0</v>
      </c>
      <c r="Y39" s="23" t="str">
        <f>IFERROR(IF(V39="Page",T39/#REF!,IF(V39="Line",T39/#REF!,IF(V39="Number",T39/#REF!,""))),"")</f>
        <v/>
      </c>
      <c r="Z39" s="56"/>
    </row>
    <row r="40" spans="3:64" ht="9.9499999999999993" customHeight="1">
      <c r="C40" s="279"/>
      <c r="D40" s="279"/>
      <c r="E40" s="280"/>
      <c r="F40" s="280"/>
      <c r="G40" s="280"/>
      <c r="H40" s="280"/>
      <c r="I40" s="280"/>
      <c r="J40" s="280"/>
      <c r="K40" s="280"/>
      <c r="L40" s="280"/>
      <c r="M40" s="280"/>
      <c r="N40" s="280"/>
      <c r="O40" s="280"/>
      <c r="P40" s="280"/>
      <c r="Q40" s="275"/>
      <c r="R40" s="275"/>
      <c r="S40" s="275"/>
      <c r="T40" s="276"/>
      <c r="U40" s="276"/>
      <c r="V40" s="25"/>
      <c r="W40" s="26" t="str">
        <f>IF(V40="Page",#REF!*T40,IF(V40="Line",#REF!*T40,IF(V40="Number",#REF!*T40,"")))</f>
        <v/>
      </c>
      <c r="X40" s="27">
        <f t="shared" si="2"/>
        <v>0</v>
      </c>
      <c r="Y40" s="26" t="str">
        <f>IFERROR(IF(V40="Page",T40/#REF!,IF(V40="Line",T40/#REF!,IF(V40="Number",T40/#REF!,""))),"")</f>
        <v/>
      </c>
      <c r="Z40" s="26"/>
    </row>
    <row r="41" spans="3:64" s="13" customFormat="1" ht="18" customHeight="1">
      <c r="C41" s="13" t="s">
        <v>407</v>
      </c>
    </row>
    <row r="42" spans="3:64" ht="28.5" customHeight="1">
      <c r="C42" s="166" t="s">
        <v>3</v>
      </c>
      <c r="D42" s="166" t="s">
        <v>408</v>
      </c>
      <c r="E42" s="166"/>
      <c r="F42" s="166" t="s">
        <v>409</v>
      </c>
      <c r="G42" s="197" t="s">
        <v>410</v>
      </c>
      <c r="H42" s="219" t="s">
        <v>411</v>
      </c>
      <c r="I42" s="219"/>
      <c r="J42" s="219"/>
      <c r="K42" s="219"/>
      <c r="L42" s="219"/>
      <c r="M42" s="219"/>
      <c r="N42" s="219"/>
      <c r="O42" s="197" t="s">
        <v>412</v>
      </c>
      <c r="P42" s="197" t="s">
        <v>413</v>
      </c>
      <c r="Q42" s="197" t="s">
        <v>414</v>
      </c>
      <c r="R42" s="197"/>
      <c r="S42" s="219" t="s">
        <v>415</v>
      </c>
      <c r="T42" s="219"/>
      <c r="U42" s="219"/>
      <c r="V42" s="219"/>
      <c r="W42" s="219"/>
      <c r="X42" s="197" t="s">
        <v>416</v>
      </c>
      <c r="Y42" s="197" t="s">
        <v>417</v>
      </c>
      <c r="Z42" s="197"/>
    </row>
    <row r="43" spans="3:64" s="28" customFormat="1" ht="102.75" customHeight="1">
      <c r="C43" s="166"/>
      <c r="D43" s="98" t="s">
        <v>418</v>
      </c>
      <c r="E43" s="98" t="s">
        <v>419</v>
      </c>
      <c r="F43" s="166"/>
      <c r="G43" s="197"/>
      <c r="H43" s="219"/>
      <c r="I43" s="219"/>
      <c r="J43" s="219"/>
      <c r="K43" s="219"/>
      <c r="L43" s="219"/>
      <c r="M43" s="219"/>
      <c r="N43" s="219"/>
      <c r="O43" s="197"/>
      <c r="P43" s="197"/>
      <c r="Q43" s="197"/>
      <c r="R43" s="197"/>
      <c r="S43" s="219"/>
      <c r="T43" s="219"/>
      <c r="U43" s="219"/>
      <c r="V43" s="219"/>
      <c r="W43" s="219"/>
      <c r="X43" s="197"/>
      <c r="Y43" s="197"/>
      <c r="Z43" s="197"/>
    </row>
    <row r="44" spans="3:64" ht="39.75" customHeight="1">
      <c r="C44" s="29">
        <v>1</v>
      </c>
      <c r="D44" s="30">
        <v>1</v>
      </c>
      <c r="E44" s="121" t="s">
        <v>167</v>
      </c>
      <c r="F44" s="30" t="s">
        <v>434</v>
      </c>
      <c r="G44" s="30" t="s">
        <v>427</v>
      </c>
      <c r="H44" s="281" t="s">
        <v>428</v>
      </c>
      <c r="I44" s="281"/>
      <c r="J44" s="281"/>
      <c r="K44" s="281"/>
      <c r="L44" s="281"/>
      <c r="M44" s="281"/>
      <c r="N44" s="281"/>
      <c r="O44" s="30" t="s">
        <v>2</v>
      </c>
      <c r="P44" s="32"/>
      <c r="Q44" s="282"/>
      <c r="R44" s="282"/>
      <c r="S44" s="283"/>
      <c r="T44" s="283"/>
      <c r="U44" s="283"/>
      <c r="V44" s="283"/>
      <c r="W44" s="283"/>
      <c r="X44" s="33"/>
      <c r="Y44" s="284"/>
      <c r="Z44" s="284"/>
      <c r="AA44" s="15" t="str">
        <f>IF(G44="Issue",D44,"")</f>
        <v/>
      </c>
    </row>
    <row r="45" spans="3:64" ht="33" customHeight="1">
      <c r="C45" s="29">
        <v>2</v>
      </c>
      <c r="D45" s="30"/>
      <c r="E45" s="31"/>
      <c r="F45" s="30"/>
      <c r="G45" s="30" t="s">
        <v>2</v>
      </c>
      <c r="H45" s="281"/>
      <c r="I45" s="281"/>
      <c r="J45" s="281"/>
      <c r="K45" s="281"/>
      <c r="L45" s="281"/>
      <c r="M45" s="281"/>
      <c r="N45" s="281"/>
      <c r="O45" s="30" t="s">
        <v>2</v>
      </c>
      <c r="P45" s="32"/>
      <c r="Q45" s="282"/>
      <c r="R45" s="282"/>
      <c r="S45" s="283"/>
      <c r="T45" s="283"/>
      <c r="U45" s="283"/>
      <c r="V45" s="283"/>
      <c r="W45" s="283"/>
      <c r="X45" s="33"/>
      <c r="Y45" s="284"/>
      <c r="Z45" s="284"/>
      <c r="AA45" s="15" t="str">
        <f>IF(G45="Issue",D45,"")</f>
        <v/>
      </c>
    </row>
    <row r="46" spans="3:64" ht="45" customHeight="1">
      <c r="C46" s="29">
        <v>3</v>
      </c>
      <c r="D46" s="30"/>
      <c r="E46" s="31"/>
      <c r="F46" s="30"/>
      <c r="G46" s="30" t="s">
        <v>2</v>
      </c>
      <c r="H46" s="281"/>
      <c r="I46" s="281"/>
      <c r="J46" s="281"/>
      <c r="K46" s="281"/>
      <c r="L46" s="281"/>
      <c r="M46" s="281"/>
      <c r="N46" s="281"/>
      <c r="O46" s="30" t="s">
        <v>2</v>
      </c>
      <c r="P46" s="32"/>
      <c r="Q46" s="282"/>
      <c r="R46" s="282"/>
      <c r="S46" s="283"/>
      <c r="T46" s="283"/>
      <c r="U46" s="283"/>
      <c r="V46" s="283"/>
      <c r="W46" s="283"/>
      <c r="X46" s="33"/>
      <c r="Y46" s="284"/>
      <c r="Z46" s="284"/>
      <c r="AA46" s="15" t="str">
        <f t="shared" ref="AA46:AA53" si="3">IF(G46="Issue",D46,"")</f>
        <v/>
      </c>
    </row>
    <row r="47" spans="3:64" ht="39" customHeight="1">
      <c r="C47" s="29">
        <v>4</v>
      </c>
      <c r="D47" s="30"/>
      <c r="E47" s="31"/>
      <c r="F47" s="30"/>
      <c r="G47" s="30" t="s">
        <v>2</v>
      </c>
      <c r="H47" s="281"/>
      <c r="I47" s="281"/>
      <c r="J47" s="281"/>
      <c r="K47" s="281"/>
      <c r="L47" s="281"/>
      <c r="M47" s="281"/>
      <c r="N47" s="281"/>
      <c r="O47" s="30" t="s">
        <v>2</v>
      </c>
      <c r="P47" s="32"/>
      <c r="Q47" s="282"/>
      <c r="R47" s="282"/>
      <c r="S47" s="283"/>
      <c r="T47" s="283"/>
      <c r="U47" s="283"/>
      <c r="V47" s="283"/>
      <c r="W47" s="283"/>
      <c r="X47" s="33"/>
      <c r="Y47" s="284"/>
      <c r="Z47" s="284"/>
      <c r="AA47" s="15" t="str">
        <f t="shared" si="3"/>
        <v/>
      </c>
    </row>
    <row r="48" spans="3:64" ht="33" customHeight="1">
      <c r="C48" s="29">
        <v>5</v>
      </c>
      <c r="D48" s="30"/>
      <c r="E48" s="31"/>
      <c r="F48" s="30"/>
      <c r="G48" s="30" t="s">
        <v>2</v>
      </c>
      <c r="H48" s="281"/>
      <c r="I48" s="281"/>
      <c r="J48" s="281"/>
      <c r="K48" s="281"/>
      <c r="L48" s="281"/>
      <c r="M48" s="281"/>
      <c r="N48" s="281"/>
      <c r="O48" s="30" t="s">
        <v>2</v>
      </c>
      <c r="P48" s="32"/>
      <c r="Q48" s="282"/>
      <c r="R48" s="282"/>
      <c r="S48" s="283"/>
      <c r="T48" s="283"/>
      <c r="U48" s="283"/>
      <c r="V48" s="283"/>
      <c r="W48" s="283"/>
      <c r="X48" s="33"/>
      <c r="Y48" s="284"/>
      <c r="Z48" s="284"/>
      <c r="AA48" s="15" t="str">
        <f t="shared" si="3"/>
        <v/>
      </c>
    </row>
    <row r="49" spans="3:28" ht="33" customHeight="1">
      <c r="C49" s="29">
        <v>6</v>
      </c>
      <c r="D49" s="30"/>
      <c r="E49" s="121"/>
      <c r="F49" s="30"/>
      <c r="G49" s="30" t="s">
        <v>2</v>
      </c>
      <c r="H49" s="285"/>
      <c r="I49" s="286"/>
      <c r="J49" s="286"/>
      <c r="K49" s="286"/>
      <c r="L49" s="286"/>
      <c r="M49" s="286"/>
      <c r="N49" s="287"/>
      <c r="O49" s="30" t="s">
        <v>2</v>
      </c>
      <c r="P49" s="32"/>
      <c r="Q49" s="282"/>
      <c r="R49" s="282"/>
      <c r="S49" s="283"/>
      <c r="T49" s="283"/>
      <c r="U49" s="283"/>
      <c r="V49" s="283"/>
      <c r="W49" s="283"/>
      <c r="X49" s="33"/>
      <c r="Y49" s="284"/>
      <c r="Z49" s="284"/>
      <c r="AA49" s="15" t="str">
        <f t="shared" si="3"/>
        <v/>
      </c>
    </row>
    <row r="50" spans="3:28" ht="33" customHeight="1">
      <c r="C50" s="29">
        <v>7</v>
      </c>
      <c r="D50" s="30"/>
      <c r="E50" s="31"/>
      <c r="F50" s="30"/>
      <c r="G50" s="30" t="s">
        <v>2</v>
      </c>
      <c r="H50" s="281"/>
      <c r="I50" s="281"/>
      <c r="J50" s="281"/>
      <c r="K50" s="281"/>
      <c r="L50" s="281"/>
      <c r="M50" s="281"/>
      <c r="N50" s="281"/>
      <c r="O50" s="30" t="s">
        <v>2</v>
      </c>
      <c r="P50" s="32"/>
      <c r="Q50" s="282"/>
      <c r="R50" s="282"/>
      <c r="S50" s="283"/>
      <c r="T50" s="283"/>
      <c r="U50" s="283"/>
      <c r="V50" s="283"/>
      <c r="W50" s="283"/>
      <c r="X50" s="33"/>
      <c r="Y50" s="284"/>
      <c r="Z50" s="284"/>
      <c r="AA50" s="15" t="str">
        <f t="shared" si="3"/>
        <v/>
      </c>
    </row>
    <row r="51" spans="3:28" ht="33" customHeight="1">
      <c r="C51" s="29">
        <v>8</v>
      </c>
      <c r="D51" s="30"/>
      <c r="E51" s="31"/>
      <c r="F51" s="30"/>
      <c r="G51" s="30" t="s">
        <v>2</v>
      </c>
      <c r="H51" s="281"/>
      <c r="I51" s="281"/>
      <c r="J51" s="281"/>
      <c r="K51" s="281"/>
      <c r="L51" s="281"/>
      <c r="M51" s="281"/>
      <c r="N51" s="281"/>
      <c r="O51" s="30" t="s">
        <v>2</v>
      </c>
      <c r="P51" s="32"/>
      <c r="Q51" s="282"/>
      <c r="R51" s="282"/>
      <c r="S51" s="283"/>
      <c r="T51" s="283"/>
      <c r="U51" s="283"/>
      <c r="V51" s="283"/>
      <c r="W51" s="283"/>
      <c r="X51" s="33"/>
      <c r="Y51" s="284"/>
      <c r="Z51" s="284"/>
      <c r="AA51" s="15" t="str">
        <f t="shared" si="3"/>
        <v/>
      </c>
    </row>
    <row r="52" spans="3:28" ht="33" customHeight="1">
      <c r="C52" s="29">
        <v>9</v>
      </c>
      <c r="D52" s="30"/>
      <c r="E52" s="31"/>
      <c r="F52" s="30"/>
      <c r="G52" s="30" t="s">
        <v>2</v>
      </c>
      <c r="H52" s="281"/>
      <c r="I52" s="281"/>
      <c r="J52" s="281"/>
      <c r="K52" s="281"/>
      <c r="L52" s="281"/>
      <c r="M52" s="281"/>
      <c r="N52" s="281"/>
      <c r="O52" s="30" t="s">
        <v>2</v>
      </c>
      <c r="P52" s="32"/>
      <c r="Q52" s="282"/>
      <c r="R52" s="282"/>
      <c r="S52" s="283"/>
      <c r="T52" s="283"/>
      <c r="U52" s="283"/>
      <c r="V52" s="283"/>
      <c r="W52" s="283"/>
      <c r="X52" s="33"/>
      <c r="Y52" s="284"/>
      <c r="Z52" s="284"/>
      <c r="AA52" s="15" t="str">
        <f t="shared" si="3"/>
        <v/>
      </c>
    </row>
    <row r="53" spans="3:28" ht="33" customHeight="1">
      <c r="C53" s="29">
        <v>10</v>
      </c>
      <c r="D53" s="30"/>
      <c r="E53" s="31"/>
      <c r="F53" s="30"/>
      <c r="G53" s="30" t="s">
        <v>2</v>
      </c>
      <c r="H53" s="281"/>
      <c r="I53" s="281"/>
      <c r="J53" s="281"/>
      <c r="K53" s="281"/>
      <c r="L53" s="281"/>
      <c r="M53" s="281"/>
      <c r="N53" s="281"/>
      <c r="O53" s="30" t="s">
        <v>2</v>
      </c>
      <c r="P53" s="32"/>
      <c r="Q53" s="282"/>
      <c r="R53" s="282"/>
      <c r="S53" s="283"/>
      <c r="T53" s="283"/>
      <c r="U53" s="283"/>
      <c r="V53" s="283"/>
      <c r="W53" s="283"/>
      <c r="X53" s="33"/>
      <c r="Y53" s="284"/>
      <c r="Z53" s="284"/>
      <c r="AA53" s="15" t="str">
        <f t="shared" si="3"/>
        <v/>
      </c>
    </row>
    <row r="54" spans="3:28" ht="9.9499999999999993" customHeight="1">
      <c r="C54" s="34"/>
      <c r="D54" s="35"/>
      <c r="E54" s="36"/>
      <c r="F54" s="35"/>
      <c r="G54" s="35"/>
      <c r="H54" s="293"/>
      <c r="I54" s="293"/>
      <c r="J54" s="293"/>
      <c r="K54" s="293"/>
      <c r="L54" s="293"/>
      <c r="M54" s="293"/>
      <c r="N54" s="293"/>
      <c r="O54" s="35"/>
      <c r="P54" s="37"/>
      <c r="Q54" s="294"/>
      <c r="R54" s="294"/>
      <c r="S54" s="295"/>
      <c r="T54" s="295"/>
      <c r="U54" s="295"/>
      <c r="V54" s="295"/>
      <c r="W54" s="295"/>
      <c r="X54" s="38"/>
      <c r="Y54" s="296"/>
      <c r="Z54" s="296"/>
      <c r="AA54" s="39" t="str">
        <f>IF(G54="Issue",D54,"")</f>
        <v/>
      </c>
      <c r="AB54" s="39"/>
    </row>
    <row r="55" spans="3:28" s="13" customFormat="1" ht="16.5">
      <c r="C55" s="13" t="s">
        <v>420</v>
      </c>
    </row>
    <row r="56" spans="3:28" ht="95.25" customHeight="1">
      <c r="C56" s="197" t="s">
        <v>421</v>
      </c>
      <c r="D56" s="198"/>
      <c r="E56" s="198"/>
      <c r="F56" s="198"/>
      <c r="G56" s="198"/>
      <c r="H56" s="288" t="s">
        <v>424</v>
      </c>
      <c r="I56" s="289"/>
      <c r="J56" s="289"/>
      <c r="K56" s="289"/>
      <c r="L56" s="289"/>
      <c r="M56" s="289"/>
      <c r="N56" s="289"/>
      <c r="O56" s="289"/>
      <c r="P56" s="289"/>
      <c r="Q56" s="289"/>
      <c r="R56" s="289"/>
      <c r="S56" s="289"/>
      <c r="T56" s="289"/>
      <c r="U56" s="289"/>
      <c r="V56" s="289"/>
      <c r="W56" s="289"/>
      <c r="X56" s="289"/>
      <c r="Y56" s="289"/>
      <c r="Z56" s="289"/>
    </row>
    <row r="57" spans="3:28">
      <c r="K57" s="40"/>
      <c r="L57" s="40"/>
      <c r="M57" s="40"/>
      <c r="N57" s="40"/>
      <c r="O57" s="40"/>
      <c r="P57" s="40"/>
      <c r="Q57" s="40"/>
      <c r="R57" s="40"/>
      <c r="S57" s="40"/>
      <c r="T57" s="40"/>
      <c r="U57" s="40"/>
      <c r="V57" s="40"/>
      <c r="W57" s="40"/>
      <c r="X57" s="40"/>
      <c r="Y57" s="40"/>
      <c r="Z57" s="40"/>
    </row>
    <row r="58" spans="3:28" ht="16.5">
      <c r="C58" s="15" t="s">
        <v>422</v>
      </c>
      <c r="K58" s="41"/>
      <c r="L58" s="41"/>
      <c r="M58" s="41"/>
      <c r="N58" s="41"/>
      <c r="O58" s="41"/>
      <c r="P58" s="41"/>
      <c r="Q58" s="41"/>
      <c r="R58" s="41"/>
      <c r="S58" s="41"/>
      <c r="T58" s="41"/>
      <c r="U58" s="41"/>
      <c r="V58" s="41"/>
      <c r="W58" s="41"/>
      <c r="X58" s="41"/>
      <c r="Y58" s="41"/>
      <c r="Z58" s="41"/>
    </row>
    <row r="59" spans="3:28" ht="69" customHeight="1">
      <c r="C59" s="290" t="s">
        <v>435</v>
      </c>
      <c r="D59" s="291"/>
      <c r="E59" s="291"/>
      <c r="F59" s="291"/>
      <c r="G59" s="291"/>
      <c r="H59" s="291"/>
      <c r="I59" s="291"/>
      <c r="J59" s="291"/>
      <c r="K59" s="291"/>
      <c r="L59" s="291"/>
      <c r="M59" s="291"/>
      <c r="N59" s="291"/>
      <c r="O59" s="291"/>
      <c r="P59" s="291"/>
      <c r="Q59" s="291"/>
      <c r="R59" s="291"/>
      <c r="S59" s="291"/>
      <c r="T59" s="291"/>
      <c r="U59" s="291"/>
      <c r="V59" s="291"/>
      <c r="W59" s="291"/>
      <c r="X59" s="291"/>
      <c r="Y59" s="291"/>
      <c r="Z59" s="292"/>
    </row>
  </sheetData>
  <dataConsolidate/>
  <mergeCells count="184">
    <mergeCell ref="C56:G56"/>
    <mergeCell ref="H56:Z56"/>
    <mergeCell ref="C59:Z59"/>
    <mergeCell ref="H54:N54"/>
    <mergeCell ref="Q54:R54"/>
    <mergeCell ref="S54:W54"/>
    <mergeCell ref="Y54:Z54"/>
    <mergeCell ref="H53:N53"/>
    <mergeCell ref="Q53:R53"/>
    <mergeCell ref="S53:W53"/>
    <mergeCell ref="Y53:Z53"/>
    <mergeCell ref="H51:N51"/>
    <mergeCell ref="Q51:R51"/>
    <mergeCell ref="S51:W51"/>
    <mergeCell ref="Y51:Z51"/>
    <mergeCell ref="H52:N52"/>
    <mergeCell ref="Q52:R52"/>
    <mergeCell ref="S52:W52"/>
    <mergeCell ref="Y52:Z52"/>
    <mergeCell ref="H49:N49"/>
    <mergeCell ref="Q49:R49"/>
    <mergeCell ref="S49:W49"/>
    <mergeCell ref="Y49:Z49"/>
    <mergeCell ref="H50:N50"/>
    <mergeCell ref="Q50:R50"/>
    <mergeCell ref="S50:W50"/>
    <mergeCell ref="Y50:Z50"/>
    <mergeCell ref="H48:N48"/>
    <mergeCell ref="Q48:R48"/>
    <mergeCell ref="S48:W48"/>
    <mergeCell ref="Y48:Z48"/>
    <mergeCell ref="H45:N45"/>
    <mergeCell ref="Q45:R45"/>
    <mergeCell ref="S45:W45"/>
    <mergeCell ref="Y45:Z45"/>
    <mergeCell ref="H46:N46"/>
    <mergeCell ref="Q46:R46"/>
    <mergeCell ref="S46:W46"/>
    <mergeCell ref="Y46:Z46"/>
    <mergeCell ref="Q42:R43"/>
    <mergeCell ref="S42:W43"/>
    <mergeCell ref="X42:X43"/>
    <mergeCell ref="Y42:Z43"/>
    <mergeCell ref="H44:N44"/>
    <mergeCell ref="Q44:R44"/>
    <mergeCell ref="S44:W44"/>
    <mergeCell ref="Y44:Z44"/>
    <mergeCell ref="H47:N47"/>
    <mergeCell ref="Q47:R47"/>
    <mergeCell ref="S47:W47"/>
    <mergeCell ref="Y47:Z47"/>
    <mergeCell ref="C42:C43"/>
    <mergeCell ref="D42:E42"/>
    <mergeCell ref="F42:F43"/>
    <mergeCell ref="G42:G43"/>
    <mergeCell ref="H42:N43"/>
    <mergeCell ref="O42:O43"/>
    <mergeCell ref="P42:P43"/>
    <mergeCell ref="C40:D40"/>
    <mergeCell ref="E40:K40"/>
    <mergeCell ref="L40:P40"/>
    <mergeCell ref="Q40:S40"/>
    <mergeCell ref="T40:U40"/>
    <mergeCell ref="C38:D38"/>
    <mergeCell ref="E38:K38"/>
    <mergeCell ref="L38:P38"/>
    <mergeCell ref="Q38:S38"/>
    <mergeCell ref="T38:U38"/>
    <mergeCell ref="C39:D39"/>
    <mergeCell ref="E39:K39"/>
    <mergeCell ref="L39:P39"/>
    <mergeCell ref="Q39:S39"/>
    <mergeCell ref="T39:U39"/>
    <mergeCell ref="C36:D36"/>
    <mergeCell ref="E36:K36"/>
    <mergeCell ref="L36:P36"/>
    <mergeCell ref="Q36:S36"/>
    <mergeCell ref="T36:U36"/>
    <mergeCell ref="C37:D37"/>
    <mergeCell ref="E37:K37"/>
    <mergeCell ref="L37:P37"/>
    <mergeCell ref="Q37:S37"/>
    <mergeCell ref="T37:U37"/>
    <mergeCell ref="W33:X33"/>
    <mergeCell ref="Y33:Z33"/>
    <mergeCell ref="C35:D35"/>
    <mergeCell ref="E35:K35"/>
    <mergeCell ref="L35:P35"/>
    <mergeCell ref="Q35:S35"/>
    <mergeCell ref="T35:U35"/>
    <mergeCell ref="C33:D34"/>
    <mergeCell ref="E33:K34"/>
    <mergeCell ref="L33:P34"/>
    <mergeCell ref="Q33:S34"/>
    <mergeCell ref="T33:U34"/>
    <mergeCell ref="V33:V34"/>
    <mergeCell ref="C26:F26"/>
    <mergeCell ref="G26:H26"/>
    <mergeCell ref="I26:J26"/>
    <mergeCell ref="K26:L26"/>
    <mergeCell ref="M26:N26"/>
    <mergeCell ref="U26:V26"/>
    <mergeCell ref="R30:S30"/>
    <mergeCell ref="C31:G31"/>
    <mergeCell ref="H31:I31"/>
    <mergeCell ref="J31:K31"/>
    <mergeCell ref="L31:M31"/>
    <mergeCell ref="N31:O31"/>
    <mergeCell ref="P31:Q31"/>
    <mergeCell ref="R31:S31"/>
    <mergeCell ref="C30:G30"/>
    <mergeCell ref="H30:I30"/>
    <mergeCell ref="J30:K30"/>
    <mergeCell ref="L30:M30"/>
    <mergeCell ref="N30:O30"/>
    <mergeCell ref="P30:Q30"/>
    <mergeCell ref="C28:G29"/>
    <mergeCell ref="H28:M28"/>
    <mergeCell ref="N28:S28"/>
    <mergeCell ref="W28:X28"/>
    <mergeCell ref="Y28:Z28"/>
    <mergeCell ref="H29:I29"/>
    <mergeCell ref="J29:K29"/>
    <mergeCell ref="L29:M29"/>
    <mergeCell ref="N29:O29"/>
    <mergeCell ref="P29:Q29"/>
    <mergeCell ref="R29:S29"/>
    <mergeCell ref="O26:P26"/>
    <mergeCell ref="Q26:R26"/>
    <mergeCell ref="S26:T26"/>
    <mergeCell ref="Q23:R23"/>
    <mergeCell ref="S23:T23"/>
    <mergeCell ref="U23:Z23"/>
    <mergeCell ref="G24:H24"/>
    <mergeCell ref="I24:Z24"/>
    <mergeCell ref="C25:F25"/>
    <mergeCell ref="G25:H25"/>
    <mergeCell ref="I25:J25"/>
    <mergeCell ref="K25:L25"/>
    <mergeCell ref="M25:N25"/>
    <mergeCell ref="C23:F24"/>
    <mergeCell ref="G23:H23"/>
    <mergeCell ref="I23:J23"/>
    <mergeCell ref="K23:L23"/>
    <mergeCell ref="M23:N23"/>
    <mergeCell ref="O23:P23"/>
    <mergeCell ref="O25:P25"/>
    <mergeCell ref="Q25:R25"/>
    <mergeCell ref="S25:T25"/>
    <mergeCell ref="U25:V25"/>
    <mergeCell ref="X25:Z25"/>
    <mergeCell ref="J2:X2"/>
    <mergeCell ref="C20:F20"/>
    <mergeCell ref="G20:J20"/>
    <mergeCell ref="K20:M20"/>
    <mergeCell ref="N20:T20"/>
    <mergeCell ref="C21:F21"/>
    <mergeCell ref="G21:J21"/>
    <mergeCell ref="K21:M21"/>
    <mergeCell ref="N21:T21"/>
    <mergeCell ref="G12:T15"/>
    <mergeCell ref="C19:F19"/>
    <mergeCell ref="G19:Z19"/>
    <mergeCell ref="C3:F3"/>
    <mergeCell ref="G3:Q3"/>
    <mergeCell ref="R3:T4"/>
    <mergeCell ref="U3:Z4"/>
    <mergeCell ref="C4:F16"/>
    <mergeCell ref="G4:Q6"/>
    <mergeCell ref="R5:T6"/>
    <mergeCell ref="U5:Z6"/>
    <mergeCell ref="G7:Q7"/>
    <mergeCell ref="U12:W16"/>
    <mergeCell ref="X12:Z16"/>
    <mergeCell ref="G16:K16"/>
    <mergeCell ref="L16:T16"/>
    <mergeCell ref="R7:T8"/>
    <mergeCell ref="U7:Z8"/>
    <mergeCell ref="G8:Q10"/>
    <mergeCell ref="R9:T10"/>
    <mergeCell ref="U9:Z10"/>
    <mergeCell ref="G11:T11"/>
    <mergeCell ref="U11:W11"/>
    <mergeCell ref="X11:Z11"/>
  </mergeCells>
  <conditionalFormatting sqref="O23:R23">
    <cfRule type="expression" dxfId="73" priority="40">
      <formula>$G$20="Team"</formula>
    </cfRule>
  </conditionalFormatting>
  <conditionalFormatting sqref="C25:Z25 G23:R23">
    <cfRule type="expression" dxfId="72" priority="42">
      <formula>$G$20="Pass-around"</formula>
    </cfRule>
  </conditionalFormatting>
  <conditionalFormatting sqref="G23:J23 O23:R23 C26:V26">
    <cfRule type="expression" dxfId="71" priority="41">
      <formula>$G$20="Walk-through"</formula>
    </cfRule>
  </conditionalFormatting>
  <conditionalFormatting sqref="X44:Z54 O44:R54">
    <cfRule type="expression" dxfId="70" priority="39">
      <formula>$G44="Q&amp;A"</formula>
    </cfRule>
  </conditionalFormatting>
  <conditionalFormatting sqref="A1:Y1 A3:XFD3 A2:J2 A23:C23 A24:B24 G23:XFD24 A22:XFD22 A20:J20 A17:XFD18 AA5:XFD10 W36:XFD38 A35:D39 L39:XFD39 L38:U38 Q35:U37 A32:XFD34 X35:XFD35 G5:T7 G11:XFD11 A4:B16 G4:XFD4 R8:T10 A19:F19 AA19:XFD19 A21:M21 U20:XFD21 A60:XFD1048576 A59:B59 AA59:XFD59 AA1:XFD2 A25:XFD27 G16:XFD16 U12:XFD15 A40:XFD58">
    <cfRule type="cellIs" dxfId="69" priority="43" operator="equal">
      <formula>"(Select)"</formula>
    </cfRule>
  </conditionalFormatting>
  <conditionalFormatting sqref="K21:M21">
    <cfRule type="expression" dxfId="68" priority="38">
      <formula>$G21="use 'Peer Review Checklist' sheet"</formula>
    </cfRule>
  </conditionalFormatting>
  <conditionalFormatting sqref="N20">
    <cfRule type="cellIs" dxfId="67" priority="37" operator="equal">
      <formula>"(Select)"</formula>
    </cfRule>
  </conditionalFormatting>
  <conditionalFormatting sqref="K20:M20">
    <cfRule type="cellIs" dxfId="66" priority="36" operator="equal">
      <formula>"(Select)"</formula>
    </cfRule>
  </conditionalFormatting>
  <conditionalFormatting sqref="K20:M20">
    <cfRule type="expression" dxfId="65" priority="35">
      <formula>$G20="use 'Peer Review Checklist' sheet"</formula>
    </cfRule>
  </conditionalFormatting>
  <conditionalFormatting sqref="O44:Z53">
    <cfRule type="expression" dxfId="64" priority="34">
      <formula>$G44="proceedings"</formula>
    </cfRule>
  </conditionalFormatting>
  <conditionalFormatting sqref="O44:Z53">
    <cfRule type="expression" dxfId="63" priority="33">
      <formula>$G44="proceedings"</formula>
    </cfRule>
  </conditionalFormatting>
  <conditionalFormatting sqref="O44:Z53">
    <cfRule type="expression" dxfId="62" priority="32">
      <formula>$G44="proceedings"</formula>
    </cfRule>
  </conditionalFormatting>
  <conditionalFormatting sqref="U5:Z6">
    <cfRule type="cellIs" dxfId="61" priority="30" operator="equal">
      <formula>"(Select)"</formula>
    </cfRule>
  </conditionalFormatting>
  <conditionalFormatting sqref="E36:P37 L35:P35">
    <cfRule type="cellIs" dxfId="60" priority="29" operator="equal">
      <formula>"(Select)"</formula>
    </cfRule>
  </conditionalFormatting>
  <conditionalFormatting sqref="O45:Z45">
    <cfRule type="expression" dxfId="59" priority="28">
      <formula>$G45="proceedings"</formula>
    </cfRule>
  </conditionalFormatting>
  <conditionalFormatting sqref="O46:Z46">
    <cfRule type="expression" dxfId="58" priority="27">
      <formula>$G46="proceedings"</formula>
    </cfRule>
  </conditionalFormatting>
  <conditionalFormatting sqref="V35:V38">
    <cfRule type="cellIs" dxfId="57" priority="26" operator="equal">
      <formula>"(Select)"</formula>
    </cfRule>
  </conditionalFormatting>
  <conditionalFormatting sqref="E39:K39">
    <cfRule type="cellIs" dxfId="56" priority="25" operator="equal">
      <formula>"(Select)"</formula>
    </cfRule>
  </conditionalFormatting>
  <conditionalFormatting sqref="E38:K38">
    <cfRule type="cellIs" dxfId="55" priority="24" operator="equal">
      <formula>"(Select)"</formula>
    </cfRule>
  </conditionalFormatting>
  <conditionalFormatting sqref="P45:R45">
    <cfRule type="expression" dxfId="54" priority="23">
      <formula>$G45="proceedings"</formula>
    </cfRule>
  </conditionalFormatting>
  <conditionalFormatting sqref="P44:W44">
    <cfRule type="expression" dxfId="53" priority="22">
      <formula>$G44="proceedings"</formula>
    </cfRule>
  </conditionalFormatting>
  <conditionalFormatting sqref="P44:R44">
    <cfRule type="expression" dxfId="52" priority="21">
      <formula>$G44="proceedings"</formula>
    </cfRule>
  </conditionalFormatting>
  <conditionalFormatting sqref="X45:X48">
    <cfRule type="expression" dxfId="51" priority="20">
      <formula>$G45="proceedings"</formula>
    </cfRule>
  </conditionalFormatting>
  <conditionalFormatting sqref="Y45:Z48">
    <cfRule type="expression" dxfId="50" priority="19">
      <formula>$G45="proceedings"</formula>
    </cfRule>
  </conditionalFormatting>
  <conditionalFormatting sqref="X49:X50">
    <cfRule type="expression" dxfId="49" priority="18">
      <formula>$G49="proceedings"</formula>
    </cfRule>
  </conditionalFormatting>
  <conditionalFormatting sqref="Y49:Z50">
    <cfRule type="expression" dxfId="48" priority="17">
      <formula>$G49="proceedings"</formula>
    </cfRule>
  </conditionalFormatting>
  <conditionalFormatting sqref="A28:T29 AA28:XFD31 A30:G31 N30:T31">
    <cfRule type="cellIs" dxfId="47" priority="16" operator="equal">
      <formula>"(Select)"</formula>
    </cfRule>
  </conditionalFormatting>
  <conditionalFormatting sqref="U28:Z31">
    <cfRule type="cellIs" dxfId="46" priority="15" operator="equal">
      <formula>"(Select)"</formula>
    </cfRule>
  </conditionalFormatting>
  <conditionalFormatting sqref="J30:M31">
    <cfRule type="cellIs" dxfId="45" priority="14" operator="equal">
      <formula>"(Select)"</formula>
    </cfRule>
  </conditionalFormatting>
  <conditionalFormatting sqref="W35">
    <cfRule type="cellIs" dxfId="44" priority="13" operator="equal">
      <formula>"(Select)"</formula>
    </cfRule>
  </conditionalFormatting>
  <conditionalFormatting sqref="C4:F16">
    <cfRule type="cellIs" dxfId="43" priority="12" operator="equal">
      <formula>"(Select)"</formula>
    </cfRule>
  </conditionalFormatting>
  <conditionalFormatting sqref="U7:Z10">
    <cfRule type="cellIs" dxfId="42" priority="11" operator="equal">
      <formula>"(Select)"</formula>
    </cfRule>
  </conditionalFormatting>
  <conditionalFormatting sqref="G8:Q10">
    <cfRule type="cellIs" dxfId="41" priority="10" operator="equal">
      <formula>"(Select)"</formula>
    </cfRule>
  </conditionalFormatting>
  <conditionalFormatting sqref="G19:Z19">
    <cfRule type="cellIs" dxfId="40" priority="9" operator="equal">
      <formula>"(Select)"</formula>
    </cfRule>
  </conditionalFormatting>
  <conditionalFormatting sqref="N21:T21">
    <cfRule type="cellIs" dxfId="39" priority="8" operator="equal">
      <formula>"(Select)"</formula>
    </cfRule>
  </conditionalFormatting>
  <conditionalFormatting sqref="N21:T21">
    <cfRule type="expression" dxfId="38" priority="7">
      <formula>$G21="use 'Peer Review Checklist' sheet"</formula>
    </cfRule>
  </conditionalFormatting>
  <conditionalFormatting sqref="H30:I31">
    <cfRule type="cellIs" dxfId="37" priority="6" operator="equal">
      <formula>"(Select)"</formula>
    </cfRule>
  </conditionalFormatting>
  <conditionalFormatting sqref="E35:K35">
    <cfRule type="cellIs" dxfId="36" priority="5" operator="equal">
      <formula>"(Select)"</formula>
    </cfRule>
  </conditionalFormatting>
  <conditionalFormatting sqref="C59:Z59">
    <cfRule type="cellIs" dxfId="35" priority="4" operator="equal">
      <formula>"(Select)"</formula>
    </cfRule>
  </conditionalFormatting>
  <conditionalFormatting sqref="Z1">
    <cfRule type="cellIs" dxfId="34" priority="3" operator="equal">
      <formula>"(Select)"</formula>
    </cfRule>
  </conditionalFormatting>
  <conditionalFormatting sqref="G12:T15">
    <cfRule type="cellIs" dxfId="33" priority="1" operator="equal">
      <formula>"(Select)"</formula>
    </cfRule>
  </conditionalFormatting>
  <dataValidations disablePrompts="1" count="8">
    <dataValidation type="list" allowBlank="1" sqref="G8:Q10" xr:uid="{00000000-0002-0000-0000-000000000000}">
      <formula1>"(Select), Project planning process, Requirements development process, Architecture design process, Unit design process, Coding process, Unit test process, Integration test process, Validation test process, -"</formula1>
    </dataValidation>
    <dataValidation type="list" allowBlank="1" sqref="G44:G53" xr:uid="{00000000-0002-0000-0000-000001000000}">
      <formula1>"(Select),Issue,Q&amp;A,proceedings"</formula1>
    </dataValidation>
    <dataValidation type="list" allowBlank="1" showInputMessage="1" showErrorMessage="1" sqref="N20:T20" xr:uid="{00000000-0002-0000-0000-000002000000}">
      <formula1>"1st review,Re-review"</formula1>
    </dataValidation>
    <dataValidation type="list" allowBlank="1" sqref="G54" xr:uid="{00000000-0002-0000-0000-000005000000}">
      <formula1>"(Select),Issue,Q&amp;A"</formula1>
    </dataValidation>
    <dataValidation type="list" allowBlank="1" sqref="G20:J20" xr:uid="{00000000-0002-0000-0000-000006000000}">
      <formula1>"(Select),Inspection,Team,Walk-through,Pass-around"</formula1>
    </dataValidation>
    <dataValidation type="list" allowBlank="1" sqref="G21:J21" xr:uid="{00000000-0002-0000-0000-000007000000}">
      <formula1>"(Select), use department checklist, use 'Peer Review Checklist' sheet"</formula1>
    </dataValidation>
    <dataValidation type="list" allowBlank="1" sqref="V35:V40" xr:uid="{00000000-0002-0000-0000-000003000000}">
      <formula1>"(Select),Page,Line,Number"</formula1>
    </dataValidation>
    <dataValidation type="list" allowBlank="1" sqref="O44:O54" xr:uid="{00000000-0002-0000-0000-000004000000}">
      <formula1>"(Select),Defect,Risk,Problem,AI"</formula1>
    </dataValidation>
  </dataValidations>
  <printOptions horizontalCentered="1"/>
  <pageMargins left="0.39370078740157483" right="0.39370078740157483" top="0.59055118110236227" bottom="0.39370078740157483" header="0.31496062992125984" footer="0.19685039370078741"/>
  <pageSetup paperSize="9" scale="60" fitToHeight="0" orientation="portrait" r:id="rId1"/>
  <headerFooter scaleWithDoc="0"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2:M28"/>
  <sheetViews>
    <sheetView tabSelected="1" zoomScale="85" zoomScaleNormal="85" workbookViewId="0">
      <selection activeCell="G6" sqref="G6:K7"/>
    </sheetView>
  </sheetViews>
  <sheetFormatPr defaultRowHeight="12.75"/>
  <cols>
    <col min="1" max="1" width="1.109375" style="15" customWidth="1"/>
    <col min="2" max="2" width="5.44140625" style="15" customWidth="1"/>
    <col min="3" max="3" width="10.21875" style="28" customWidth="1"/>
    <col min="4" max="4" width="55.88671875" style="28" customWidth="1"/>
    <col min="5" max="5" width="9.21875" style="28" customWidth="1"/>
    <col min="6" max="6" width="8.44140625" style="76" customWidth="1"/>
    <col min="7" max="7" width="10.21875" style="77" bestFit="1" customWidth="1"/>
    <col min="8" max="8" width="11.109375" style="15" customWidth="1"/>
    <col min="9" max="9" width="8.44140625" style="15" customWidth="1"/>
    <col min="10" max="10" width="10.21875" style="77" bestFit="1" customWidth="1"/>
    <col min="11" max="11" width="9.77734375" style="15" bestFit="1" customWidth="1"/>
    <col min="12" max="12" width="16.44140625" style="15" customWidth="1"/>
    <col min="13" max="256" width="8.88671875" style="15"/>
    <col min="257" max="257" width="1.109375" style="15" customWidth="1"/>
    <col min="258" max="258" width="5.44140625" style="15" customWidth="1"/>
    <col min="259" max="259" width="10.21875" style="15" customWidth="1"/>
    <col min="260" max="260" width="55.88671875" style="15" customWidth="1"/>
    <col min="261" max="261" width="9.21875" style="15" customWidth="1"/>
    <col min="262" max="267" width="8.44140625" style="15" customWidth="1"/>
    <col min="268" max="268" width="16.44140625" style="15" customWidth="1"/>
    <col min="269" max="512" width="8.88671875" style="15"/>
    <col min="513" max="513" width="1.109375" style="15" customWidth="1"/>
    <col min="514" max="514" width="5.44140625" style="15" customWidth="1"/>
    <col min="515" max="515" width="10.21875" style="15" customWidth="1"/>
    <col min="516" max="516" width="55.88671875" style="15" customWidth="1"/>
    <col min="517" max="517" width="9.21875" style="15" customWidth="1"/>
    <col min="518" max="523" width="8.44140625" style="15" customWidth="1"/>
    <col min="524" max="524" width="16.44140625" style="15" customWidth="1"/>
    <col min="525" max="768" width="8.88671875" style="15"/>
    <col min="769" max="769" width="1.109375" style="15" customWidth="1"/>
    <col min="770" max="770" width="5.44140625" style="15" customWidth="1"/>
    <col min="771" max="771" width="10.21875" style="15" customWidth="1"/>
    <col min="772" max="772" width="55.88671875" style="15" customWidth="1"/>
    <col min="773" max="773" width="9.21875" style="15" customWidth="1"/>
    <col min="774" max="779" width="8.44140625" style="15" customWidth="1"/>
    <col min="780" max="780" width="16.44140625" style="15" customWidth="1"/>
    <col min="781" max="1024" width="8.88671875" style="15"/>
    <col min="1025" max="1025" width="1.109375" style="15" customWidth="1"/>
    <col min="1026" max="1026" width="5.44140625" style="15" customWidth="1"/>
    <col min="1027" max="1027" width="10.21875" style="15" customWidth="1"/>
    <col min="1028" max="1028" width="55.88671875" style="15" customWidth="1"/>
    <col min="1029" max="1029" width="9.21875" style="15" customWidth="1"/>
    <col min="1030" max="1035" width="8.44140625" style="15" customWidth="1"/>
    <col min="1036" max="1036" width="16.44140625" style="15" customWidth="1"/>
    <col min="1037" max="1280" width="8.88671875" style="15"/>
    <col min="1281" max="1281" width="1.109375" style="15" customWidth="1"/>
    <col min="1282" max="1282" width="5.44140625" style="15" customWidth="1"/>
    <col min="1283" max="1283" width="10.21875" style="15" customWidth="1"/>
    <col min="1284" max="1284" width="55.88671875" style="15" customWidth="1"/>
    <col min="1285" max="1285" width="9.21875" style="15" customWidth="1"/>
    <col min="1286" max="1291" width="8.44140625" style="15" customWidth="1"/>
    <col min="1292" max="1292" width="16.44140625" style="15" customWidth="1"/>
    <col min="1293" max="1536" width="8.88671875" style="15"/>
    <col min="1537" max="1537" width="1.109375" style="15" customWidth="1"/>
    <col min="1538" max="1538" width="5.44140625" style="15" customWidth="1"/>
    <col min="1539" max="1539" width="10.21875" style="15" customWidth="1"/>
    <col min="1540" max="1540" width="55.88671875" style="15" customWidth="1"/>
    <col min="1541" max="1541" width="9.21875" style="15" customWidth="1"/>
    <col min="1542" max="1547" width="8.44140625" style="15" customWidth="1"/>
    <col min="1548" max="1548" width="16.44140625" style="15" customWidth="1"/>
    <col min="1549" max="1792" width="8.88671875" style="15"/>
    <col min="1793" max="1793" width="1.109375" style="15" customWidth="1"/>
    <col min="1794" max="1794" width="5.44140625" style="15" customWidth="1"/>
    <col min="1795" max="1795" width="10.21875" style="15" customWidth="1"/>
    <col min="1796" max="1796" width="55.88671875" style="15" customWidth="1"/>
    <col min="1797" max="1797" width="9.21875" style="15" customWidth="1"/>
    <col min="1798" max="1803" width="8.44140625" style="15" customWidth="1"/>
    <col min="1804" max="1804" width="16.44140625" style="15" customWidth="1"/>
    <col min="1805" max="2048" width="8.88671875" style="15"/>
    <col min="2049" max="2049" width="1.109375" style="15" customWidth="1"/>
    <col min="2050" max="2050" width="5.44140625" style="15" customWidth="1"/>
    <col min="2051" max="2051" width="10.21875" style="15" customWidth="1"/>
    <col min="2052" max="2052" width="55.88671875" style="15" customWidth="1"/>
    <col min="2053" max="2053" width="9.21875" style="15" customWidth="1"/>
    <col min="2054" max="2059" width="8.44140625" style="15" customWidth="1"/>
    <col min="2060" max="2060" width="16.44140625" style="15" customWidth="1"/>
    <col min="2061" max="2304" width="8.88671875" style="15"/>
    <col min="2305" max="2305" width="1.109375" style="15" customWidth="1"/>
    <col min="2306" max="2306" width="5.44140625" style="15" customWidth="1"/>
    <col min="2307" max="2307" width="10.21875" style="15" customWidth="1"/>
    <col min="2308" max="2308" width="55.88671875" style="15" customWidth="1"/>
    <col min="2309" max="2309" width="9.21875" style="15" customWidth="1"/>
    <col min="2310" max="2315" width="8.44140625" style="15" customWidth="1"/>
    <col min="2316" max="2316" width="16.44140625" style="15" customWidth="1"/>
    <col min="2317" max="2560" width="8.88671875" style="15"/>
    <col min="2561" max="2561" width="1.109375" style="15" customWidth="1"/>
    <col min="2562" max="2562" width="5.44140625" style="15" customWidth="1"/>
    <col min="2563" max="2563" width="10.21875" style="15" customWidth="1"/>
    <col min="2564" max="2564" width="55.88671875" style="15" customWidth="1"/>
    <col min="2565" max="2565" width="9.21875" style="15" customWidth="1"/>
    <col min="2566" max="2571" width="8.44140625" style="15" customWidth="1"/>
    <col min="2572" max="2572" width="16.44140625" style="15" customWidth="1"/>
    <col min="2573" max="2816" width="8.88671875" style="15"/>
    <col min="2817" max="2817" width="1.109375" style="15" customWidth="1"/>
    <col min="2818" max="2818" width="5.44140625" style="15" customWidth="1"/>
    <col min="2819" max="2819" width="10.21875" style="15" customWidth="1"/>
    <col min="2820" max="2820" width="55.88671875" style="15" customWidth="1"/>
    <col min="2821" max="2821" width="9.21875" style="15" customWidth="1"/>
    <col min="2822" max="2827" width="8.44140625" style="15" customWidth="1"/>
    <col min="2828" max="2828" width="16.44140625" style="15" customWidth="1"/>
    <col min="2829" max="3072" width="8.88671875" style="15"/>
    <col min="3073" max="3073" width="1.109375" style="15" customWidth="1"/>
    <col min="3074" max="3074" width="5.44140625" style="15" customWidth="1"/>
    <col min="3075" max="3075" width="10.21875" style="15" customWidth="1"/>
    <col min="3076" max="3076" width="55.88671875" style="15" customWidth="1"/>
    <col min="3077" max="3077" width="9.21875" style="15" customWidth="1"/>
    <col min="3078" max="3083" width="8.44140625" style="15" customWidth="1"/>
    <col min="3084" max="3084" width="16.44140625" style="15" customWidth="1"/>
    <col min="3085" max="3328" width="8.88671875" style="15"/>
    <col min="3329" max="3329" width="1.109375" style="15" customWidth="1"/>
    <col min="3330" max="3330" width="5.44140625" style="15" customWidth="1"/>
    <col min="3331" max="3331" width="10.21875" style="15" customWidth="1"/>
    <col min="3332" max="3332" width="55.88671875" style="15" customWidth="1"/>
    <col min="3333" max="3333" width="9.21875" style="15" customWidth="1"/>
    <col min="3334" max="3339" width="8.44140625" style="15" customWidth="1"/>
    <col min="3340" max="3340" width="16.44140625" style="15" customWidth="1"/>
    <col min="3341" max="3584" width="8.88671875" style="15"/>
    <col min="3585" max="3585" width="1.109375" style="15" customWidth="1"/>
    <col min="3586" max="3586" width="5.44140625" style="15" customWidth="1"/>
    <col min="3587" max="3587" width="10.21875" style="15" customWidth="1"/>
    <col min="3588" max="3588" width="55.88671875" style="15" customWidth="1"/>
    <col min="3589" max="3589" width="9.21875" style="15" customWidth="1"/>
    <col min="3590" max="3595" width="8.44140625" style="15" customWidth="1"/>
    <col min="3596" max="3596" width="16.44140625" style="15" customWidth="1"/>
    <col min="3597" max="3840" width="8.88671875" style="15"/>
    <col min="3841" max="3841" width="1.109375" style="15" customWidth="1"/>
    <col min="3842" max="3842" width="5.44140625" style="15" customWidth="1"/>
    <col min="3843" max="3843" width="10.21875" style="15" customWidth="1"/>
    <col min="3844" max="3844" width="55.88671875" style="15" customWidth="1"/>
    <col min="3845" max="3845" width="9.21875" style="15" customWidth="1"/>
    <col min="3846" max="3851" width="8.44140625" style="15" customWidth="1"/>
    <col min="3852" max="3852" width="16.44140625" style="15" customWidth="1"/>
    <col min="3853" max="4096" width="8.88671875" style="15"/>
    <col min="4097" max="4097" width="1.109375" style="15" customWidth="1"/>
    <col min="4098" max="4098" width="5.44140625" style="15" customWidth="1"/>
    <col min="4099" max="4099" width="10.21875" style="15" customWidth="1"/>
    <col min="4100" max="4100" width="55.88671875" style="15" customWidth="1"/>
    <col min="4101" max="4101" width="9.21875" style="15" customWidth="1"/>
    <col min="4102" max="4107" width="8.44140625" style="15" customWidth="1"/>
    <col min="4108" max="4108" width="16.44140625" style="15" customWidth="1"/>
    <col min="4109" max="4352" width="8.88671875" style="15"/>
    <col min="4353" max="4353" width="1.109375" style="15" customWidth="1"/>
    <col min="4354" max="4354" width="5.44140625" style="15" customWidth="1"/>
    <col min="4355" max="4355" width="10.21875" style="15" customWidth="1"/>
    <col min="4356" max="4356" width="55.88671875" style="15" customWidth="1"/>
    <col min="4357" max="4357" width="9.21875" style="15" customWidth="1"/>
    <col min="4358" max="4363" width="8.44140625" style="15" customWidth="1"/>
    <col min="4364" max="4364" width="16.44140625" style="15" customWidth="1"/>
    <col min="4365" max="4608" width="8.88671875" style="15"/>
    <col min="4609" max="4609" width="1.109375" style="15" customWidth="1"/>
    <col min="4610" max="4610" width="5.44140625" style="15" customWidth="1"/>
    <col min="4611" max="4611" width="10.21875" style="15" customWidth="1"/>
    <col min="4612" max="4612" width="55.88671875" style="15" customWidth="1"/>
    <col min="4613" max="4613" width="9.21875" style="15" customWidth="1"/>
    <col min="4614" max="4619" width="8.44140625" style="15" customWidth="1"/>
    <col min="4620" max="4620" width="16.44140625" style="15" customWidth="1"/>
    <col min="4621" max="4864" width="8.88671875" style="15"/>
    <col min="4865" max="4865" width="1.109375" style="15" customWidth="1"/>
    <col min="4866" max="4866" width="5.44140625" style="15" customWidth="1"/>
    <col min="4867" max="4867" width="10.21875" style="15" customWidth="1"/>
    <col min="4868" max="4868" width="55.88671875" style="15" customWidth="1"/>
    <col min="4869" max="4869" width="9.21875" style="15" customWidth="1"/>
    <col min="4870" max="4875" width="8.44140625" style="15" customWidth="1"/>
    <col min="4876" max="4876" width="16.44140625" style="15" customWidth="1"/>
    <col min="4877" max="5120" width="8.88671875" style="15"/>
    <col min="5121" max="5121" width="1.109375" style="15" customWidth="1"/>
    <col min="5122" max="5122" width="5.44140625" style="15" customWidth="1"/>
    <col min="5123" max="5123" width="10.21875" style="15" customWidth="1"/>
    <col min="5124" max="5124" width="55.88671875" style="15" customWidth="1"/>
    <col min="5125" max="5125" width="9.21875" style="15" customWidth="1"/>
    <col min="5126" max="5131" width="8.44140625" style="15" customWidth="1"/>
    <col min="5132" max="5132" width="16.44140625" style="15" customWidth="1"/>
    <col min="5133" max="5376" width="8.88671875" style="15"/>
    <col min="5377" max="5377" width="1.109375" style="15" customWidth="1"/>
    <col min="5378" max="5378" width="5.44140625" style="15" customWidth="1"/>
    <col min="5379" max="5379" width="10.21875" style="15" customWidth="1"/>
    <col min="5380" max="5380" width="55.88671875" style="15" customWidth="1"/>
    <col min="5381" max="5381" width="9.21875" style="15" customWidth="1"/>
    <col min="5382" max="5387" width="8.44140625" style="15" customWidth="1"/>
    <col min="5388" max="5388" width="16.44140625" style="15" customWidth="1"/>
    <col min="5389" max="5632" width="8.88671875" style="15"/>
    <col min="5633" max="5633" width="1.109375" style="15" customWidth="1"/>
    <col min="5634" max="5634" width="5.44140625" style="15" customWidth="1"/>
    <col min="5635" max="5635" width="10.21875" style="15" customWidth="1"/>
    <col min="5636" max="5636" width="55.88671875" style="15" customWidth="1"/>
    <col min="5637" max="5637" width="9.21875" style="15" customWidth="1"/>
    <col min="5638" max="5643" width="8.44140625" style="15" customWidth="1"/>
    <col min="5644" max="5644" width="16.44140625" style="15" customWidth="1"/>
    <col min="5645" max="5888" width="8.88671875" style="15"/>
    <col min="5889" max="5889" width="1.109375" style="15" customWidth="1"/>
    <col min="5890" max="5890" width="5.44140625" style="15" customWidth="1"/>
    <col min="5891" max="5891" width="10.21875" style="15" customWidth="1"/>
    <col min="5892" max="5892" width="55.88671875" style="15" customWidth="1"/>
    <col min="5893" max="5893" width="9.21875" style="15" customWidth="1"/>
    <col min="5894" max="5899" width="8.44140625" style="15" customWidth="1"/>
    <col min="5900" max="5900" width="16.44140625" style="15" customWidth="1"/>
    <col min="5901" max="6144" width="8.88671875" style="15"/>
    <col min="6145" max="6145" width="1.109375" style="15" customWidth="1"/>
    <col min="6146" max="6146" width="5.44140625" style="15" customWidth="1"/>
    <col min="6147" max="6147" width="10.21875" style="15" customWidth="1"/>
    <col min="6148" max="6148" width="55.88671875" style="15" customWidth="1"/>
    <col min="6149" max="6149" width="9.21875" style="15" customWidth="1"/>
    <col min="6150" max="6155" width="8.44140625" style="15" customWidth="1"/>
    <col min="6156" max="6156" width="16.44140625" style="15" customWidth="1"/>
    <col min="6157" max="6400" width="8.88671875" style="15"/>
    <col min="6401" max="6401" width="1.109375" style="15" customWidth="1"/>
    <col min="6402" max="6402" width="5.44140625" style="15" customWidth="1"/>
    <col min="6403" max="6403" width="10.21875" style="15" customWidth="1"/>
    <col min="6404" max="6404" width="55.88671875" style="15" customWidth="1"/>
    <col min="6405" max="6405" width="9.21875" style="15" customWidth="1"/>
    <col min="6406" max="6411" width="8.44140625" style="15" customWidth="1"/>
    <col min="6412" max="6412" width="16.44140625" style="15" customWidth="1"/>
    <col min="6413" max="6656" width="8.88671875" style="15"/>
    <col min="6657" max="6657" width="1.109375" style="15" customWidth="1"/>
    <col min="6658" max="6658" width="5.44140625" style="15" customWidth="1"/>
    <col min="6659" max="6659" width="10.21875" style="15" customWidth="1"/>
    <col min="6660" max="6660" width="55.88671875" style="15" customWidth="1"/>
    <col min="6661" max="6661" width="9.21875" style="15" customWidth="1"/>
    <col min="6662" max="6667" width="8.44140625" style="15" customWidth="1"/>
    <col min="6668" max="6668" width="16.44140625" style="15" customWidth="1"/>
    <col min="6669" max="6912" width="8.88671875" style="15"/>
    <col min="6913" max="6913" width="1.109375" style="15" customWidth="1"/>
    <col min="6914" max="6914" width="5.44140625" style="15" customWidth="1"/>
    <col min="6915" max="6915" width="10.21875" style="15" customWidth="1"/>
    <col min="6916" max="6916" width="55.88671875" style="15" customWidth="1"/>
    <col min="6917" max="6917" width="9.21875" style="15" customWidth="1"/>
    <col min="6918" max="6923" width="8.44140625" style="15" customWidth="1"/>
    <col min="6924" max="6924" width="16.44140625" style="15" customWidth="1"/>
    <col min="6925" max="7168" width="8.88671875" style="15"/>
    <col min="7169" max="7169" width="1.109375" style="15" customWidth="1"/>
    <col min="7170" max="7170" width="5.44140625" style="15" customWidth="1"/>
    <col min="7171" max="7171" width="10.21875" style="15" customWidth="1"/>
    <col min="7172" max="7172" width="55.88671875" style="15" customWidth="1"/>
    <col min="7173" max="7173" width="9.21875" style="15" customWidth="1"/>
    <col min="7174" max="7179" width="8.44140625" style="15" customWidth="1"/>
    <col min="7180" max="7180" width="16.44140625" style="15" customWidth="1"/>
    <col min="7181" max="7424" width="8.88671875" style="15"/>
    <col min="7425" max="7425" width="1.109375" style="15" customWidth="1"/>
    <col min="7426" max="7426" width="5.44140625" style="15" customWidth="1"/>
    <col min="7427" max="7427" width="10.21875" style="15" customWidth="1"/>
    <col min="7428" max="7428" width="55.88671875" style="15" customWidth="1"/>
    <col min="7429" max="7429" width="9.21875" style="15" customWidth="1"/>
    <col min="7430" max="7435" width="8.44140625" style="15" customWidth="1"/>
    <col min="7436" max="7436" width="16.44140625" style="15" customWidth="1"/>
    <col min="7437" max="7680" width="8.88671875" style="15"/>
    <col min="7681" max="7681" width="1.109375" style="15" customWidth="1"/>
    <col min="7682" max="7682" width="5.44140625" style="15" customWidth="1"/>
    <col min="7683" max="7683" width="10.21875" style="15" customWidth="1"/>
    <col min="7684" max="7684" width="55.88671875" style="15" customWidth="1"/>
    <col min="7685" max="7685" width="9.21875" style="15" customWidth="1"/>
    <col min="7686" max="7691" width="8.44140625" style="15" customWidth="1"/>
    <col min="7692" max="7692" width="16.44140625" style="15" customWidth="1"/>
    <col min="7693" max="7936" width="8.88671875" style="15"/>
    <col min="7937" max="7937" width="1.109375" style="15" customWidth="1"/>
    <col min="7938" max="7938" width="5.44140625" style="15" customWidth="1"/>
    <col min="7939" max="7939" width="10.21875" style="15" customWidth="1"/>
    <col min="7940" max="7940" width="55.88671875" style="15" customWidth="1"/>
    <col min="7941" max="7941" width="9.21875" style="15" customWidth="1"/>
    <col min="7942" max="7947" width="8.44140625" style="15" customWidth="1"/>
    <col min="7948" max="7948" width="16.44140625" style="15" customWidth="1"/>
    <col min="7949" max="8192" width="8.88671875" style="15"/>
    <col min="8193" max="8193" width="1.109375" style="15" customWidth="1"/>
    <col min="8194" max="8194" width="5.44140625" style="15" customWidth="1"/>
    <col min="8195" max="8195" width="10.21875" style="15" customWidth="1"/>
    <col min="8196" max="8196" width="55.88671875" style="15" customWidth="1"/>
    <col min="8197" max="8197" width="9.21875" style="15" customWidth="1"/>
    <col min="8198" max="8203" width="8.44140625" style="15" customWidth="1"/>
    <col min="8204" max="8204" width="16.44140625" style="15" customWidth="1"/>
    <col min="8205" max="8448" width="8.88671875" style="15"/>
    <col min="8449" max="8449" width="1.109375" style="15" customWidth="1"/>
    <col min="8450" max="8450" width="5.44140625" style="15" customWidth="1"/>
    <col min="8451" max="8451" width="10.21875" style="15" customWidth="1"/>
    <col min="8452" max="8452" width="55.88671875" style="15" customWidth="1"/>
    <col min="8453" max="8453" width="9.21875" style="15" customWidth="1"/>
    <col min="8454" max="8459" width="8.44140625" style="15" customWidth="1"/>
    <col min="8460" max="8460" width="16.44140625" style="15" customWidth="1"/>
    <col min="8461" max="8704" width="8.88671875" style="15"/>
    <col min="8705" max="8705" width="1.109375" style="15" customWidth="1"/>
    <col min="8706" max="8706" width="5.44140625" style="15" customWidth="1"/>
    <col min="8707" max="8707" width="10.21875" style="15" customWidth="1"/>
    <col min="8708" max="8708" width="55.88671875" style="15" customWidth="1"/>
    <col min="8709" max="8709" width="9.21875" style="15" customWidth="1"/>
    <col min="8710" max="8715" width="8.44140625" style="15" customWidth="1"/>
    <col min="8716" max="8716" width="16.44140625" style="15" customWidth="1"/>
    <col min="8717" max="8960" width="8.88671875" style="15"/>
    <col min="8961" max="8961" width="1.109375" style="15" customWidth="1"/>
    <col min="8962" max="8962" width="5.44140625" style="15" customWidth="1"/>
    <col min="8963" max="8963" width="10.21875" style="15" customWidth="1"/>
    <col min="8964" max="8964" width="55.88671875" style="15" customWidth="1"/>
    <col min="8965" max="8965" width="9.21875" style="15" customWidth="1"/>
    <col min="8966" max="8971" width="8.44140625" style="15" customWidth="1"/>
    <col min="8972" max="8972" width="16.44140625" style="15" customWidth="1"/>
    <col min="8973" max="9216" width="8.88671875" style="15"/>
    <col min="9217" max="9217" width="1.109375" style="15" customWidth="1"/>
    <col min="9218" max="9218" width="5.44140625" style="15" customWidth="1"/>
    <col min="9219" max="9219" width="10.21875" style="15" customWidth="1"/>
    <col min="9220" max="9220" width="55.88671875" style="15" customWidth="1"/>
    <col min="9221" max="9221" width="9.21875" style="15" customWidth="1"/>
    <col min="9222" max="9227" width="8.44140625" style="15" customWidth="1"/>
    <col min="9228" max="9228" width="16.44140625" style="15" customWidth="1"/>
    <col min="9229" max="9472" width="8.88671875" style="15"/>
    <col min="9473" max="9473" width="1.109375" style="15" customWidth="1"/>
    <col min="9474" max="9474" width="5.44140625" style="15" customWidth="1"/>
    <col min="9475" max="9475" width="10.21875" style="15" customWidth="1"/>
    <col min="9476" max="9476" width="55.88671875" style="15" customWidth="1"/>
    <col min="9477" max="9477" width="9.21875" style="15" customWidth="1"/>
    <col min="9478" max="9483" width="8.44140625" style="15" customWidth="1"/>
    <col min="9484" max="9484" width="16.44140625" style="15" customWidth="1"/>
    <col min="9485" max="9728" width="8.88671875" style="15"/>
    <col min="9729" max="9729" width="1.109375" style="15" customWidth="1"/>
    <col min="9730" max="9730" width="5.44140625" style="15" customWidth="1"/>
    <col min="9731" max="9731" width="10.21875" style="15" customWidth="1"/>
    <col min="9732" max="9732" width="55.88671875" style="15" customWidth="1"/>
    <col min="9733" max="9733" width="9.21875" style="15" customWidth="1"/>
    <col min="9734" max="9739" width="8.44140625" style="15" customWidth="1"/>
    <col min="9740" max="9740" width="16.44140625" style="15" customWidth="1"/>
    <col min="9741" max="9984" width="8.88671875" style="15"/>
    <col min="9985" max="9985" width="1.109375" style="15" customWidth="1"/>
    <col min="9986" max="9986" width="5.44140625" style="15" customWidth="1"/>
    <col min="9987" max="9987" width="10.21875" style="15" customWidth="1"/>
    <col min="9988" max="9988" width="55.88671875" style="15" customWidth="1"/>
    <col min="9989" max="9989" width="9.21875" style="15" customWidth="1"/>
    <col min="9990" max="9995" width="8.44140625" style="15" customWidth="1"/>
    <col min="9996" max="9996" width="16.44140625" style="15" customWidth="1"/>
    <col min="9997" max="10240" width="8.88671875" style="15"/>
    <col min="10241" max="10241" width="1.109375" style="15" customWidth="1"/>
    <col min="10242" max="10242" width="5.44140625" style="15" customWidth="1"/>
    <col min="10243" max="10243" width="10.21875" style="15" customWidth="1"/>
    <col min="10244" max="10244" width="55.88671875" style="15" customWidth="1"/>
    <col min="10245" max="10245" width="9.21875" style="15" customWidth="1"/>
    <col min="10246" max="10251" width="8.44140625" style="15" customWidth="1"/>
    <col min="10252" max="10252" width="16.44140625" style="15" customWidth="1"/>
    <col min="10253" max="10496" width="8.88671875" style="15"/>
    <col min="10497" max="10497" width="1.109375" style="15" customWidth="1"/>
    <col min="10498" max="10498" width="5.44140625" style="15" customWidth="1"/>
    <col min="10499" max="10499" width="10.21875" style="15" customWidth="1"/>
    <col min="10500" max="10500" width="55.88671875" style="15" customWidth="1"/>
    <col min="10501" max="10501" width="9.21875" style="15" customWidth="1"/>
    <col min="10502" max="10507" width="8.44140625" style="15" customWidth="1"/>
    <col min="10508" max="10508" width="16.44140625" style="15" customWidth="1"/>
    <col min="10509" max="10752" width="8.88671875" style="15"/>
    <col min="10753" max="10753" width="1.109375" style="15" customWidth="1"/>
    <col min="10754" max="10754" width="5.44140625" style="15" customWidth="1"/>
    <col min="10755" max="10755" width="10.21875" style="15" customWidth="1"/>
    <col min="10756" max="10756" width="55.88671875" style="15" customWidth="1"/>
    <col min="10757" max="10757" width="9.21875" style="15" customWidth="1"/>
    <col min="10758" max="10763" width="8.44140625" style="15" customWidth="1"/>
    <col min="10764" max="10764" width="16.44140625" style="15" customWidth="1"/>
    <col min="10765" max="11008" width="8.88671875" style="15"/>
    <col min="11009" max="11009" width="1.109375" style="15" customWidth="1"/>
    <col min="11010" max="11010" width="5.44140625" style="15" customWidth="1"/>
    <col min="11011" max="11011" width="10.21875" style="15" customWidth="1"/>
    <col min="11012" max="11012" width="55.88671875" style="15" customWidth="1"/>
    <col min="11013" max="11013" width="9.21875" style="15" customWidth="1"/>
    <col min="11014" max="11019" width="8.44140625" style="15" customWidth="1"/>
    <col min="11020" max="11020" width="16.44140625" style="15" customWidth="1"/>
    <col min="11021" max="11264" width="8.88671875" style="15"/>
    <col min="11265" max="11265" width="1.109375" style="15" customWidth="1"/>
    <col min="11266" max="11266" width="5.44140625" style="15" customWidth="1"/>
    <col min="11267" max="11267" width="10.21875" style="15" customWidth="1"/>
    <col min="11268" max="11268" width="55.88671875" style="15" customWidth="1"/>
    <col min="11269" max="11269" width="9.21875" style="15" customWidth="1"/>
    <col min="11270" max="11275" width="8.44140625" style="15" customWidth="1"/>
    <col min="11276" max="11276" width="16.44140625" style="15" customWidth="1"/>
    <col min="11277" max="11520" width="8.88671875" style="15"/>
    <col min="11521" max="11521" width="1.109375" style="15" customWidth="1"/>
    <col min="11522" max="11522" width="5.44140625" style="15" customWidth="1"/>
    <col min="11523" max="11523" width="10.21875" style="15" customWidth="1"/>
    <col min="11524" max="11524" width="55.88671875" style="15" customWidth="1"/>
    <col min="11525" max="11525" width="9.21875" style="15" customWidth="1"/>
    <col min="11526" max="11531" width="8.44140625" style="15" customWidth="1"/>
    <col min="11532" max="11532" width="16.44140625" style="15" customWidth="1"/>
    <col min="11533" max="11776" width="8.88671875" style="15"/>
    <col min="11777" max="11777" width="1.109375" style="15" customWidth="1"/>
    <col min="11778" max="11778" width="5.44140625" style="15" customWidth="1"/>
    <col min="11779" max="11779" width="10.21875" style="15" customWidth="1"/>
    <col min="11780" max="11780" width="55.88671875" style="15" customWidth="1"/>
    <col min="11781" max="11781" width="9.21875" style="15" customWidth="1"/>
    <col min="11782" max="11787" width="8.44140625" style="15" customWidth="1"/>
    <col min="11788" max="11788" width="16.44140625" style="15" customWidth="1"/>
    <col min="11789" max="12032" width="8.88671875" style="15"/>
    <col min="12033" max="12033" width="1.109375" style="15" customWidth="1"/>
    <col min="12034" max="12034" width="5.44140625" style="15" customWidth="1"/>
    <col min="12035" max="12035" width="10.21875" style="15" customWidth="1"/>
    <col min="12036" max="12036" width="55.88671875" style="15" customWidth="1"/>
    <col min="12037" max="12037" width="9.21875" style="15" customWidth="1"/>
    <col min="12038" max="12043" width="8.44140625" style="15" customWidth="1"/>
    <col min="12044" max="12044" width="16.44140625" style="15" customWidth="1"/>
    <col min="12045" max="12288" width="8.88671875" style="15"/>
    <col min="12289" max="12289" width="1.109375" style="15" customWidth="1"/>
    <col min="12290" max="12290" width="5.44140625" style="15" customWidth="1"/>
    <col min="12291" max="12291" width="10.21875" style="15" customWidth="1"/>
    <col min="12292" max="12292" width="55.88671875" style="15" customWidth="1"/>
    <col min="12293" max="12293" width="9.21875" style="15" customWidth="1"/>
    <col min="12294" max="12299" width="8.44140625" style="15" customWidth="1"/>
    <col min="12300" max="12300" width="16.44140625" style="15" customWidth="1"/>
    <col min="12301" max="12544" width="8.88671875" style="15"/>
    <col min="12545" max="12545" width="1.109375" style="15" customWidth="1"/>
    <col min="12546" max="12546" width="5.44140625" style="15" customWidth="1"/>
    <col min="12547" max="12547" width="10.21875" style="15" customWidth="1"/>
    <col min="12548" max="12548" width="55.88671875" style="15" customWidth="1"/>
    <col min="12549" max="12549" width="9.21875" style="15" customWidth="1"/>
    <col min="12550" max="12555" width="8.44140625" style="15" customWidth="1"/>
    <col min="12556" max="12556" width="16.44140625" style="15" customWidth="1"/>
    <col min="12557" max="12800" width="8.88671875" style="15"/>
    <col min="12801" max="12801" width="1.109375" style="15" customWidth="1"/>
    <col min="12802" max="12802" width="5.44140625" style="15" customWidth="1"/>
    <col min="12803" max="12803" width="10.21875" style="15" customWidth="1"/>
    <col min="12804" max="12804" width="55.88671875" style="15" customWidth="1"/>
    <col min="12805" max="12805" width="9.21875" style="15" customWidth="1"/>
    <col min="12806" max="12811" width="8.44140625" style="15" customWidth="1"/>
    <col min="12812" max="12812" width="16.44140625" style="15" customWidth="1"/>
    <col min="12813" max="13056" width="8.88671875" style="15"/>
    <col min="13057" max="13057" width="1.109375" style="15" customWidth="1"/>
    <col min="13058" max="13058" width="5.44140625" style="15" customWidth="1"/>
    <col min="13059" max="13059" width="10.21875" style="15" customWidth="1"/>
    <col min="13060" max="13060" width="55.88671875" style="15" customWidth="1"/>
    <col min="13061" max="13061" width="9.21875" style="15" customWidth="1"/>
    <col min="13062" max="13067" width="8.44140625" style="15" customWidth="1"/>
    <col min="13068" max="13068" width="16.44140625" style="15" customWidth="1"/>
    <col min="13069" max="13312" width="8.88671875" style="15"/>
    <col min="13313" max="13313" width="1.109375" style="15" customWidth="1"/>
    <col min="13314" max="13314" width="5.44140625" style="15" customWidth="1"/>
    <col min="13315" max="13315" width="10.21875" style="15" customWidth="1"/>
    <col min="13316" max="13316" width="55.88671875" style="15" customWidth="1"/>
    <col min="13317" max="13317" width="9.21875" style="15" customWidth="1"/>
    <col min="13318" max="13323" width="8.44140625" style="15" customWidth="1"/>
    <col min="13324" max="13324" width="16.44140625" style="15" customWidth="1"/>
    <col min="13325" max="13568" width="8.88671875" style="15"/>
    <col min="13569" max="13569" width="1.109375" style="15" customWidth="1"/>
    <col min="13570" max="13570" width="5.44140625" style="15" customWidth="1"/>
    <col min="13571" max="13571" width="10.21875" style="15" customWidth="1"/>
    <col min="13572" max="13572" width="55.88671875" style="15" customWidth="1"/>
    <col min="13573" max="13573" width="9.21875" style="15" customWidth="1"/>
    <col min="13574" max="13579" width="8.44140625" style="15" customWidth="1"/>
    <col min="13580" max="13580" width="16.44140625" style="15" customWidth="1"/>
    <col min="13581" max="13824" width="8.88671875" style="15"/>
    <col min="13825" max="13825" width="1.109375" style="15" customWidth="1"/>
    <col min="13826" max="13826" width="5.44140625" style="15" customWidth="1"/>
    <col min="13827" max="13827" width="10.21875" style="15" customWidth="1"/>
    <col min="13828" max="13828" width="55.88671875" style="15" customWidth="1"/>
    <col min="13829" max="13829" width="9.21875" style="15" customWidth="1"/>
    <col min="13830" max="13835" width="8.44140625" style="15" customWidth="1"/>
    <col min="13836" max="13836" width="16.44140625" style="15" customWidth="1"/>
    <col min="13837" max="14080" width="8.88671875" style="15"/>
    <col min="14081" max="14081" width="1.109375" style="15" customWidth="1"/>
    <col min="14082" max="14082" width="5.44140625" style="15" customWidth="1"/>
    <col min="14083" max="14083" width="10.21875" style="15" customWidth="1"/>
    <col min="14084" max="14084" width="55.88671875" style="15" customWidth="1"/>
    <col min="14085" max="14085" width="9.21875" style="15" customWidth="1"/>
    <col min="14086" max="14091" width="8.44140625" style="15" customWidth="1"/>
    <col min="14092" max="14092" width="16.44140625" style="15" customWidth="1"/>
    <col min="14093" max="14336" width="8.88671875" style="15"/>
    <col min="14337" max="14337" width="1.109375" style="15" customWidth="1"/>
    <col min="14338" max="14338" width="5.44140625" style="15" customWidth="1"/>
    <col min="14339" max="14339" width="10.21875" style="15" customWidth="1"/>
    <col min="14340" max="14340" width="55.88671875" style="15" customWidth="1"/>
    <col min="14341" max="14341" width="9.21875" style="15" customWidth="1"/>
    <col min="14342" max="14347" width="8.44140625" style="15" customWidth="1"/>
    <col min="14348" max="14348" width="16.44140625" style="15" customWidth="1"/>
    <col min="14349" max="14592" width="8.88671875" style="15"/>
    <col min="14593" max="14593" width="1.109375" style="15" customWidth="1"/>
    <col min="14594" max="14594" width="5.44140625" style="15" customWidth="1"/>
    <col min="14595" max="14595" width="10.21875" style="15" customWidth="1"/>
    <col min="14596" max="14596" width="55.88671875" style="15" customWidth="1"/>
    <col min="14597" max="14597" width="9.21875" style="15" customWidth="1"/>
    <col min="14598" max="14603" width="8.44140625" style="15" customWidth="1"/>
    <col min="14604" max="14604" width="16.44140625" style="15" customWidth="1"/>
    <col min="14605" max="14848" width="8.88671875" style="15"/>
    <col min="14849" max="14849" width="1.109375" style="15" customWidth="1"/>
    <col min="14850" max="14850" width="5.44140625" style="15" customWidth="1"/>
    <col min="14851" max="14851" width="10.21875" style="15" customWidth="1"/>
    <col min="14852" max="14852" width="55.88671875" style="15" customWidth="1"/>
    <col min="14853" max="14853" width="9.21875" style="15" customWidth="1"/>
    <col min="14854" max="14859" width="8.44140625" style="15" customWidth="1"/>
    <col min="14860" max="14860" width="16.44140625" style="15" customWidth="1"/>
    <col min="14861" max="15104" width="8.88671875" style="15"/>
    <col min="15105" max="15105" width="1.109375" style="15" customWidth="1"/>
    <col min="15106" max="15106" width="5.44140625" style="15" customWidth="1"/>
    <col min="15107" max="15107" width="10.21875" style="15" customWidth="1"/>
    <col min="15108" max="15108" width="55.88671875" style="15" customWidth="1"/>
    <col min="15109" max="15109" width="9.21875" style="15" customWidth="1"/>
    <col min="15110" max="15115" width="8.44140625" style="15" customWidth="1"/>
    <col min="15116" max="15116" width="16.44140625" style="15" customWidth="1"/>
    <col min="15117" max="15360" width="8.88671875" style="15"/>
    <col min="15361" max="15361" width="1.109375" style="15" customWidth="1"/>
    <col min="15362" max="15362" width="5.44140625" style="15" customWidth="1"/>
    <col min="15363" max="15363" width="10.21875" style="15" customWidth="1"/>
    <col min="15364" max="15364" width="55.88671875" style="15" customWidth="1"/>
    <col min="15365" max="15365" width="9.21875" style="15" customWidth="1"/>
    <col min="15366" max="15371" width="8.44140625" style="15" customWidth="1"/>
    <col min="15372" max="15372" width="16.44140625" style="15" customWidth="1"/>
    <col min="15373" max="15616" width="8.88671875" style="15"/>
    <col min="15617" max="15617" width="1.109375" style="15" customWidth="1"/>
    <col min="15618" max="15618" width="5.44140625" style="15" customWidth="1"/>
    <col min="15619" max="15619" width="10.21875" style="15" customWidth="1"/>
    <col min="15620" max="15620" width="55.88671875" style="15" customWidth="1"/>
    <col min="15621" max="15621" width="9.21875" style="15" customWidth="1"/>
    <col min="15622" max="15627" width="8.44140625" style="15" customWidth="1"/>
    <col min="15628" max="15628" width="16.44140625" style="15" customWidth="1"/>
    <col min="15629" max="15872" width="8.88671875" style="15"/>
    <col min="15873" max="15873" width="1.109375" style="15" customWidth="1"/>
    <col min="15874" max="15874" width="5.44140625" style="15" customWidth="1"/>
    <col min="15875" max="15875" width="10.21875" style="15" customWidth="1"/>
    <col min="15876" max="15876" width="55.88671875" style="15" customWidth="1"/>
    <col min="15877" max="15877" width="9.21875" style="15" customWidth="1"/>
    <col min="15878" max="15883" width="8.44140625" style="15" customWidth="1"/>
    <col min="15884" max="15884" width="16.44140625" style="15" customWidth="1"/>
    <col min="15885" max="16128" width="8.88671875" style="15"/>
    <col min="16129" max="16129" width="1.109375" style="15" customWidth="1"/>
    <col min="16130" max="16130" width="5.44140625" style="15" customWidth="1"/>
    <col min="16131" max="16131" width="10.21875" style="15" customWidth="1"/>
    <col min="16132" max="16132" width="55.88671875" style="15" customWidth="1"/>
    <col min="16133" max="16133" width="9.21875" style="15" customWidth="1"/>
    <col min="16134" max="16139" width="8.44140625" style="15" customWidth="1"/>
    <col min="16140" max="16140" width="16.44140625" style="15" customWidth="1"/>
    <col min="16141" max="16384" width="8.88671875" style="15"/>
  </cols>
  <sheetData>
    <row r="2" spans="2:13">
      <c r="B2" s="100" t="s">
        <v>302</v>
      </c>
      <c r="E2" s="28" t="s">
        <v>337</v>
      </c>
    </row>
    <row r="3" spans="2:13">
      <c r="B3" s="100"/>
    </row>
    <row r="4" spans="2:13">
      <c r="B4" s="78" t="s">
        <v>303</v>
      </c>
    </row>
    <row r="5" spans="2:13" ht="13.5" thickBot="1"/>
    <row r="6" spans="2:13" s="78" customFormat="1" ht="13.9" customHeight="1">
      <c r="B6" s="299" t="s">
        <v>324</v>
      </c>
      <c r="C6" s="300"/>
      <c r="D6" s="303" t="s">
        <v>431</v>
      </c>
      <c r="E6" s="305" t="s">
        <v>304</v>
      </c>
      <c r="F6" s="306"/>
      <c r="G6" s="309" t="s">
        <v>436</v>
      </c>
      <c r="H6" s="310"/>
      <c r="I6" s="310"/>
      <c r="J6" s="310"/>
      <c r="K6" s="311"/>
      <c r="L6" s="15"/>
    </row>
    <row r="7" spans="2:13" s="78" customFormat="1" ht="14.25" customHeight="1" thickBot="1">
      <c r="B7" s="301"/>
      <c r="C7" s="302"/>
      <c r="D7" s="304"/>
      <c r="E7" s="307"/>
      <c r="F7" s="308"/>
      <c r="G7" s="312"/>
      <c r="H7" s="313"/>
      <c r="I7" s="313"/>
      <c r="J7" s="313"/>
      <c r="K7" s="314"/>
      <c r="L7" s="15"/>
    </row>
    <row r="8" spans="2:13" s="78" customFormat="1" ht="14.25" customHeight="1" thickBot="1">
      <c r="B8" s="315" t="s">
        <v>325</v>
      </c>
      <c r="C8" s="316"/>
      <c r="D8" s="122" t="s">
        <v>426</v>
      </c>
      <c r="E8" s="305" t="s">
        <v>305</v>
      </c>
      <c r="F8" s="306"/>
      <c r="G8" s="317" t="s">
        <v>434</v>
      </c>
      <c r="H8" s="318"/>
      <c r="I8" s="318"/>
      <c r="J8" s="318"/>
      <c r="K8" s="319"/>
      <c r="L8" s="15"/>
    </row>
    <row r="9" spans="2:13" s="78" customFormat="1" ht="14.25" customHeight="1" thickBot="1">
      <c r="B9" s="315" t="s">
        <v>326</v>
      </c>
      <c r="C9" s="316"/>
      <c r="D9" s="123" t="s">
        <v>437</v>
      </c>
      <c r="E9" s="307"/>
      <c r="F9" s="308"/>
      <c r="G9" s="320"/>
      <c r="H9" s="321"/>
      <c r="I9" s="321"/>
      <c r="J9" s="321"/>
      <c r="K9" s="322"/>
      <c r="L9" s="15"/>
    </row>
    <row r="10" spans="2:13" s="78" customFormat="1" ht="13.5" thickBot="1">
      <c r="B10" s="101"/>
      <c r="D10" s="101"/>
      <c r="E10" s="101"/>
      <c r="F10" s="15"/>
      <c r="G10" s="77"/>
      <c r="H10" s="102"/>
      <c r="I10" s="103"/>
      <c r="J10" s="104"/>
      <c r="K10" s="103"/>
      <c r="L10" s="103"/>
      <c r="M10" s="15"/>
    </row>
    <row r="11" spans="2:13" ht="26.25" thickBot="1">
      <c r="B11" s="79" t="s">
        <v>327</v>
      </c>
      <c r="C11" s="323" t="s">
        <v>328</v>
      </c>
      <c r="D11" s="324"/>
      <c r="E11" s="80" t="s">
        <v>306</v>
      </c>
      <c r="F11" s="81" t="s">
        <v>329</v>
      </c>
      <c r="G11" s="82" t="s">
        <v>330</v>
      </c>
      <c r="H11" s="83" t="s">
        <v>331</v>
      </c>
      <c r="I11" s="84" t="s">
        <v>332</v>
      </c>
      <c r="J11" s="85" t="s">
        <v>330</v>
      </c>
      <c r="K11" s="86" t="s">
        <v>331</v>
      </c>
      <c r="L11" s="80" t="s">
        <v>333</v>
      </c>
    </row>
    <row r="12" spans="2:13" ht="13.5" thickBot="1">
      <c r="B12" s="325" t="s">
        <v>307</v>
      </c>
      <c r="C12" s="326"/>
      <c r="D12" s="326"/>
      <c r="E12" s="326"/>
      <c r="F12" s="326"/>
      <c r="G12" s="326"/>
      <c r="H12" s="326"/>
      <c r="I12" s="326"/>
      <c r="J12" s="326"/>
      <c r="K12" s="326"/>
      <c r="L12" s="327"/>
    </row>
    <row r="13" spans="2:13" ht="12" customHeight="1">
      <c r="B13" s="328" t="s">
        <v>308</v>
      </c>
      <c r="C13" s="329"/>
      <c r="D13" s="329"/>
      <c r="E13" s="329"/>
      <c r="F13" s="329"/>
      <c r="G13" s="329"/>
      <c r="H13" s="329"/>
      <c r="I13" s="329"/>
      <c r="J13" s="329"/>
      <c r="K13" s="329"/>
      <c r="L13" s="330"/>
    </row>
    <row r="14" spans="2:13" ht="12" customHeight="1">
      <c r="B14" s="105">
        <v>1</v>
      </c>
      <c r="C14" s="331" t="s">
        <v>309</v>
      </c>
      <c r="D14" s="332"/>
      <c r="E14" s="87" t="s">
        <v>310</v>
      </c>
      <c r="F14" s="105" t="s">
        <v>311</v>
      </c>
      <c r="G14" s="106" t="s">
        <v>436</v>
      </c>
      <c r="H14" s="107" t="s">
        <v>433</v>
      </c>
      <c r="I14" s="105" t="s">
        <v>311</v>
      </c>
      <c r="J14" s="106" t="s">
        <v>436</v>
      </c>
      <c r="K14" s="107" t="s">
        <v>434</v>
      </c>
      <c r="L14" s="88"/>
    </row>
    <row r="15" spans="2:13" ht="25.5" customHeight="1">
      <c r="B15" s="105">
        <v>2</v>
      </c>
      <c r="C15" s="331" t="s">
        <v>312</v>
      </c>
      <c r="D15" s="332"/>
      <c r="E15" s="87" t="s">
        <v>313</v>
      </c>
      <c r="F15" s="105" t="s">
        <v>311</v>
      </c>
      <c r="G15" s="106" t="s">
        <v>436</v>
      </c>
      <c r="H15" s="107" t="s">
        <v>433</v>
      </c>
      <c r="I15" s="105" t="s">
        <v>311</v>
      </c>
      <c r="J15" s="106" t="s">
        <v>436</v>
      </c>
      <c r="K15" s="107" t="s">
        <v>434</v>
      </c>
      <c r="L15" s="88"/>
    </row>
    <row r="16" spans="2:13">
      <c r="B16" s="105">
        <v>3</v>
      </c>
      <c r="C16" s="297" t="s">
        <v>314</v>
      </c>
      <c r="D16" s="298"/>
      <c r="E16" s="87" t="s">
        <v>313</v>
      </c>
      <c r="F16" s="105" t="s">
        <v>311</v>
      </c>
      <c r="G16" s="106" t="s">
        <v>436</v>
      </c>
      <c r="H16" s="107" t="s">
        <v>433</v>
      </c>
      <c r="I16" s="105" t="s">
        <v>311</v>
      </c>
      <c r="J16" s="106" t="s">
        <v>436</v>
      </c>
      <c r="K16" s="107" t="s">
        <v>434</v>
      </c>
      <c r="L16" s="88"/>
    </row>
    <row r="17" spans="2:12">
      <c r="B17" s="105">
        <v>4</v>
      </c>
      <c r="C17" s="213" t="s">
        <v>315</v>
      </c>
      <c r="D17" s="213"/>
      <c r="E17" s="87" t="s">
        <v>313</v>
      </c>
      <c r="F17" s="105" t="s">
        <v>311</v>
      </c>
      <c r="G17" s="106" t="s">
        <v>436</v>
      </c>
      <c r="H17" s="107" t="s">
        <v>433</v>
      </c>
      <c r="I17" s="105" t="s">
        <v>311</v>
      </c>
      <c r="J17" s="106" t="s">
        <v>436</v>
      </c>
      <c r="K17" s="107" t="s">
        <v>434</v>
      </c>
      <c r="L17" s="88"/>
    </row>
    <row r="18" spans="2:12">
      <c r="B18" s="105">
        <v>5</v>
      </c>
      <c r="C18" s="213" t="s">
        <v>316</v>
      </c>
      <c r="D18" s="213"/>
      <c r="E18" s="87" t="s">
        <v>313</v>
      </c>
      <c r="F18" s="105" t="s">
        <v>311</v>
      </c>
      <c r="G18" s="106" t="s">
        <v>436</v>
      </c>
      <c r="H18" s="107" t="s">
        <v>433</v>
      </c>
      <c r="I18" s="105" t="s">
        <v>311</v>
      </c>
      <c r="J18" s="106" t="s">
        <v>436</v>
      </c>
      <c r="K18" s="107" t="s">
        <v>434</v>
      </c>
      <c r="L18" s="88"/>
    </row>
    <row r="19" spans="2:12" ht="60" customHeight="1">
      <c r="B19" s="105">
        <v>6</v>
      </c>
      <c r="C19" s="212" t="s">
        <v>336</v>
      </c>
      <c r="D19" s="298"/>
      <c r="E19" s="87" t="s">
        <v>313</v>
      </c>
      <c r="F19" s="105" t="s">
        <v>311</v>
      </c>
      <c r="G19" s="106" t="s">
        <v>436</v>
      </c>
      <c r="H19" s="107" t="s">
        <v>433</v>
      </c>
      <c r="I19" s="105" t="s">
        <v>311</v>
      </c>
      <c r="J19" s="106" t="s">
        <v>436</v>
      </c>
      <c r="K19" s="107" t="s">
        <v>434</v>
      </c>
      <c r="L19" s="88"/>
    </row>
    <row r="20" spans="2:12">
      <c r="B20" s="105">
        <v>7</v>
      </c>
      <c r="C20" s="297" t="s">
        <v>317</v>
      </c>
      <c r="D20" s="298"/>
      <c r="E20" s="87" t="s">
        <v>318</v>
      </c>
      <c r="F20" s="105" t="s">
        <v>311</v>
      </c>
      <c r="G20" s="106" t="s">
        <v>436</v>
      </c>
      <c r="H20" s="107" t="s">
        <v>433</v>
      </c>
      <c r="I20" s="105" t="s">
        <v>311</v>
      </c>
      <c r="J20" s="106" t="s">
        <v>436</v>
      </c>
      <c r="K20" s="107" t="s">
        <v>434</v>
      </c>
      <c r="L20" s="88"/>
    </row>
    <row r="21" spans="2:12">
      <c r="B21" s="108">
        <v>8</v>
      </c>
      <c r="C21" s="335" t="s">
        <v>338</v>
      </c>
      <c r="D21" s="336"/>
      <c r="E21" s="109" t="s">
        <v>318</v>
      </c>
      <c r="F21" s="105" t="s">
        <v>311</v>
      </c>
      <c r="G21" s="106" t="s">
        <v>436</v>
      </c>
      <c r="H21" s="107" t="s">
        <v>433</v>
      </c>
      <c r="I21" s="105" t="s">
        <v>311</v>
      </c>
      <c r="J21" s="106" t="s">
        <v>436</v>
      </c>
      <c r="K21" s="107" t="s">
        <v>434</v>
      </c>
      <c r="L21" s="110"/>
    </row>
    <row r="22" spans="2:12">
      <c r="B22" s="111" t="s">
        <v>319</v>
      </c>
      <c r="C22" s="112"/>
      <c r="D22" s="112"/>
      <c r="E22" s="112"/>
      <c r="F22" s="112"/>
      <c r="G22" s="89"/>
      <c r="H22" s="112"/>
      <c r="I22" s="112"/>
      <c r="J22" s="89"/>
      <c r="K22" s="112"/>
      <c r="L22" s="113"/>
    </row>
    <row r="23" spans="2:12">
      <c r="B23" s="105">
        <v>1</v>
      </c>
      <c r="C23" s="297" t="s">
        <v>320</v>
      </c>
      <c r="D23" s="298"/>
      <c r="E23" s="87" t="s">
        <v>313</v>
      </c>
      <c r="F23" s="105" t="s">
        <v>311</v>
      </c>
      <c r="G23" s="106" t="s">
        <v>436</v>
      </c>
      <c r="H23" s="107" t="s">
        <v>433</v>
      </c>
      <c r="I23" s="105" t="s">
        <v>311</v>
      </c>
      <c r="J23" s="106" t="s">
        <v>436</v>
      </c>
      <c r="K23" s="107" t="s">
        <v>434</v>
      </c>
      <c r="L23" s="88"/>
    </row>
    <row r="24" spans="2:12" ht="13.5" thickBot="1">
      <c r="B24" s="114">
        <v>2</v>
      </c>
      <c r="C24" s="333" t="s">
        <v>321</v>
      </c>
      <c r="D24" s="334"/>
      <c r="E24" s="115" t="s">
        <v>313</v>
      </c>
      <c r="F24" s="114" t="s">
        <v>311</v>
      </c>
      <c r="G24" s="116" t="s">
        <v>436</v>
      </c>
      <c r="H24" s="117" t="s">
        <v>433</v>
      </c>
      <c r="I24" s="114" t="s">
        <v>311</v>
      </c>
      <c r="J24" s="116" t="s">
        <v>436</v>
      </c>
      <c r="K24" s="117" t="s">
        <v>434</v>
      </c>
      <c r="L24" s="90"/>
    </row>
    <row r="26" spans="2:12">
      <c r="B26" s="78" t="s">
        <v>334</v>
      </c>
      <c r="C26" s="78"/>
      <c r="D26" s="91"/>
      <c r="E26" s="91"/>
      <c r="F26" s="92"/>
      <c r="G26" s="93"/>
      <c r="H26" s="94"/>
      <c r="I26" s="94"/>
      <c r="J26" s="93"/>
      <c r="K26" s="94"/>
      <c r="L26" s="95"/>
    </row>
    <row r="27" spans="2:12">
      <c r="B27" s="78" t="s">
        <v>322</v>
      </c>
      <c r="C27" s="78"/>
      <c r="D27" s="91"/>
      <c r="E27" s="91"/>
      <c r="F27" s="92"/>
      <c r="G27" s="93"/>
      <c r="H27" s="94"/>
      <c r="I27" s="94"/>
      <c r="J27" s="93"/>
      <c r="K27" s="94"/>
      <c r="L27" s="94"/>
    </row>
    <row r="28" spans="2:12">
      <c r="B28" s="78"/>
      <c r="C28" s="78"/>
      <c r="D28" s="91"/>
      <c r="E28" s="91"/>
      <c r="F28" s="92"/>
      <c r="G28" s="93"/>
      <c r="H28" s="94"/>
      <c r="I28" s="94"/>
      <c r="J28" s="93"/>
      <c r="K28" s="94"/>
      <c r="L28" s="94"/>
    </row>
  </sheetData>
  <dataConsolidate/>
  <mergeCells count="21">
    <mergeCell ref="C24:D24"/>
    <mergeCell ref="C17:D17"/>
    <mergeCell ref="C18:D18"/>
    <mergeCell ref="C19:D19"/>
    <mergeCell ref="C20:D20"/>
    <mergeCell ref="C21:D21"/>
    <mergeCell ref="C23:D23"/>
    <mergeCell ref="C16:D16"/>
    <mergeCell ref="B6:C7"/>
    <mergeCell ref="D6:D7"/>
    <mergeCell ref="E6:F7"/>
    <mergeCell ref="G6:K7"/>
    <mergeCell ref="B8:C8"/>
    <mergeCell ref="E8:F9"/>
    <mergeCell ref="G8:K9"/>
    <mergeCell ref="B9:C9"/>
    <mergeCell ref="C11:D11"/>
    <mergeCell ref="B12:L12"/>
    <mergeCell ref="B13:L13"/>
    <mergeCell ref="C14:D14"/>
    <mergeCell ref="C15:D15"/>
  </mergeCells>
  <conditionalFormatting sqref="F14:K14 F21 F15:G15 F16:F19 H15:H21 J16 J18 J20 G16:H21 K15:K21 F23:K24">
    <cfRule type="containsBlanks" dxfId="32" priority="4" stopIfTrue="1">
      <formula>LEN(TRIM(F14))=0</formula>
    </cfRule>
  </conditionalFormatting>
  <conditionalFormatting sqref="F20">
    <cfRule type="containsBlanks" dxfId="31" priority="3" stopIfTrue="1">
      <formula>LEN(TRIM(F20))=0</formula>
    </cfRule>
  </conditionalFormatting>
  <conditionalFormatting sqref="I15:I21">
    <cfRule type="containsBlanks" dxfId="30" priority="2" stopIfTrue="1">
      <formula>LEN(TRIM(I15))=0</formula>
    </cfRule>
  </conditionalFormatting>
  <conditionalFormatting sqref="J15 J17 J19 J21">
    <cfRule type="containsBlanks" dxfId="29" priority="1" stopIfTrue="1">
      <formula>LEN(TRIM(J15))=0</formula>
    </cfRule>
  </conditionalFormatting>
  <dataValidations disablePrompts="1" count="2">
    <dataValidation type="list" showInputMessage="1" showErrorMessage="1" sqref="I14:I21 JE23:JE24 TA23:TA24 ACW23:ACW24 AMS23:AMS24 AWO23:AWO24 BGK23:BGK24 BQG23:BQG24 CAC23:CAC24 CJY23:CJY24 CTU23:CTU24 DDQ23:DDQ24 DNM23:DNM24 DXI23:DXI24 EHE23:EHE24 ERA23:ERA24 FAW23:FAW24 FKS23:FKS24 FUO23:FUO24 GEK23:GEK24 GOG23:GOG24 GYC23:GYC24 HHY23:HHY24 HRU23:HRU24 IBQ23:IBQ24 ILM23:ILM24 IVI23:IVI24 JFE23:JFE24 JPA23:JPA24 JYW23:JYW24 KIS23:KIS24 KSO23:KSO24 LCK23:LCK24 LMG23:LMG24 LWC23:LWC24 MFY23:MFY24 MPU23:MPU24 MZQ23:MZQ24 NJM23:NJM24 NTI23:NTI24 ODE23:ODE24 ONA23:ONA24 OWW23:OWW24 PGS23:PGS24 PQO23:PQO24 QAK23:QAK24 QKG23:QKG24 QUC23:QUC24 RDY23:RDY24 RNU23:RNU24 RXQ23:RXQ24 SHM23:SHM24 SRI23:SRI24 TBE23:TBE24 TLA23:TLA24 TUW23:TUW24 UES23:UES24 UOO23:UOO24 UYK23:UYK24 VIG23:VIG24 VSC23:VSC24 WBY23:WBY24 WLU23:WLU24 WVQ23:WVQ24 I65559:I65560 JE65559:JE65560 TA65559:TA65560 ACW65559:ACW65560 AMS65559:AMS65560 AWO65559:AWO65560 BGK65559:BGK65560 BQG65559:BQG65560 CAC65559:CAC65560 CJY65559:CJY65560 CTU65559:CTU65560 DDQ65559:DDQ65560 DNM65559:DNM65560 DXI65559:DXI65560 EHE65559:EHE65560 ERA65559:ERA65560 FAW65559:FAW65560 FKS65559:FKS65560 FUO65559:FUO65560 GEK65559:GEK65560 GOG65559:GOG65560 GYC65559:GYC65560 HHY65559:HHY65560 HRU65559:HRU65560 IBQ65559:IBQ65560 ILM65559:ILM65560 IVI65559:IVI65560 JFE65559:JFE65560 JPA65559:JPA65560 JYW65559:JYW65560 KIS65559:KIS65560 KSO65559:KSO65560 LCK65559:LCK65560 LMG65559:LMG65560 LWC65559:LWC65560 MFY65559:MFY65560 MPU65559:MPU65560 MZQ65559:MZQ65560 NJM65559:NJM65560 NTI65559:NTI65560 ODE65559:ODE65560 ONA65559:ONA65560 OWW65559:OWW65560 PGS65559:PGS65560 PQO65559:PQO65560 QAK65559:QAK65560 QKG65559:QKG65560 QUC65559:QUC65560 RDY65559:RDY65560 RNU65559:RNU65560 RXQ65559:RXQ65560 SHM65559:SHM65560 SRI65559:SRI65560 TBE65559:TBE65560 TLA65559:TLA65560 TUW65559:TUW65560 UES65559:UES65560 UOO65559:UOO65560 UYK65559:UYK65560 VIG65559:VIG65560 VSC65559:VSC65560 WBY65559:WBY65560 WLU65559:WLU65560 WVQ65559:WVQ65560 I131095:I131096 JE131095:JE131096 TA131095:TA131096 ACW131095:ACW131096 AMS131095:AMS131096 AWO131095:AWO131096 BGK131095:BGK131096 BQG131095:BQG131096 CAC131095:CAC131096 CJY131095:CJY131096 CTU131095:CTU131096 DDQ131095:DDQ131096 DNM131095:DNM131096 DXI131095:DXI131096 EHE131095:EHE131096 ERA131095:ERA131096 FAW131095:FAW131096 FKS131095:FKS131096 FUO131095:FUO131096 GEK131095:GEK131096 GOG131095:GOG131096 GYC131095:GYC131096 HHY131095:HHY131096 HRU131095:HRU131096 IBQ131095:IBQ131096 ILM131095:ILM131096 IVI131095:IVI131096 JFE131095:JFE131096 JPA131095:JPA131096 JYW131095:JYW131096 KIS131095:KIS131096 KSO131095:KSO131096 LCK131095:LCK131096 LMG131095:LMG131096 LWC131095:LWC131096 MFY131095:MFY131096 MPU131095:MPU131096 MZQ131095:MZQ131096 NJM131095:NJM131096 NTI131095:NTI131096 ODE131095:ODE131096 ONA131095:ONA131096 OWW131095:OWW131096 PGS131095:PGS131096 PQO131095:PQO131096 QAK131095:QAK131096 QKG131095:QKG131096 QUC131095:QUC131096 RDY131095:RDY131096 RNU131095:RNU131096 RXQ131095:RXQ131096 SHM131095:SHM131096 SRI131095:SRI131096 TBE131095:TBE131096 TLA131095:TLA131096 TUW131095:TUW131096 UES131095:UES131096 UOO131095:UOO131096 UYK131095:UYK131096 VIG131095:VIG131096 VSC131095:VSC131096 WBY131095:WBY131096 WLU131095:WLU131096 WVQ131095:WVQ131096 I196631:I196632 JE196631:JE196632 TA196631:TA196632 ACW196631:ACW196632 AMS196631:AMS196632 AWO196631:AWO196632 BGK196631:BGK196632 BQG196631:BQG196632 CAC196631:CAC196632 CJY196631:CJY196632 CTU196631:CTU196632 DDQ196631:DDQ196632 DNM196631:DNM196632 DXI196631:DXI196632 EHE196631:EHE196632 ERA196631:ERA196632 FAW196631:FAW196632 FKS196631:FKS196632 FUO196631:FUO196632 GEK196631:GEK196632 GOG196631:GOG196632 GYC196631:GYC196632 HHY196631:HHY196632 HRU196631:HRU196632 IBQ196631:IBQ196632 ILM196631:ILM196632 IVI196631:IVI196632 JFE196631:JFE196632 JPA196631:JPA196632 JYW196631:JYW196632 KIS196631:KIS196632 KSO196631:KSO196632 LCK196631:LCK196632 LMG196631:LMG196632 LWC196631:LWC196632 MFY196631:MFY196632 MPU196631:MPU196632 MZQ196631:MZQ196632 NJM196631:NJM196632 NTI196631:NTI196632 ODE196631:ODE196632 ONA196631:ONA196632 OWW196631:OWW196632 PGS196631:PGS196632 PQO196631:PQO196632 QAK196631:QAK196632 QKG196631:QKG196632 QUC196631:QUC196632 RDY196631:RDY196632 RNU196631:RNU196632 RXQ196631:RXQ196632 SHM196631:SHM196632 SRI196631:SRI196632 TBE196631:TBE196632 TLA196631:TLA196632 TUW196631:TUW196632 UES196631:UES196632 UOO196631:UOO196632 UYK196631:UYK196632 VIG196631:VIG196632 VSC196631:VSC196632 WBY196631:WBY196632 WLU196631:WLU196632 WVQ196631:WVQ196632 I262167:I262168 JE262167:JE262168 TA262167:TA262168 ACW262167:ACW262168 AMS262167:AMS262168 AWO262167:AWO262168 BGK262167:BGK262168 BQG262167:BQG262168 CAC262167:CAC262168 CJY262167:CJY262168 CTU262167:CTU262168 DDQ262167:DDQ262168 DNM262167:DNM262168 DXI262167:DXI262168 EHE262167:EHE262168 ERA262167:ERA262168 FAW262167:FAW262168 FKS262167:FKS262168 FUO262167:FUO262168 GEK262167:GEK262168 GOG262167:GOG262168 GYC262167:GYC262168 HHY262167:HHY262168 HRU262167:HRU262168 IBQ262167:IBQ262168 ILM262167:ILM262168 IVI262167:IVI262168 JFE262167:JFE262168 JPA262167:JPA262168 JYW262167:JYW262168 KIS262167:KIS262168 KSO262167:KSO262168 LCK262167:LCK262168 LMG262167:LMG262168 LWC262167:LWC262168 MFY262167:MFY262168 MPU262167:MPU262168 MZQ262167:MZQ262168 NJM262167:NJM262168 NTI262167:NTI262168 ODE262167:ODE262168 ONA262167:ONA262168 OWW262167:OWW262168 PGS262167:PGS262168 PQO262167:PQO262168 QAK262167:QAK262168 QKG262167:QKG262168 QUC262167:QUC262168 RDY262167:RDY262168 RNU262167:RNU262168 RXQ262167:RXQ262168 SHM262167:SHM262168 SRI262167:SRI262168 TBE262167:TBE262168 TLA262167:TLA262168 TUW262167:TUW262168 UES262167:UES262168 UOO262167:UOO262168 UYK262167:UYK262168 VIG262167:VIG262168 VSC262167:VSC262168 WBY262167:WBY262168 WLU262167:WLU262168 WVQ262167:WVQ262168 I327703:I327704 JE327703:JE327704 TA327703:TA327704 ACW327703:ACW327704 AMS327703:AMS327704 AWO327703:AWO327704 BGK327703:BGK327704 BQG327703:BQG327704 CAC327703:CAC327704 CJY327703:CJY327704 CTU327703:CTU327704 DDQ327703:DDQ327704 DNM327703:DNM327704 DXI327703:DXI327704 EHE327703:EHE327704 ERA327703:ERA327704 FAW327703:FAW327704 FKS327703:FKS327704 FUO327703:FUO327704 GEK327703:GEK327704 GOG327703:GOG327704 GYC327703:GYC327704 HHY327703:HHY327704 HRU327703:HRU327704 IBQ327703:IBQ327704 ILM327703:ILM327704 IVI327703:IVI327704 JFE327703:JFE327704 JPA327703:JPA327704 JYW327703:JYW327704 KIS327703:KIS327704 KSO327703:KSO327704 LCK327703:LCK327704 LMG327703:LMG327704 LWC327703:LWC327704 MFY327703:MFY327704 MPU327703:MPU327704 MZQ327703:MZQ327704 NJM327703:NJM327704 NTI327703:NTI327704 ODE327703:ODE327704 ONA327703:ONA327704 OWW327703:OWW327704 PGS327703:PGS327704 PQO327703:PQO327704 QAK327703:QAK327704 QKG327703:QKG327704 QUC327703:QUC327704 RDY327703:RDY327704 RNU327703:RNU327704 RXQ327703:RXQ327704 SHM327703:SHM327704 SRI327703:SRI327704 TBE327703:TBE327704 TLA327703:TLA327704 TUW327703:TUW327704 UES327703:UES327704 UOO327703:UOO327704 UYK327703:UYK327704 VIG327703:VIG327704 VSC327703:VSC327704 WBY327703:WBY327704 WLU327703:WLU327704 WVQ327703:WVQ327704 I393239:I393240 JE393239:JE393240 TA393239:TA393240 ACW393239:ACW393240 AMS393239:AMS393240 AWO393239:AWO393240 BGK393239:BGK393240 BQG393239:BQG393240 CAC393239:CAC393240 CJY393239:CJY393240 CTU393239:CTU393240 DDQ393239:DDQ393240 DNM393239:DNM393240 DXI393239:DXI393240 EHE393239:EHE393240 ERA393239:ERA393240 FAW393239:FAW393240 FKS393239:FKS393240 FUO393239:FUO393240 GEK393239:GEK393240 GOG393239:GOG393240 GYC393239:GYC393240 HHY393239:HHY393240 HRU393239:HRU393240 IBQ393239:IBQ393240 ILM393239:ILM393240 IVI393239:IVI393240 JFE393239:JFE393240 JPA393239:JPA393240 JYW393239:JYW393240 KIS393239:KIS393240 KSO393239:KSO393240 LCK393239:LCK393240 LMG393239:LMG393240 LWC393239:LWC393240 MFY393239:MFY393240 MPU393239:MPU393240 MZQ393239:MZQ393240 NJM393239:NJM393240 NTI393239:NTI393240 ODE393239:ODE393240 ONA393239:ONA393240 OWW393239:OWW393240 PGS393239:PGS393240 PQO393239:PQO393240 QAK393239:QAK393240 QKG393239:QKG393240 QUC393239:QUC393240 RDY393239:RDY393240 RNU393239:RNU393240 RXQ393239:RXQ393240 SHM393239:SHM393240 SRI393239:SRI393240 TBE393239:TBE393240 TLA393239:TLA393240 TUW393239:TUW393240 UES393239:UES393240 UOO393239:UOO393240 UYK393239:UYK393240 VIG393239:VIG393240 VSC393239:VSC393240 WBY393239:WBY393240 WLU393239:WLU393240 WVQ393239:WVQ393240 I458775:I458776 JE458775:JE458776 TA458775:TA458776 ACW458775:ACW458776 AMS458775:AMS458776 AWO458775:AWO458776 BGK458775:BGK458776 BQG458775:BQG458776 CAC458775:CAC458776 CJY458775:CJY458776 CTU458775:CTU458776 DDQ458775:DDQ458776 DNM458775:DNM458776 DXI458775:DXI458776 EHE458775:EHE458776 ERA458775:ERA458776 FAW458775:FAW458776 FKS458775:FKS458776 FUO458775:FUO458776 GEK458775:GEK458776 GOG458775:GOG458776 GYC458775:GYC458776 HHY458775:HHY458776 HRU458775:HRU458776 IBQ458775:IBQ458776 ILM458775:ILM458776 IVI458775:IVI458776 JFE458775:JFE458776 JPA458775:JPA458776 JYW458775:JYW458776 KIS458775:KIS458776 KSO458775:KSO458776 LCK458775:LCK458776 LMG458775:LMG458776 LWC458775:LWC458776 MFY458775:MFY458776 MPU458775:MPU458776 MZQ458775:MZQ458776 NJM458775:NJM458776 NTI458775:NTI458776 ODE458775:ODE458776 ONA458775:ONA458776 OWW458775:OWW458776 PGS458775:PGS458776 PQO458775:PQO458776 QAK458775:QAK458776 QKG458775:QKG458776 QUC458775:QUC458776 RDY458775:RDY458776 RNU458775:RNU458776 RXQ458775:RXQ458776 SHM458775:SHM458776 SRI458775:SRI458776 TBE458775:TBE458776 TLA458775:TLA458776 TUW458775:TUW458776 UES458775:UES458776 UOO458775:UOO458776 UYK458775:UYK458776 VIG458775:VIG458776 VSC458775:VSC458776 WBY458775:WBY458776 WLU458775:WLU458776 WVQ458775:WVQ458776 I524311:I524312 JE524311:JE524312 TA524311:TA524312 ACW524311:ACW524312 AMS524311:AMS524312 AWO524311:AWO524312 BGK524311:BGK524312 BQG524311:BQG524312 CAC524311:CAC524312 CJY524311:CJY524312 CTU524311:CTU524312 DDQ524311:DDQ524312 DNM524311:DNM524312 DXI524311:DXI524312 EHE524311:EHE524312 ERA524311:ERA524312 FAW524311:FAW524312 FKS524311:FKS524312 FUO524311:FUO524312 GEK524311:GEK524312 GOG524311:GOG524312 GYC524311:GYC524312 HHY524311:HHY524312 HRU524311:HRU524312 IBQ524311:IBQ524312 ILM524311:ILM524312 IVI524311:IVI524312 JFE524311:JFE524312 JPA524311:JPA524312 JYW524311:JYW524312 KIS524311:KIS524312 KSO524311:KSO524312 LCK524311:LCK524312 LMG524311:LMG524312 LWC524311:LWC524312 MFY524311:MFY524312 MPU524311:MPU524312 MZQ524311:MZQ524312 NJM524311:NJM524312 NTI524311:NTI524312 ODE524311:ODE524312 ONA524311:ONA524312 OWW524311:OWW524312 PGS524311:PGS524312 PQO524311:PQO524312 QAK524311:QAK524312 QKG524311:QKG524312 QUC524311:QUC524312 RDY524311:RDY524312 RNU524311:RNU524312 RXQ524311:RXQ524312 SHM524311:SHM524312 SRI524311:SRI524312 TBE524311:TBE524312 TLA524311:TLA524312 TUW524311:TUW524312 UES524311:UES524312 UOO524311:UOO524312 UYK524311:UYK524312 VIG524311:VIG524312 VSC524311:VSC524312 WBY524311:WBY524312 WLU524311:WLU524312 WVQ524311:WVQ524312 I589847:I589848 JE589847:JE589848 TA589847:TA589848 ACW589847:ACW589848 AMS589847:AMS589848 AWO589847:AWO589848 BGK589847:BGK589848 BQG589847:BQG589848 CAC589847:CAC589848 CJY589847:CJY589848 CTU589847:CTU589848 DDQ589847:DDQ589848 DNM589847:DNM589848 DXI589847:DXI589848 EHE589847:EHE589848 ERA589847:ERA589848 FAW589847:FAW589848 FKS589847:FKS589848 FUO589847:FUO589848 GEK589847:GEK589848 GOG589847:GOG589848 GYC589847:GYC589848 HHY589847:HHY589848 HRU589847:HRU589848 IBQ589847:IBQ589848 ILM589847:ILM589848 IVI589847:IVI589848 JFE589847:JFE589848 JPA589847:JPA589848 JYW589847:JYW589848 KIS589847:KIS589848 KSO589847:KSO589848 LCK589847:LCK589848 LMG589847:LMG589848 LWC589847:LWC589848 MFY589847:MFY589848 MPU589847:MPU589848 MZQ589847:MZQ589848 NJM589847:NJM589848 NTI589847:NTI589848 ODE589847:ODE589848 ONA589847:ONA589848 OWW589847:OWW589848 PGS589847:PGS589848 PQO589847:PQO589848 QAK589847:QAK589848 QKG589847:QKG589848 QUC589847:QUC589848 RDY589847:RDY589848 RNU589847:RNU589848 RXQ589847:RXQ589848 SHM589847:SHM589848 SRI589847:SRI589848 TBE589847:TBE589848 TLA589847:TLA589848 TUW589847:TUW589848 UES589847:UES589848 UOO589847:UOO589848 UYK589847:UYK589848 VIG589847:VIG589848 VSC589847:VSC589848 WBY589847:WBY589848 WLU589847:WLU589848 WVQ589847:WVQ589848 I655383:I655384 JE655383:JE655384 TA655383:TA655384 ACW655383:ACW655384 AMS655383:AMS655384 AWO655383:AWO655384 BGK655383:BGK655384 BQG655383:BQG655384 CAC655383:CAC655384 CJY655383:CJY655384 CTU655383:CTU655384 DDQ655383:DDQ655384 DNM655383:DNM655384 DXI655383:DXI655384 EHE655383:EHE655384 ERA655383:ERA655384 FAW655383:FAW655384 FKS655383:FKS655384 FUO655383:FUO655384 GEK655383:GEK655384 GOG655383:GOG655384 GYC655383:GYC655384 HHY655383:HHY655384 HRU655383:HRU655384 IBQ655383:IBQ655384 ILM655383:ILM655384 IVI655383:IVI655384 JFE655383:JFE655384 JPA655383:JPA655384 JYW655383:JYW655384 KIS655383:KIS655384 KSO655383:KSO655384 LCK655383:LCK655384 LMG655383:LMG655384 LWC655383:LWC655384 MFY655383:MFY655384 MPU655383:MPU655384 MZQ655383:MZQ655384 NJM655383:NJM655384 NTI655383:NTI655384 ODE655383:ODE655384 ONA655383:ONA655384 OWW655383:OWW655384 PGS655383:PGS655384 PQO655383:PQO655384 QAK655383:QAK655384 QKG655383:QKG655384 QUC655383:QUC655384 RDY655383:RDY655384 RNU655383:RNU655384 RXQ655383:RXQ655384 SHM655383:SHM655384 SRI655383:SRI655384 TBE655383:TBE655384 TLA655383:TLA655384 TUW655383:TUW655384 UES655383:UES655384 UOO655383:UOO655384 UYK655383:UYK655384 VIG655383:VIG655384 VSC655383:VSC655384 WBY655383:WBY655384 WLU655383:WLU655384 WVQ655383:WVQ655384 I720919:I720920 JE720919:JE720920 TA720919:TA720920 ACW720919:ACW720920 AMS720919:AMS720920 AWO720919:AWO720920 BGK720919:BGK720920 BQG720919:BQG720920 CAC720919:CAC720920 CJY720919:CJY720920 CTU720919:CTU720920 DDQ720919:DDQ720920 DNM720919:DNM720920 DXI720919:DXI720920 EHE720919:EHE720920 ERA720919:ERA720920 FAW720919:FAW720920 FKS720919:FKS720920 FUO720919:FUO720920 GEK720919:GEK720920 GOG720919:GOG720920 GYC720919:GYC720920 HHY720919:HHY720920 HRU720919:HRU720920 IBQ720919:IBQ720920 ILM720919:ILM720920 IVI720919:IVI720920 JFE720919:JFE720920 JPA720919:JPA720920 JYW720919:JYW720920 KIS720919:KIS720920 KSO720919:KSO720920 LCK720919:LCK720920 LMG720919:LMG720920 LWC720919:LWC720920 MFY720919:MFY720920 MPU720919:MPU720920 MZQ720919:MZQ720920 NJM720919:NJM720920 NTI720919:NTI720920 ODE720919:ODE720920 ONA720919:ONA720920 OWW720919:OWW720920 PGS720919:PGS720920 PQO720919:PQO720920 QAK720919:QAK720920 QKG720919:QKG720920 QUC720919:QUC720920 RDY720919:RDY720920 RNU720919:RNU720920 RXQ720919:RXQ720920 SHM720919:SHM720920 SRI720919:SRI720920 TBE720919:TBE720920 TLA720919:TLA720920 TUW720919:TUW720920 UES720919:UES720920 UOO720919:UOO720920 UYK720919:UYK720920 VIG720919:VIG720920 VSC720919:VSC720920 WBY720919:WBY720920 WLU720919:WLU720920 WVQ720919:WVQ720920 I786455:I786456 JE786455:JE786456 TA786455:TA786456 ACW786455:ACW786456 AMS786455:AMS786456 AWO786455:AWO786456 BGK786455:BGK786456 BQG786455:BQG786456 CAC786455:CAC786456 CJY786455:CJY786456 CTU786455:CTU786456 DDQ786455:DDQ786456 DNM786455:DNM786456 DXI786455:DXI786456 EHE786455:EHE786456 ERA786455:ERA786456 FAW786455:FAW786456 FKS786455:FKS786456 FUO786455:FUO786456 GEK786455:GEK786456 GOG786455:GOG786456 GYC786455:GYC786456 HHY786455:HHY786456 HRU786455:HRU786456 IBQ786455:IBQ786456 ILM786455:ILM786456 IVI786455:IVI786456 JFE786455:JFE786456 JPA786455:JPA786456 JYW786455:JYW786456 KIS786455:KIS786456 KSO786455:KSO786456 LCK786455:LCK786456 LMG786455:LMG786456 LWC786455:LWC786456 MFY786455:MFY786456 MPU786455:MPU786456 MZQ786455:MZQ786456 NJM786455:NJM786456 NTI786455:NTI786456 ODE786455:ODE786456 ONA786455:ONA786456 OWW786455:OWW786456 PGS786455:PGS786456 PQO786455:PQO786456 QAK786455:QAK786456 QKG786455:QKG786456 QUC786455:QUC786456 RDY786455:RDY786456 RNU786455:RNU786456 RXQ786455:RXQ786456 SHM786455:SHM786456 SRI786455:SRI786456 TBE786455:TBE786456 TLA786455:TLA786456 TUW786455:TUW786456 UES786455:UES786456 UOO786455:UOO786456 UYK786455:UYK786456 VIG786455:VIG786456 VSC786455:VSC786456 WBY786455:WBY786456 WLU786455:WLU786456 WVQ786455:WVQ786456 I851991:I851992 JE851991:JE851992 TA851991:TA851992 ACW851991:ACW851992 AMS851991:AMS851992 AWO851991:AWO851992 BGK851991:BGK851992 BQG851991:BQG851992 CAC851991:CAC851992 CJY851991:CJY851992 CTU851991:CTU851992 DDQ851991:DDQ851992 DNM851991:DNM851992 DXI851991:DXI851992 EHE851991:EHE851992 ERA851991:ERA851992 FAW851991:FAW851992 FKS851991:FKS851992 FUO851991:FUO851992 GEK851991:GEK851992 GOG851991:GOG851992 GYC851991:GYC851992 HHY851991:HHY851992 HRU851991:HRU851992 IBQ851991:IBQ851992 ILM851991:ILM851992 IVI851991:IVI851992 JFE851991:JFE851992 JPA851991:JPA851992 JYW851991:JYW851992 KIS851991:KIS851992 KSO851991:KSO851992 LCK851991:LCK851992 LMG851991:LMG851992 LWC851991:LWC851992 MFY851991:MFY851992 MPU851991:MPU851992 MZQ851991:MZQ851992 NJM851991:NJM851992 NTI851991:NTI851992 ODE851991:ODE851992 ONA851991:ONA851992 OWW851991:OWW851992 PGS851991:PGS851992 PQO851991:PQO851992 QAK851991:QAK851992 QKG851991:QKG851992 QUC851991:QUC851992 RDY851991:RDY851992 RNU851991:RNU851992 RXQ851991:RXQ851992 SHM851991:SHM851992 SRI851991:SRI851992 TBE851991:TBE851992 TLA851991:TLA851992 TUW851991:TUW851992 UES851991:UES851992 UOO851991:UOO851992 UYK851991:UYK851992 VIG851991:VIG851992 VSC851991:VSC851992 WBY851991:WBY851992 WLU851991:WLU851992 WVQ851991:WVQ851992 I917527:I917528 JE917527:JE917528 TA917527:TA917528 ACW917527:ACW917528 AMS917527:AMS917528 AWO917527:AWO917528 BGK917527:BGK917528 BQG917527:BQG917528 CAC917527:CAC917528 CJY917527:CJY917528 CTU917527:CTU917528 DDQ917527:DDQ917528 DNM917527:DNM917528 DXI917527:DXI917528 EHE917527:EHE917528 ERA917527:ERA917528 FAW917527:FAW917528 FKS917527:FKS917528 FUO917527:FUO917528 GEK917527:GEK917528 GOG917527:GOG917528 GYC917527:GYC917528 HHY917527:HHY917528 HRU917527:HRU917528 IBQ917527:IBQ917528 ILM917527:ILM917528 IVI917527:IVI917528 JFE917527:JFE917528 JPA917527:JPA917528 JYW917527:JYW917528 KIS917527:KIS917528 KSO917527:KSO917528 LCK917527:LCK917528 LMG917527:LMG917528 LWC917527:LWC917528 MFY917527:MFY917528 MPU917527:MPU917528 MZQ917527:MZQ917528 NJM917527:NJM917528 NTI917527:NTI917528 ODE917527:ODE917528 ONA917527:ONA917528 OWW917527:OWW917528 PGS917527:PGS917528 PQO917527:PQO917528 QAK917527:QAK917528 QKG917527:QKG917528 QUC917527:QUC917528 RDY917527:RDY917528 RNU917527:RNU917528 RXQ917527:RXQ917528 SHM917527:SHM917528 SRI917527:SRI917528 TBE917527:TBE917528 TLA917527:TLA917528 TUW917527:TUW917528 UES917527:UES917528 UOO917527:UOO917528 UYK917527:UYK917528 VIG917527:VIG917528 VSC917527:VSC917528 WBY917527:WBY917528 WLU917527:WLU917528 WVQ917527:WVQ917528 I983063:I983064 JE983063:JE983064 TA983063:TA983064 ACW983063:ACW983064 AMS983063:AMS983064 AWO983063:AWO983064 BGK983063:BGK983064 BQG983063:BQG983064 CAC983063:CAC983064 CJY983063:CJY983064 CTU983063:CTU983064 DDQ983063:DDQ983064 DNM983063:DNM983064 DXI983063:DXI983064 EHE983063:EHE983064 ERA983063:ERA983064 FAW983063:FAW983064 FKS983063:FKS983064 FUO983063:FUO983064 GEK983063:GEK983064 GOG983063:GOG983064 GYC983063:GYC983064 HHY983063:HHY983064 HRU983063:HRU983064 IBQ983063:IBQ983064 ILM983063:ILM983064 IVI983063:IVI983064 JFE983063:JFE983064 JPA983063:JPA983064 JYW983063:JYW983064 KIS983063:KIS983064 KSO983063:KSO983064 LCK983063:LCK983064 LMG983063:LMG983064 LWC983063:LWC983064 MFY983063:MFY983064 MPU983063:MPU983064 MZQ983063:MZQ983064 NJM983063:NJM983064 NTI983063:NTI983064 ODE983063:ODE983064 ONA983063:ONA983064 OWW983063:OWW983064 PGS983063:PGS983064 PQO983063:PQO983064 QAK983063:QAK983064 QKG983063:QKG983064 QUC983063:QUC983064 RDY983063:RDY983064 RNU983063:RNU983064 RXQ983063:RXQ983064 SHM983063:SHM983064 SRI983063:SRI983064 TBE983063:TBE983064 TLA983063:TLA983064 TUW983063:TUW983064 UES983063:UES983064 UOO983063:UOO983064 UYK983063:UYK983064 VIG983063:VIG983064 VSC983063:VSC983064 WBY983063:WBY983064 WLU983063:WLU983064 WVQ983063:WVQ983064 F23:F24 JB23:JB24 SX23:SX24 ACT23:ACT24 AMP23:AMP24 AWL23:AWL24 BGH23:BGH24 BQD23:BQD24 BZZ23:BZZ24 CJV23:CJV24 CTR23:CTR24 DDN23:DDN24 DNJ23:DNJ24 DXF23:DXF24 EHB23:EHB24 EQX23:EQX24 FAT23:FAT24 FKP23:FKP24 FUL23:FUL24 GEH23:GEH24 GOD23:GOD24 GXZ23:GXZ24 HHV23:HHV24 HRR23:HRR24 IBN23:IBN24 ILJ23:ILJ24 IVF23:IVF24 JFB23:JFB24 JOX23:JOX24 JYT23:JYT24 KIP23:KIP24 KSL23:KSL24 LCH23:LCH24 LMD23:LMD24 LVZ23:LVZ24 MFV23:MFV24 MPR23:MPR24 MZN23:MZN24 NJJ23:NJJ24 NTF23:NTF24 ODB23:ODB24 OMX23:OMX24 OWT23:OWT24 PGP23:PGP24 PQL23:PQL24 QAH23:QAH24 QKD23:QKD24 QTZ23:QTZ24 RDV23:RDV24 RNR23:RNR24 RXN23:RXN24 SHJ23:SHJ24 SRF23:SRF24 TBB23:TBB24 TKX23:TKX24 TUT23:TUT24 UEP23:UEP24 UOL23:UOL24 UYH23:UYH24 VID23:VID24 VRZ23:VRZ24 WBV23:WBV24 WLR23:WLR24 WVN23:WVN24 F65559:F65560 JB65559:JB65560 SX65559:SX65560 ACT65559:ACT65560 AMP65559:AMP65560 AWL65559:AWL65560 BGH65559:BGH65560 BQD65559:BQD65560 BZZ65559:BZZ65560 CJV65559:CJV65560 CTR65559:CTR65560 DDN65559:DDN65560 DNJ65559:DNJ65560 DXF65559:DXF65560 EHB65559:EHB65560 EQX65559:EQX65560 FAT65559:FAT65560 FKP65559:FKP65560 FUL65559:FUL65560 GEH65559:GEH65560 GOD65559:GOD65560 GXZ65559:GXZ65560 HHV65559:HHV65560 HRR65559:HRR65560 IBN65559:IBN65560 ILJ65559:ILJ65560 IVF65559:IVF65560 JFB65559:JFB65560 JOX65559:JOX65560 JYT65559:JYT65560 KIP65559:KIP65560 KSL65559:KSL65560 LCH65559:LCH65560 LMD65559:LMD65560 LVZ65559:LVZ65560 MFV65559:MFV65560 MPR65559:MPR65560 MZN65559:MZN65560 NJJ65559:NJJ65560 NTF65559:NTF65560 ODB65559:ODB65560 OMX65559:OMX65560 OWT65559:OWT65560 PGP65559:PGP65560 PQL65559:PQL65560 QAH65559:QAH65560 QKD65559:QKD65560 QTZ65559:QTZ65560 RDV65559:RDV65560 RNR65559:RNR65560 RXN65559:RXN65560 SHJ65559:SHJ65560 SRF65559:SRF65560 TBB65559:TBB65560 TKX65559:TKX65560 TUT65559:TUT65560 UEP65559:UEP65560 UOL65559:UOL65560 UYH65559:UYH65560 VID65559:VID65560 VRZ65559:VRZ65560 WBV65559:WBV65560 WLR65559:WLR65560 WVN65559:WVN65560 F131095:F131096 JB131095:JB131096 SX131095:SX131096 ACT131095:ACT131096 AMP131095:AMP131096 AWL131095:AWL131096 BGH131095:BGH131096 BQD131095:BQD131096 BZZ131095:BZZ131096 CJV131095:CJV131096 CTR131095:CTR131096 DDN131095:DDN131096 DNJ131095:DNJ131096 DXF131095:DXF131096 EHB131095:EHB131096 EQX131095:EQX131096 FAT131095:FAT131096 FKP131095:FKP131096 FUL131095:FUL131096 GEH131095:GEH131096 GOD131095:GOD131096 GXZ131095:GXZ131096 HHV131095:HHV131096 HRR131095:HRR131096 IBN131095:IBN131096 ILJ131095:ILJ131096 IVF131095:IVF131096 JFB131095:JFB131096 JOX131095:JOX131096 JYT131095:JYT131096 KIP131095:KIP131096 KSL131095:KSL131096 LCH131095:LCH131096 LMD131095:LMD131096 LVZ131095:LVZ131096 MFV131095:MFV131096 MPR131095:MPR131096 MZN131095:MZN131096 NJJ131095:NJJ131096 NTF131095:NTF131096 ODB131095:ODB131096 OMX131095:OMX131096 OWT131095:OWT131096 PGP131095:PGP131096 PQL131095:PQL131096 QAH131095:QAH131096 QKD131095:QKD131096 QTZ131095:QTZ131096 RDV131095:RDV131096 RNR131095:RNR131096 RXN131095:RXN131096 SHJ131095:SHJ131096 SRF131095:SRF131096 TBB131095:TBB131096 TKX131095:TKX131096 TUT131095:TUT131096 UEP131095:UEP131096 UOL131095:UOL131096 UYH131095:UYH131096 VID131095:VID131096 VRZ131095:VRZ131096 WBV131095:WBV131096 WLR131095:WLR131096 WVN131095:WVN131096 F196631:F196632 JB196631:JB196632 SX196631:SX196632 ACT196631:ACT196632 AMP196631:AMP196632 AWL196631:AWL196632 BGH196631:BGH196632 BQD196631:BQD196632 BZZ196631:BZZ196632 CJV196631:CJV196632 CTR196631:CTR196632 DDN196631:DDN196632 DNJ196631:DNJ196632 DXF196631:DXF196632 EHB196631:EHB196632 EQX196631:EQX196632 FAT196631:FAT196632 FKP196631:FKP196632 FUL196631:FUL196632 GEH196631:GEH196632 GOD196631:GOD196632 GXZ196631:GXZ196632 HHV196631:HHV196632 HRR196631:HRR196632 IBN196631:IBN196632 ILJ196631:ILJ196632 IVF196631:IVF196632 JFB196631:JFB196632 JOX196631:JOX196632 JYT196631:JYT196632 KIP196631:KIP196632 KSL196631:KSL196632 LCH196631:LCH196632 LMD196631:LMD196632 LVZ196631:LVZ196632 MFV196631:MFV196632 MPR196631:MPR196632 MZN196631:MZN196632 NJJ196631:NJJ196632 NTF196631:NTF196632 ODB196631:ODB196632 OMX196631:OMX196632 OWT196631:OWT196632 PGP196631:PGP196632 PQL196631:PQL196632 QAH196631:QAH196632 QKD196631:QKD196632 QTZ196631:QTZ196632 RDV196631:RDV196632 RNR196631:RNR196632 RXN196631:RXN196632 SHJ196631:SHJ196632 SRF196631:SRF196632 TBB196631:TBB196632 TKX196631:TKX196632 TUT196631:TUT196632 UEP196631:UEP196632 UOL196631:UOL196632 UYH196631:UYH196632 VID196631:VID196632 VRZ196631:VRZ196632 WBV196631:WBV196632 WLR196631:WLR196632 WVN196631:WVN196632 F262167:F262168 JB262167:JB262168 SX262167:SX262168 ACT262167:ACT262168 AMP262167:AMP262168 AWL262167:AWL262168 BGH262167:BGH262168 BQD262167:BQD262168 BZZ262167:BZZ262168 CJV262167:CJV262168 CTR262167:CTR262168 DDN262167:DDN262168 DNJ262167:DNJ262168 DXF262167:DXF262168 EHB262167:EHB262168 EQX262167:EQX262168 FAT262167:FAT262168 FKP262167:FKP262168 FUL262167:FUL262168 GEH262167:GEH262168 GOD262167:GOD262168 GXZ262167:GXZ262168 HHV262167:HHV262168 HRR262167:HRR262168 IBN262167:IBN262168 ILJ262167:ILJ262168 IVF262167:IVF262168 JFB262167:JFB262168 JOX262167:JOX262168 JYT262167:JYT262168 KIP262167:KIP262168 KSL262167:KSL262168 LCH262167:LCH262168 LMD262167:LMD262168 LVZ262167:LVZ262168 MFV262167:MFV262168 MPR262167:MPR262168 MZN262167:MZN262168 NJJ262167:NJJ262168 NTF262167:NTF262168 ODB262167:ODB262168 OMX262167:OMX262168 OWT262167:OWT262168 PGP262167:PGP262168 PQL262167:PQL262168 QAH262167:QAH262168 QKD262167:QKD262168 QTZ262167:QTZ262168 RDV262167:RDV262168 RNR262167:RNR262168 RXN262167:RXN262168 SHJ262167:SHJ262168 SRF262167:SRF262168 TBB262167:TBB262168 TKX262167:TKX262168 TUT262167:TUT262168 UEP262167:UEP262168 UOL262167:UOL262168 UYH262167:UYH262168 VID262167:VID262168 VRZ262167:VRZ262168 WBV262167:WBV262168 WLR262167:WLR262168 WVN262167:WVN262168 F327703:F327704 JB327703:JB327704 SX327703:SX327704 ACT327703:ACT327704 AMP327703:AMP327704 AWL327703:AWL327704 BGH327703:BGH327704 BQD327703:BQD327704 BZZ327703:BZZ327704 CJV327703:CJV327704 CTR327703:CTR327704 DDN327703:DDN327704 DNJ327703:DNJ327704 DXF327703:DXF327704 EHB327703:EHB327704 EQX327703:EQX327704 FAT327703:FAT327704 FKP327703:FKP327704 FUL327703:FUL327704 GEH327703:GEH327704 GOD327703:GOD327704 GXZ327703:GXZ327704 HHV327703:HHV327704 HRR327703:HRR327704 IBN327703:IBN327704 ILJ327703:ILJ327704 IVF327703:IVF327704 JFB327703:JFB327704 JOX327703:JOX327704 JYT327703:JYT327704 KIP327703:KIP327704 KSL327703:KSL327704 LCH327703:LCH327704 LMD327703:LMD327704 LVZ327703:LVZ327704 MFV327703:MFV327704 MPR327703:MPR327704 MZN327703:MZN327704 NJJ327703:NJJ327704 NTF327703:NTF327704 ODB327703:ODB327704 OMX327703:OMX327704 OWT327703:OWT327704 PGP327703:PGP327704 PQL327703:PQL327704 QAH327703:QAH327704 QKD327703:QKD327704 QTZ327703:QTZ327704 RDV327703:RDV327704 RNR327703:RNR327704 RXN327703:RXN327704 SHJ327703:SHJ327704 SRF327703:SRF327704 TBB327703:TBB327704 TKX327703:TKX327704 TUT327703:TUT327704 UEP327703:UEP327704 UOL327703:UOL327704 UYH327703:UYH327704 VID327703:VID327704 VRZ327703:VRZ327704 WBV327703:WBV327704 WLR327703:WLR327704 WVN327703:WVN327704 F393239:F393240 JB393239:JB393240 SX393239:SX393240 ACT393239:ACT393240 AMP393239:AMP393240 AWL393239:AWL393240 BGH393239:BGH393240 BQD393239:BQD393240 BZZ393239:BZZ393240 CJV393239:CJV393240 CTR393239:CTR393240 DDN393239:DDN393240 DNJ393239:DNJ393240 DXF393239:DXF393240 EHB393239:EHB393240 EQX393239:EQX393240 FAT393239:FAT393240 FKP393239:FKP393240 FUL393239:FUL393240 GEH393239:GEH393240 GOD393239:GOD393240 GXZ393239:GXZ393240 HHV393239:HHV393240 HRR393239:HRR393240 IBN393239:IBN393240 ILJ393239:ILJ393240 IVF393239:IVF393240 JFB393239:JFB393240 JOX393239:JOX393240 JYT393239:JYT393240 KIP393239:KIP393240 KSL393239:KSL393240 LCH393239:LCH393240 LMD393239:LMD393240 LVZ393239:LVZ393240 MFV393239:MFV393240 MPR393239:MPR393240 MZN393239:MZN393240 NJJ393239:NJJ393240 NTF393239:NTF393240 ODB393239:ODB393240 OMX393239:OMX393240 OWT393239:OWT393240 PGP393239:PGP393240 PQL393239:PQL393240 QAH393239:QAH393240 QKD393239:QKD393240 QTZ393239:QTZ393240 RDV393239:RDV393240 RNR393239:RNR393240 RXN393239:RXN393240 SHJ393239:SHJ393240 SRF393239:SRF393240 TBB393239:TBB393240 TKX393239:TKX393240 TUT393239:TUT393240 UEP393239:UEP393240 UOL393239:UOL393240 UYH393239:UYH393240 VID393239:VID393240 VRZ393239:VRZ393240 WBV393239:WBV393240 WLR393239:WLR393240 WVN393239:WVN393240 F458775:F458776 JB458775:JB458776 SX458775:SX458776 ACT458775:ACT458776 AMP458775:AMP458776 AWL458775:AWL458776 BGH458775:BGH458776 BQD458775:BQD458776 BZZ458775:BZZ458776 CJV458775:CJV458776 CTR458775:CTR458776 DDN458775:DDN458776 DNJ458775:DNJ458776 DXF458775:DXF458776 EHB458775:EHB458776 EQX458775:EQX458776 FAT458775:FAT458776 FKP458775:FKP458776 FUL458775:FUL458776 GEH458775:GEH458776 GOD458775:GOD458776 GXZ458775:GXZ458776 HHV458775:HHV458776 HRR458775:HRR458776 IBN458775:IBN458776 ILJ458775:ILJ458776 IVF458775:IVF458776 JFB458775:JFB458776 JOX458775:JOX458776 JYT458775:JYT458776 KIP458775:KIP458776 KSL458775:KSL458776 LCH458775:LCH458776 LMD458775:LMD458776 LVZ458775:LVZ458776 MFV458775:MFV458776 MPR458775:MPR458776 MZN458775:MZN458776 NJJ458775:NJJ458776 NTF458775:NTF458776 ODB458775:ODB458776 OMX458775:OMX458776 OWT458775:OWT458776 PGP458775:PGP458776 PQL458775:PQL458776 QAH458775:QAH458776 QKD458775:QKD458776 QTZ458775:QTZ458776 RDV458775:RDV458776 RNR458775:RNR458776 RXN458775:RXN458776 SHJ458775:SHJ458776 SRF458775:SRF458776 TBB458775:TBB458776 TKX458775:TKX458776 TUT458775:TUT458776 UEP458775:UEP458776 UOL458775:UOL458776 UYH458775:UYH458776 VID458775:VID458776 VRZ458775:VRZ458776 WBV458775:WBV458776 WLR458775:WLR458776 WVN458775:WVN458776 F524311:F524312 JB524311:JB524312 SX524311:SX524312 ACT524311:ACT524312 AMP524311:AMP524312 AWL524311:AWL524312 BGH524311:BGH524312 BQD524311:BQD524312 BZZ524311:BZZ524312 CJV524311:CJV524312 CTR524311:CTR524312 DDN524311:DDN524312 DNJ524311:DNJ524312 DXF524311:DXF524312 EHB524311:EHB524312 EQX524311:EQX524312 FAT524311:FAT524312 FKP524311:FKP524312 FUL524311:FUL524312 GEH524311:GEH524312 GOD524311:GOD524312 GXZ524311:GXZ524312 HHV524311:HHV524312 HRR524311:HRR524312 IBN524311:IBN524312 ILJ524311:ILJ524312 IVF524311:IVF524312 JFB524311:JFB524312 JOX524311:JOX524312 JYT524311:JYT524312 KIP524311:KIP524312 KSL524311:KSL524312 LCH524311:LCH524312 LMD524311:LMD524312 LVZ524311:LVZ524312 MFV524311:MFV524312 MPR524311:MPR524312 MZN524311:MZN524312 NJJ524311:NJJ524312 NTF524311:NTF524312 ODB524311:ODB524312 OMX524311:OMX524312 OWT524311:OWT524312 PGP524311:PGP524312 PQL524311:PQL524312 QAH524311:QAH524312 QKD524311:QKD524312 QTZ524311:QTZ524312 RDV524311:RDV524312 RNR524311:RNR524312 RXN524311:RXN524312 SHJ524311:SHJ524312 SRF524311:SRF524312 TBB524311:TBB524312 TKX524311:TKX524312 TUT524311:TUT524312 UEP524311:UEP524312 UOL524311:UOL524312 UYH524311:UYH524312 VID524311:VID524312 VRZ524311:VRZ524312 WBV524311:WBV524312 WLR524311:WLR524312 WVN524311:WVN524312 F589847:F589848 JB589847:JB589848 SX589847:SX589848 ACT589847:ACT589848 AMP589847:AMP589848 AWL589847:AWL589848 BGH589847:BGH589848 BQD589847:BQD589848 BZZ589847:BZZ589848 CJV589847:CJV589848 CTR589847:CTR589848 DDN589847:DDN589848 DNJ589847:DNJ589848 DXF589847:DXF589848 EHB589847:EHB589848 EQX589847:EQX589848 FAT589847:FAT589848 FKP589847:FKP589848 FUL589847:FUL589848 GEH589847:GEH589848 GOD589847:GOD589848 GXZ589847:GXZ589848 HHV589847:HHV589848 HRR589847:HRR589848 IBN589847:IBN589848 ILJ589847:ILJ589848 IVF589847:IVF589848 JFB589847:JFB589848 JOX589847:JOX589848 JYT589847:JYT589848 KIP589847:KIP589848 KSL589847:KSL589848 LCH589847:LCH589848 LMD589847:LMD589848 LVZ589847:LVZ589848 MFV589847:MFV589848 MPR589847:MPR589848 MZN589847:MZN589848 NJJ589847:NJJ589848 NTF589847:NTF589848 ODB589847:ODB589848 OMX589847:OMX589848 OWT589847:OWT589848 PGP589847:PGP589848 PQL589847:PQL589848 QAH589847:QAH589848 QKD589847:QKD589848 QTZ589847:QTZ589848 RDV589847:RDV589848 RNR589847:RNR589848 RXN589847:RXN589848 SHJ589847:SHJ589848 SRF589847:SRF589848 TBB589847:TBB589848 TKX589847:TKX589848 TUT589847:TUT589848 UEP589847:UEP589848 UOL589847:UOL589848 UYH589847:UYH589848 VID589847:VID589848 VRZ589847:VRZ589848 WBV589847:WBV589848 WLR589847:WLR589848 WVN589847:WVN589848 F655383:F655384 JB655383:JB655384 SX655383:SX655384 ACT655383:ACT655384 AMP655383:AMP655384 AWL655383:AWL655384 BGH655383:BGH655384 BQD655383:BQD655384 BZZ655383:BZZ655384 CJV655383:CJV655384 CTR655383:CTR655384 DDN655383:DDN655384 DNJ655383:DNJ655384 DXF655383:DXF655384 EHB655383:EHB655384 EQX655383:EQX655384 FAT655383:FAT655384 FKP655383:FKP655384 FUL655383:FUL655384 GEH655383:GEH655384 GOD655383:GOD655384 GXZ655383:GXZ655384 HHV655383:HHV655384 HRR655383:HRR655384 IBN655383:IBN655384 ILJ655383:ILJ655384 IVF655383:IVF655384 JFB655383:JFB655384 JOX655383:JOX655384 JYT655383:JYT655384 KIP655383:KIP655384 KSL655383:KSL655384 LCH655383:LCH655384 LMD655383:LMD655384 LVZ655383:LVZ655384 MFV655383:MFV655384 MPR655383:MPR655384 MZN655383:MZN655384 NJJ655383:NJJ655384 NTF655383:NTF655384 ODB655383:ODB655384 OMX655383:OMX655384 OWT655383:OWT655384 PGP655383:PGP655384 PQL655383:PQL655384 QAH655383:QAH655384 QKD655383:QKD655384 QTZ655383:QTZ655384 RDV655383:RDV655384 RNR655383:RNR655384 RXN655383:RXN655384 SHJ655383:SHJ655384 SRF655383:SRF655384 TBB655383:TBB655384 TKX655383:TKX655384 TUT655383:TUT655384 UEP655383:UEP655384 UOL655383:UOL655384 UYH655383:UYH655384 VID655383:VID655384 VRZ655383:VRZ655384 WBV655383:WBV655384 WLR655383:WLR655384 WVN655383:WVN655384 F720919:F720920 JB720919:JB720920 SX720919:SX720920 ACT720919:ACT720920 AMP720919:AMP720920 AWL720919:AWL720920 BGH720919:BGH720920 BQD720919:BQD720920 BZZ720919:BZZ720920 CJV720919:CJV720920 CTR720919:CTR720920 DDN720919:DDN720920 DNJ720919:DNJ720920 DXF720919:DXF720920 EHB720919:EHB720920 EQX720919:EQX720920 FAT720919:FAT720920 FKP720919:FKP720920 FUL720919:FUL720920 GEH720919:GEH720920 GOD720919:GOD720920 GXZ720919:GXZ720920 HHV720919:HHV720920 HRR720919:HRR720920 IBN720919:IBN720920 ILJ720919:ILJ720920 IVF720919:IVF720920 JFB720919:JFB720920 JOX720919:JOX720920 JYT720919:JYT720920 KIP720919:KIP720920 KSL720919:KSL720920 LCH720919:LCH720920 LMD720919:LMD720920 LVZ720919:LVZ720920 MFV720919:MFV720920 MPR720919:MPR720920 MZN720919:MZN720920 NJJ720919:NJJ720920 NTF720919:NTF720920 ODB720919:ODB720920 OMX720919:OMX720920 OWT720919:OWT720920 PGP720919:PGP720920 PQL720919:PQL720920 QAH720919:QAH720920 QKD720919:QKD720920 QTZ720919:QTZ720920 RDV720919:RDV720920 RNR720919:RNR720920 RXN720919:RXN720920 SHJ720919:SHJ720920 SRF720919:SRF720920 TBB720919:TBB720920 TKX720919:TKX720920 TUT720919:TUT720920 UEP720919:UEP720920 UOL720919:UOL720920 UYH720919:UYH720920 VID720919:VID720920 VRZ720919:VRZ720920 WBV720919:WBV720920 WLR720919:WLR720920 WVN720919:WVN720920 F786455:F786456 JB786455:JB786456 SX786455:SX786456 ACT786455:ACT786456 AMP786455:AMP786456 AWL786455:AWL786456 BGH786455:BGH786456 BQD786455:BQD786456 BZZ786455:BZZ786456 CJV786455:CJV786456 CTR786455:CTR786456 DDN786455:DDN786456 DNJ786455:DNJ786456 DXF786455:DXF786456 EHB786455:EHB786456 EQX786455:EQX786456 FAT786455:FAT786456 FKP786455:FKP786456 FUL786455:FUL786456 GEH786455:GEH786456 GOD786455:GOD786456 GXZ786455:GXZ786456 HHV786455:HHV786456 HRR786455:HRR786456 IBN786455:IBN786456 ILJ786455:ILJ786456 IVF786455:IVF786456 JFB786455:JFB786456 JOX786455:JOX786456 JYT786455:JYT786456 KIP786455:KIP786456 KSL786455:KSL786456 LCH786455:LCH786456 LMD786455:LMD786456 LVZ786455:LVZ786456 MFV786455:MFV786456 MPR786455:MPR786456 MZN786455:MZN786456 NJJ786455:NJJ786456 NTF786455:NTF786456 ODB786455:ODB786456 OMX786455:OMX786456 OWT786455:OWT786456 PGP786455:PGP786456 PQL786455:PQL786456 QAH786455:QAH786456 QKD786455:QKD786456 QTZ786455:QTZ786456 RDV786455:RDV786456 RNR786455:RNR786456 RXN786455:RXN786456 SHJ786455:SHJ786456 SRF786455:SRF786456 TBB786455:TBB786456 TKX786455:TKX786456 TUT786455:TUT786456 UEP786455:UEP786456 UOL786455:UOL786456 UYH786455:UYH786456 VID786455:VID786456 VRZ786455:VRZ786456 WBV786455:WBV786456 WLR786455:WLR786456 WVN786455:WVN786456 F851991:F851992 JB851991:JB851992 SX851991:SX851992 ACT851991:ACT851992 AMP851991:AMP851992 AWL851991:AWL851992 BGH851991:BGH851992 BQD851991:BQD851992 BZZ851991:BZZ851992 CJV851991:CJV851992 CTR851991:CTR851992 DDN851991:DDN851992 DNJ851991:DNJ851992 DXF851991:DXF851992 EHB851991:EHB851992 EQX851991:EQX851992 FAT851991:FAT851992 FKP851991:FKP851992 FUL851991:FUL851992 GEH851991:GEH851992 GOD851991:GOD851992 GXZ851991:GXZ851992 HHV851991:HHV851992 HRR851991:HRR851992 IBN851991:IBN851992 ILJ851991:ILJ851992 IVF851991:IVF851992 JFB851991:JFB851992 JOX851991:JOX851992 JYT851991:JYT851992 KIP851991:KIP851992 KSL851991:KSL851992 LCH851991:LCH851992 LMD851991:LMD851992 LVZ851991:LVZ851992 MFV851991:MFV851992 MPR851991:MPR851992 MZN851991:MZN851992 NJJ851991:NJJ851992 NTF851991:NTF851992 ODB851991:ODB851992 OMX851991:OMX851992 OWT851991:OWT851992 PGP851991:PGP851992 PQL851991:PQL851992 QAH851991:QAH851992 QKD851991:QKD851992 QTZ851991:QTZ851992 RDV851991:RDV851992 RNR851991:RNR851992 RXN851991:RXN851992 SHJ851991:SHJ851992 SRF851991:SRF851992 TBB851991:TBB851992 TKX851991:TKX851992 TUT851991:TUT851992 UEP851991:UEP851992 UOL851991:UOL851992 UYH851991:UYH851992 VID851991:VID851992 VRZ851991:VRZ851992 WBV851991:WBV851992 WLR851991:WLR851992 WVN851991:WVN851992 F917527:F917528 JB917527:JB917528 SX917527:SX917528 ACT917527:ACT917528 AMP917527:AMP917528 AWL917527:AWL917528 BGH917527:BGH917528 BQD917527:BQD917528 BZZ917527:BZZ917528 CJV917527:CJV917528 CTR917527:CTR917528 DDN917527:DDN917528 DNJ917527:DNJ917528 DXF917527:DXF917528 EHB917527:EHB917528 EQX917527:EQX917528 FAT917527:FAT917528 FKP917527:FKP917528 FUL917527:FUL917528 GEH917527:GEH917528 GOD917527:GOD917528 GXZ917527:GXZ917528 HHV917527:HHV917528 HRR917527:HRR917528 IBN917527:IBN917528 ILJ917527:ILJ917528 IVF917527:IVF917528 JFB917527:JFB917528 JOX917527:JOX917528 JYT917527:JYT917528 KIP917527:KIP917528 KSL917527:KSL917528 LCH917527:LCH917528 LMD917527:LMD917528 LVZ917527:LVZ917528 MFV917527:MFV917528 MPR917527:MPR917528 MZN917527:MZN917528 NJJ917527:NJJ917528 NTF917527:NTF917528 ODB917527:ODB917528 OMX917527:OMX917528 OWT917527:OWT917528 PGP917527:PGP917528 PQL917527:PQL917528 QAH917527:QAH917528 QKD917527:QKD917528 QTZ917527:QTZ917528 RDV917527:RDV917528 RNR917527:RNR917528 RXN917527:RXN917528 SHJ917527:SHJ917528 SRF917527:SRF917528 TBB917527:TBB917528 TKX917527:TKX917528 TUT917527:TUT917528 UEP917527:UEP917528 UOL917527:UOL917528 UYH917527:UYH917528 VID917527:VID917528 VRZ917527:VRZ917528 WBV917527:WBV917528 WLR917527:WLR917528 WVN917527:WVN917528 F983063:F983064 JB983063:JB983064 SX983063:SX983064 ACT983063:ACT983064 AMP983063:AMP983064 AWL983063:AWL983064 BGH983063:BGH983064 BQD983063:BQD983064 BZZ983063:BZZ983064 CJV983063:CJV983064 CTR983063:CTR983064 DDN983063:DDN983064 DNJ983063:DNJ983064 DXF983063:DXF983064 EHB983063:EHB983064 EQX983063:EQX983064 FAT983063:FAT983064 FKP983063:FKP983064 FUL983063:FUL983064 GEH983063:GEH983064 GOD983063:GOD983064 GXZ983063:GXZ983064 HHV983063:HHV983064 HRR983063:HRR983064 IBN983063:IBN983064 ILJ983063:ILJ983064 IVF983063:IVF983064 JFB983063:JFB983064 JOX983063:JOX983064 JYT983063:JYT983064 KIP983063:KIP983064 KSL983063:KSL983064 LCH983063:LCH983064 LMD983063:LMD983064 LVZ983063:LVZ983064 MFV983063:MFV983064 MPR983063:MPR983064 MZN983063:MZN983064 NJJ983063:NJJ983064 NTF983063:NTF983064 ODB983063:ODB983064 OMX983063:OMX983064 OWT983063:OWT983064 PGP983063:PGP983064 PQL983063:PQL983064 QAH983063:QAH983064 QKD983063:QKD983064 QTZ983063:QTZ983064 RDV983063:RDV983064 RNR983063:RNR983064 RXN983063:RXN983064 SHJ983063:SHJ983064 SRF983063:SRF983064 TBB983063:TBB983064 TKX983063:TKX983064 TUT983063:TUT983064 UEP983063:UEP983064 UOL983063:UOL983064 UYH983063:UYH983064 VID983063:VID983064 VRZ983063:VRZ983064 WBV983063:WBV983064 WLR983063:WLR983064 WVN983063:WVN983064 F14:F21 JB14:JB21 SX14:SX21 ACT14:ACT21 AMP14:AMP21 AWL14:AWL21 BGH14:BGH21 BQD14:BQD21 BZZ14:BZZ21 CJV14:CJV21 CTR14:CTR21 DDN14:DDN21 DNJ14:DNJ21 DXF14:DXF21 EHB14:EHB21 EQX14:EQX21 FAT14:FAT21 FKP14:FKP21 FUL14:FUL21 GEH14:GEH21 GOD14:GOD21 GXZ14:GXZ21 HHV14:HHV21 HRR14:HRR21 IBN14:IBN21 ILJ14:ILJ21 IVF14:IVF21 JFB14:JFB21 JOX14:JOX21 JYT14:JYT21 KIP14:KIP21 KSL14:KSL21 LCH14:LCH21 LMD14:LMD21 LVZ14:LVZ21 MFV14:MFV21 MPR14:MPR21 MZN14:MZN21 NJJ14:NJJ21 NTF14:NTF21 ODB14:ODB21 OMX14:OMX21 OWT14:OWT21 PGP14:PGP21 PQL14:PQL21 QAH14:QAH21 QKD14:QKD21 QTZ14:QTZ21 RDV14:RDV21 RNR14:RNR21 RXN14:RXN21 SHJ14:SHJ21 SRF14:SRF21 TBB14:TBB21 TKX14:TKX21 TUT14:TUT21 UEP14:UEP21 UOL14:UOL21 UYH14:UYH21 VID14:VID21 VRZ14:VRZ21 WBV14:WBV21 WLR14:WLR21 WVN14:WVN21 F65550:F65557 JB65550:JB65557 SX65550:SX65557 ACT65550:ACT65557 AMP65550:AMP65557 AWL65550:AWL65557 BGH65550:BGH65557 BQD65550:BQD65557 BZZ65550:BZZ65557 CJV65550:CJV65557 CTR65550:CTR65557 DDN65550:DDN65557 DNJ65550:DNJ65557 DXF65550:DXF65557 EHB65550:EHB65557 EQX65550:EQX65557 FAT65550:FAT65557 FKP65550:FKP65557 FUL65550:FUL65557 GEH65550:GEH65557 GOD65550:GOD65557 GXZ65550:GXZ65557 HHV65550:HHV65557 HRR65550:HRR65557 IBN65550:IBN65557 ILJ65550:ILJ65557 IVF65550:IVF65557 JFB65550:JFB65557 JOX65550:JOX65557 JYT65550:JYT65557 KIP65550:KIP65557 KSL65550:KSL65557 LCH65550:LCH65557 LMD65550:LMD65557 LVZ65550:LVZ65557 MFV65550:MFV65557 MPR65550:MPR65557 MZN65550:MZN65557 NJJ65550:NJJ65557 NTF65550:NTF65557 ODB65550:ODB65557 OMX65550:OMX65557 OWT65550:OWT65557 PGP65550:PGP65557 PQL65550:PQL65557 QAH65550:QAH65557 QKD65550:QKD65557 QTZ65550:QTZ65557 RDV65550:RDV65557 RNR65550:RNR65557 RXN65550:RXN65557 SHJ65550:SHJ65557 SRF65550:SRF65557 TBB65550:TBB65557 TKX65550:TKX65557 TUT65550:TUT65557 UEP65550:UEP65557 UOL65550:UOL65557 UYH65550:UYH65557 VID65550:VID65557 VRZ65550:VRZ65557 WBV65550:WBV65557 WLR65550:WLR65557 WVN65550:WVN65557 F131086:F131093 JB131086:JB131093 SX131086:SX131093 ACT131086:ACT131093 AMP131086:AMP131093 AWL131086:AWL131093 BGH131086:BGH131093 BQD131086:BQD131093 BZZ131086:BZZ131093 CJV131086:CJV131093 CTR131086:CTR131093 DDN131086:DDN131093 DNJ131086:DNJ131093 DXF131086:DXF131093 EHB131086:EHB131093 EQX131086:EQX131093 FAT131086:FAT131093 FKP131086:FKP131093 FUL131086:FUL131093 GEH131086:GEH131093 GOD131086:GOD131093 GXZ131086:GXZ131093 HHV131086:HHV131093 HRR131086:HRR131093 IBN131086:IBN131093 ILJ131086:ILJ131093 IVF131086:IVF131093 JFB131086:JFB131093 JOX131086:JOX131093 JYT131086:JYT131093 KIP131086:KIP131093 KSL131086:KSL131093 LCH131086:LCH131093 LMD131086:LMD131093 LVZ131086:LVZ131093 MFV131086:MFV131093 MPR131086:MPR131093 MZN131086:MZN131093 NJJ131086:NJJ131093 NTF131086:NTF131093 ODB131086:ODB131093 OMX131086:OMX131093 OWT131086:OWT131093 PGP131086:PGP131093 PQL131086:PQL131093 QAH131086:QAH131093 QKD131086:QKD131093 QTZ131086:QTZ131093 RDV131086:RDV131093 RNR131086:RNR131093 RXN131086:RXN131093 SHJ131086:SHJ131093 SRF131086:SRF131093 TBB131086:TBB131093 TKX131086:TKX131093 TUT131086:TUT131093 UEP131086:UEP131093 UOL131086:UOL131093 UYH131086:UYH131093 VID131086:VID131093 VRZ131086:VRZ131093 WBV131086:WBV131093 WLR131086:WLR131093 WVN131086:WVN131093 F196622:F196629 JB196622:JB196629 SX196622:SX196629 ACT196622:ACT196629 AMP196622:AMP196629 AWL196622:AWL196629 BGH196622:BGH196629 BQD196622:BQD196629 BZZ196622:BZZ196629 CJV196622:CJV196629 CTR196622:CTR196629 DDN196622:DDN196629 DNJ196622:DNJ196629 DXF196622:DXF196629 EHB196622:EHB196629 EQX196622:EQX196629 FAT196622:FAT196629 FKP196622:FKP196629 FUL196622:FUL196629 GEH196622:GEH196629 GOD196622:GOD196629 GXZ196622:GXZ196629 HHV196622:HHV196629 HRR196622:HRR196629 IBN196622:IBN196629 ILJ196622:ILJ196629 IVF196622:IVF196629 JFB196622:JFB196629 JOX196622:JOX196629 JYT196622:JYT196629 KIP196622:KIP196629 KSL196622:KSL196629 LCH196622:LCH196629 LMD196622:LMD196629 LVZ196622:LVZ196629 MFV196622:MFV196629 MPR196622:MPR196629 MZN196622:MZN196629 NJJ196622:NJJ196629 NTF196622:NTF196629 ODB196622:ODB196629 OMX196622:OMX196629 OWT196622:OWT196629 PGP196622:PGP196629 PQL196622:PQL196629 QAH196622:QAH196629 QKD196622:QKD196629 QTZ196622:QTZ196629 RDV196622:RDV196629 RNR196622:RNR196629 RXN196622:RXN196629 SHJ196622:SHJ196629 SRF196622:SRF196629 TBB196622:TBB196629 TKX196622:TKX196629 TUT196622:TUT196629 UEP196622:UEP196629 UOL196622:UOL196629 UYH196622:UYH196629 VID196622:VID196629 VRZ196622:VRZ196629 WBV196622:WBV196629 WLR196622:WLR196629 WVN196622:WVN196629 F262158:F262165 JB262158:JB262165 SX262158:SX262165 ACT262158:ACT262165 AMP262158:AMP262165 AWL262158:AWL262165 BGH262158:BGH262165 BQD262158:BQD262165 BZZ262158:BZZ262165 CJV262158:CJV262165 CTR262158:CTR262165 DDN262158:DDN262165 DNJ262158:DNJ262165 DXF262158:DXF262165 EHB262158:EHB262165 EQX262158:EQX262165 FAT262158:FAT262165 FKP262158:FKP262165 FUL262158:FUL262165 GEH262158:GEH262165 GOD262158:GOD262165 GXZ262158:GXZ262165 HHV262158:HHV262165 HRR262158:HRR262165 IBN262158:IBN262165 ILJ262158:ILJ262165 IVF262158:IVF262165 JFB262158:JFB262165 JOX262158:JOX262165 JYT262158:JYT262165 KIP262158:KIP262165 KSL262158:KSL262165 LCH262158:LCH262165 LMD262158:LMD262165 LVZ262158:LVZ262165 MFV262158:MFV262165 MPR262158:MPR262165 MZN262158:MZN262165 NJJ262158:NJJ262165 NTF262158:NTF262165 ODB262158:ODB262165 OMX262158:OMX262165 OWT262158:OWT262165 PGP262158:PGP262165 PQL262158:PQL262165 QAH262158:QAH262165 QKD262158:QKD262165 QTZ262158:QTZ262165 RDV262158:RDV262165 RNR262158:RNR262165 RXN262158:RXN262165 SHJ262158:SHJ262165 SRF262158:SRF262165 TBB262158:TBB262165 TKX262158:TKX262165 TUT262158:TUT262165 UEP262158:UEP262165 UOL262158:UOL262165 UYH262158:UYH262165 VID262158:VID262165 VRZ262158:VRZ262165 WBV262158:WBV262165 WLR262158:WLR262165 WVN262158:WVN262165 F327694:F327701 JB327694:JB327701 SX327694:SX327701 ACT327694:ACT327701 AMP327694:AMP327701 AWL327694:AWL327701 BGH327694:BGH327701 BQD327694:BQD327701 BZZ327694:BZZ327701 CJV327694:CJV327701 CTR327694:CTR327701 DDN327694:DDN327701 DNJ327694:DNJ327701 DXF327694:DXF327701 EHB327694:EHB327701 EQX327694:EQX327701 FAT327694:FAT327701 FKP327694:FKP327701 FUL327694:FUL327701 GEH327694:GEH327701 GOD327694:GOD327701 GXZ327694:GXZ327701 HHV327694:HHV327701 HRR327694:HRR327701 IBN327694:IBN327701 ILJ327694:ILJ327701 IVF327694:IVF327701 JFB327694:JFB327701 JOX327694:JOX327701 JYT327694:JYT327701 KIP327694:KIP327701 KSL327694:KSL327701 LCH327694:LCH327701 LMD327694:LMD327701 LVZ327694:LVZ327701 MFV327694:MFV327701 MPR327694:MPR327701 MZN327694:MZN327701 NJJ327694:NJJ327701 NTF327694:NTF327701 ODB327694:ODB327701 OMX327694:OMX327701 OWT327694:OWT327701 PGP327694:PGP327701 PQL327694:PQL327701 QAH327694:QAH327701 QKD327694:QKD327701 QTZ327694:QTZ327701 RDV327694:RDV327701 RNR327694:RNR327701 RXN327694:RXN327701 SHJ327694:SHJ327701 SRF327694:SRF327701 TBB327694:TBB327701 TKX327694:TKX327701 TUT327694:TUT327701 UEP327694:UEP327701 UOL327694:UOL327701 UYH327694:UYH327701 VID327694:VID327701 VRZ327694:VRZ327701 WBV327694:WBV327701 WLR327694:WLR327701 WVN327694:WVN327701 F393230:F393237 JB393230:JB393237 SX393230:SX393237 ACT393230:ACT393237 AMP393230:AMP393237 AWL393230:AWL393237 BGH393230:BGH393237 BQD393230:BQD393237 BZZ393230:BZZ393237 CJV393230:CJV393237 CTR393230:CTR393237 DDN393230:DDN393237 DNJ393230:DNJ393237 DXF393230:DXF393237 EHB393230:EHB393237 EQX393230:EQX393237 FAT393230:FAT393237 FKP393230:FKP393237 FUL393230:FUL393237 GEH393230:GEH393237 GOD393230:GOD393237 GXZ393230:GXZ393237 HHV393230:HHV393237 HRR393230:HRR393237 IBN393230:IBN393237 ILJ393230:ILJ393237 IVF393230:IVF393237 JFB393230:JFB393237 JOX393230:JOX393237 JYT393230:JYT393237 KIP393230:KIP393237 KSL393230:KSL393237 LCH393230:LCH393237 LMD393230:LMD393237 LVZ393230:LVZ393237 MFV393230:MFV393237 MPR393230:MPR393237 MZN393230:MZN393237 NJJ393230:NJJ393237 NTF393230:NTF393237 ODB393230:ODB393237 OMX393230:OMX393237 OWT393230:OWT393237 PGP393230:PGP393237 PQL393230:PQL393237 QAH393230:QAH393237 QKD393230:QKD393237 QTZ393230:QTZ393237 RDV393230:RDV393237 RNR393230:RNR393237 RXN393230:RXN393237 SHJ393230:SHJ393237 SRF393230:SRF393237 TBB393230:TBB393237 TKX393230:TKX393237 TUT393230:TUT393237 UEP393230:UEP393237 UOL393230:UOL393237 UYH393230:UYH393237 VID393230:VID393237 VRZ393230:VRZ393237 WBV393230:WBV393237 WLR393230:WLR393237 WVN393230:WVN393237 F458766:F458773 JB458766:JB458773 SX458766:SX458773 ACT458766:ACT458773 AMP458766:AMP458773 AWL458766:AWL458773 BGH458766:BGH458773 BQD458766:BQD458773 BZZ458766:BZZ458773 CJV458766:CJV458773 CTR458766:CTR458773 DDN458766:DDN458773 DNJ458766:DNJ458773 DXF458766:DXF458773 EHB458766:EHB458773 EQX458766:EQX458773 FAT458766:FAT458773 FKP458766:FKP458773 FUL458766:FUL458773 GEH458766:GEH458773 GOD458766:GOD458773 GXZ458766:GXZ458773 HHV458766:HHV458773 HRR458766:HRR458773 IBN458766:IBN458773 ILJ458766:ILJ458773 IVF458766:IVF458773 JFB458766:JFB458773 JOX458766:JOX458773 JYT458766:JYT458773 KIP458766:KIP458773 KSL458766:KSL458773 LCH458766:LCH458773 LMD458766:LMD458773 LVZ458766:LVZ458773 MFV458766:MFV458773 MPR458766:MPR458773 MZN458766:MZN458773 NJJ458766:NJJ458773 NTF458766:NTF458773 ODB458766:ODB458773 OMX458766:OMX458773 OWT458766:OWT458773 PGP458766:PGP458773 PQL458766:PQL458773 QAH458766:QAH458773 QKD458766:QKD458773 QTZ458766:QTZ458773 RDV458766:RDV458773 RNR458766:RNR458773 RXN458766:RXN458773 SHJ458766:SHJ458773 SRF458766:SRF458773 TBB458766:TBB458773 TKX458766:TKX458773 TUT458766:TUT458773 UEP458766:UEP458773 UOL458766:UOL458773 UYH458766:UYH458773 VID458766:VID458773 VRZ458766:VRZ458773 WBV458766:WBV458773 WLR458766:WLR458773 WVN458766:WVN458773 F524302:F524309 JB524302:JB524309 SX524302:SX524309 ACT524302:ACT524309 AMP524302:AMP524309 AWL524302:AWL524309 BGH524302:BGH524309 BQD524302:BQD524309 BZZ524302:BZZ524309 CJV524302:CJV524309 CTR524302:CTR524309 DDN524302:DDN524309 DNJ524302:DNJ524309 DXF524302:DXF524309 EHB524302:EHB524309 EQX524302:EQX524309 FAT524302:FAT524309 FKP524302:FKP524309 FUL524302:FUL524309 GEH524302:GEH524309 GOD524302:GOD524309 GXZ524302:GXZ524309 HHV524302:HHV524309 HRR524302:HRR524309 IBN524302:IBN524309 ILJ524302:ILJ524309 IVF524302:IVF524309 JFB524302:JFB524309 JOX524302:JOX524309 JYT524302:JYT524309 KIP524302:KIP524309 KSL524302:KSL524309 LCH524302:LCH524309 LMD524302:LMD524309 LVZ524302:LVZ524309 MFV524302:MFV524309 MPR524302:MPR524309 MZN524302:MZN524309 NJJ524302:NJJ524309 NTF524302:NTF524309 ODB524302:ODB524309 OMX524302:OMX524309 OWT524302:OWT524309 PGP524302:PGP524309 PQL524302:PQL524309 QAH524302:QAH524309 QKD524302:QKD524309 QTZ524302:QTZ524309 RDV524302:RDV524309 RNR524302:RNR524309 RXN524302:RXN524309 SHJ524302:SHJ524309 SRF524302:SRF524309 TBB524302:TBB524309 TKX524302:TKX524309 TUT524302:TUT524309 UEP524302:UEP524309 UOL524302:UOL524309 UYH524302:UYH524309 VID524302:VID524309 VRZ524302:VRZ524309 WBV524302:WBV524309 WLR524302:WLR524309 WVN524302:WVN524309 F589838:F589845 JB589838:JB589845 SX589838:SX589845 ACT589838:ACT589845 AMP589838:AMP589845 AWL589838:AWL589845 BGH589838:BGH589845 BQD589838:BQD589845 BZZ589838:BZZ589845 CJV589838:CJV589845 CTR589838:CTR589845 DDN589838:DDN589845 DNJ589838:DNJ589845 DXF589838:DXF589845 EHB589838:EHB589845 EQX589838:EQX589845 FAT589838:FAT589845 FKP589838:FKP589845 FUL589838:FUL589845 GEH589838:GEH589845 GOD589838:GOD589845 GXZ589838:GXZ589845 HHV589838:HHV589845 HRR589838:HRR589845 IBN589838:IBN589845 ILJ589838:ILJ589845 IVF589838:IVF589845 JFB589838:JFB589845 JOX589838:JOX589845 JYT589838:JYT589845 KIP589838:KIP589845 KSL589838:KSL589845 LCH589838:LCH589845 LMD589838:LMD589845 LVZ589838:LVZ589845 MFV589838:MFV589845 MPR589838:MPR589845 MZN589838:MZN589845 NJJ589838:NJJ589845 NTF589838:NTF589845 ODB589838:ODB589845 OMX589838:OMX589845 OWT589838:OWT589845 PGP589838:PGP589845 PQL589838:PQL589845 QAH589838:QAH589845 QKD589838:QKD589845 QTZ589838:QTZ589845 RDV589838:RDV589845 RNR589838:RNR589845 RXN589838:RXN589845 SHJ589838:SHJ589845 SRF589838:SRF589845 TBB589838:TBB589845 TKX589838:TKX589845 TUT589838:TUT589845 UEP589838:UEP589845 UOL589838:UOL589845 UYH589838:UYH589845 VID589838:VID589845 VRZ589838:VRZ589845 WBV589838:WBV589845 WLR589838:WLR589845 WVN589838:WVN589845 F655374:F655381 JB655374:JB655381 SX655374:SX655381 ACT655374:ACT655381 AMP655374:AMP655381 AWL655374:AWL655381 BGH655374:BGH655381 BQD655374:BQD655381 BZZ655374:BZZ655381 CJV655374:CJV655381 CTR655374:CTR655381 DDN655374:DDN655381 DNJ655374:DNJ655381 DXF655374:DXF655381 EHB655374:EHB655381 EQX655374:EQX655381 FAT655374:FAT655381 FKP655374:FKP655381 FUL655374:FUL655381 GEH655374:GEH655381 GOD655374:GOD655381 GXZ655374:GXZ655381 HHV655374:HHV655381 HRR655374:HRR655381 IBN655374:IBN655381 ILJ655374:ILJ655381 IVF655374:IVF655381 JFB655374:JFB655381 JOX655374:JOX655381 JYT655374:JYT655381 KIP655374:KIP655381 KSL655374:KSL655381 LCH655374:LCH655381 LMD655374:LMD655381 LVZ655374:LVZ655381 MFV655374:MFV655381 MPR655374:MPR655381 MZN655374:MZN655381 NJJ655374:NJJ655381 NTF655374:NTF655381 ODB655374:ODB655381 OMX655374:OMX655381 OWT655374:OWT655381 PGP655374:PGP655381 PQL655374:PQL655381 QAH655374:QAH655381 QKD655374:QKD655381 QTZ655374:QTZ655381 RDV655374:RDV655381 RNR655374:RNR655381 RXN655374:RXN655381 SHJ655374:SHJ655381 SRF655374:SRF655381 TBB655374:TBB655381 TKX655374:TKX655381 TUT655374:TUT655381 UEP655374:UEP655381 UOL655374:UOL655381 UYH655374:UYH655381 VID655374:VID655381 VRZ655374:VRZ655381 WBV655374:WBV655381 WLR655374:WLR655381 WVN655374:WVN655381 F720910:F720917 JB720910:JB720917 SX720910:SX720917 ACT720910:ACT720917 AMP720910:AMP720917 AWL720910:AWL720917 BGH720910:BGH720917 BQD720910:BQD720917 BZZ720910:BZZ720917 CJV720910:CJV720917 CTR720910:CTR720917 DDN720910:DDN720917 DNJ720910:DNJ720917 DXF720910:DXF720917 EHB720910:EHB720917 EQX720910:EQX720917 FAT720910:FAT720917 FKP720910:FKP720917 FUL720910:FUL720917 GEH720910:GEH720917 GOD720910:GOD720917 GXZ720910:GXZ720917 HHV720910:HHV720917 HRR720910:HRR720917 IBN720910:IBN720917 ILJ720910:ILJ720917 IVF720910:IVF720917 JFB720910:JFB720917 JOX720910:JOX720917 JYT720910:JYT720917 KIP720910:KIP720917 KSL720910:KSL720917 LCH720910:LCH720917 LMD720910:LMD720917 LVZ720910:LVZ720917 MFV720910:MFV720917 MPR720910:MPR720917 MZN720910:MZN720917 NJJ720910:NJJ720917 NTF720910:NTF720917 ODB720910:ODB720917 OMX720910:OMX720917 OWT720910:OWT720917 PGP720910:PGP720917 PQL720910:PQL720917 QAH720910:QAH720917 QKD720910:QKD720917 QTZ720910:QTZ720917 RDV720910:RDV720917 RNR720910:RNR720917 RXN720910:RXN720917 SHJ720910:SHJ720917 SRF720910:SRF720917 TBB720910:TBB720917 TKX720910:TKX720917 TUT720910:TUT720917 UEP720910:UEP720917 UOL720910:UOL720917 UYH720910:UYH720917 VID720910:VID720917 VRZ720910:VRZ720917 WBV720910:WBV720917 WLR720910:WLR720917 WVN720910:WVN720917 F786446:F786453 JB786446:JB786453 SX786446:SX786453 ACT786446:ACT786453 AMP786446:AMP786453 AWL786446:AWL786453 BGH786446:BGH786453 BQD786446:BQD786453 BZZ786446:BZZ786453 CJV786446:CJV786453 CTR786446:CTR786453 DDN786446:DDN786453 DNJ786446:DNJ786453 DXF786446:DXF786453 EHB786446:EHB786453 EQX786446:EQX786453 FAT786446:FAT786453 FKP786446:FKP786453 FUL786446:FUL786453 GEH786446:GEH786453 GOD786446:GOD786453 GXZ786446:GXZ786453 HHV786446:HHV786453 HRR786446:HRR786453 IBN786446:IBN786453 ILJ786446:ILJ786453 IVF786446:IVF786453 JFB786446:JFB786453 JOX786446:JOX786453 JYT786446:JYT786453 KIP786446:KIP786453 KSL786446:KSL786453 LCH786446:LCH786453 LMD786446:LMD786453 LVZ786446:LVZ786453 MFV786446:MFV786453 MPR786446:MPR786453 MZN786446:MZN786453 NJJ786446:NJJ786453 NTF786446:NTF786453 ODB786446:ODB786453 OMX786446:OMX786453 OWT786446:OWT786453 PGP786446:PGP786453 PQL786446:PQL786453 QAH786446:QAH786453 QKD786446:QKD786453 QTZ786446:QTZ786453 RDV786446:RDV786453 RNR786446:RNR786453 RXN786446:RXN786453 SHJ786446:SHJ786453 SRF786446:SRF786453 TBB786446:TBB786453 TKX786446:TKX786453 TUT786446:TUT786453 UEP786446:UEP786453 UOL786446:UOL786453 UYH786446:UYH786453 VID786446:VID786453 VRZ786446:VRZ786453 WBV786446:WBV786453 WLR786446:WLR786453 WVN786446:WVN786453 F851982:F851989 JB851982:JB851989 SX851982:SX851989 ACT851982:ACT851989 AMP851982:AMP851989 AWL851982:AWL851989 BGH851982:BGH851989 BQD851982:BQD851989 BZZ851982:BZZ851989 CJV851982:CJV851989 CTR851982:CTR851989 DDN851982:DDN851989 DNJ851982:DNJ851989 DXF851982:DXF851989 EHB851982:EHB851989 EQX851982:EQX851989 FAT851982:FAT851989 FKP851982:FKP851989 FUL851982:FUL851989 GEH851982:GEH851989 GOD851982:GOD851989 GXZ851982:GXZ851989 HHV851982:HHV851989 HRR851982:HRR851989 IBN851982:IBN851989 ILJ851982:ILJ851989 IVF851982:IVF851989 JFB851982:JFB851989 JOX851982:JOX851989 JYT851982:JYT851989 KIP851982:KIP851989 KSL851982:KSL851989 LCH851982:LCH851989 LMD851982:LMD851989 LVZ851982:LVZ851989 MFV851982:MFV851989 MPR851982:MPR851989 MZN851982:MZN851989 NJJ851982:NJJ851989 NTF851982:NTF851989 ODB851982:ODB851989 OMX851982:OMX851989 OWT851982:OWT851989 PGP851982:PGP851989 PQL851982:PQL851989 QAH851982:QAH851989 QKD851982:QKD851989 QTZ851982:QTZ851989 RDV851982:RDV851989 RNR851982:RNR851989 RXN851982:RXN851989 SHJ851982:SHJ851989 SRF851982:SRF851989 TBB851982:TBB851989 TKX851982:TKX851989 TUT851982:TUT851989 UEP851982:UEP851989 UOL851982:UOL851989 UYH851982:UYH851989 VID851982:VID851989 VRZ851982:VRZ851989 WBV851982:WBV851989 WLR851982:WLR851989 WVN851982:WVN851989 F917518:F917525 JB917518:JB917525 SX917518:SX917525 ACT917518:ACT917525 AMP917518:AMP917525 AWL917518:AWL917525 BGH917518:BGH917525 BQD917518:BQD917525 BZZ917518:BZZ917525 CJV917518:CJV917525 CTR917518:CTR917525 DDN917518:DDN917525 DNJ917518:DNJ917525 DXF917518:DXF917525 EHB917518:EHB917525 EQX917518:EQX917525 FAT917518:FAT917525 FKP917518:FKP917525 FUL917518:FUL917525 GEH917518:GEH917525 GOD917518:GOD917525 GXZ917518:GXZ917525 HHV917518:HHV917525 HRR917518:HRR917525 IBN917518:IBN917525 ILJ917518:ILJ917525 IVF917518:IVF917525 JFB917518:JFB917525 JOX917518:JOX917525 JYT917518:JYT917525 KIP917518:KIP917525 KSL917518:KSL917525 LCH917518:LCH917525 LMD917518:LMD917525 LVZ917518:LVZ917525 MFV917518:MFV917525 MPR917518:MPR917525 MZN917518:MZN917525 NJJ917518:NJJ917525 NTF917518:NTF917525 ODB917518:ODB917525 OMX917518:OMX917525 OWT917518:OWT917525 PGP917518:PGP917525 PQL917518:PQL917525 QAH917518:QAH917525 QKD917518:QKD917525 QTZ917518:QTZ917525 RDV917518:RDV917525 RNR917518:RNR917525 RXN917518:RXN917525 SHJ917518:SHJ917525 SRF917518:SRF917525 TBB917518:TBB917525 TKX917518:TKX917525 TUT917518:TUT917525 UEP917518:UEP917525 UOL917518:UOL917525 UYH917518:UYH917525 VID917518:VID917525 VRZ917518:VRZ917525 WBV917518:WBV917525 WLR917518:WLR917525 WVN917518:WVN917525 F983054:F983061 JB983054:JB983061 SX983054:SX983061 ACT983054:ACT983061 AMP983054:AMP983061 AWL983054:AWL983061 BGH983054:BGH983061 BQD983054:BQD983061 BZZ983054:BZZ983061 CJV983054:CJV983061 CTR983054:CTR983061 DDN983054:DDN983061 DNJ983054:DNJ983061 DXF983054:DXF983061 EHB983054:EHB983061 EQX983054:EQX983061 FAT983054:FAT983061 FKP983054:FKP983061 FUL983054:FUL983061 GEH983054:GEH983061 GOD983054:GOD983061 GXZ983054:GXZ983061 HHV983054:HHV983061 HRR983054:HRR983061 IBN983054:IBN983061 ILJ983054:ILJ983061 IVF983054:IVF983061 JFB983054:JFB983061 JOX983054:JOX983061 JYT983054:JYT983061 KIP983054:KIP983061 KSL983054:KSL983061 LCH983054:LCH983061 LMD983054:LMD983061 LVZ983054:LVZ983061 MFV983054:MFV983061 MPR983054:MPR983061 MZN983054:MZN983061 NJJ983054:NJJ983061 NTF983054:NTF983061 ODB983054:ODB983061 OMX983054:OMX983061 OWT983054:OWT983061 PGP983054:PGP983061 PQL983054:PQL983061 QAH983054:QAH983061 QKD983054:QKD983061 QTZ983054:QTZ983061 RDV983054:RDV983061 RNR983054:RNR983061 RXN983054:RXN983061 SHJ983054:SHJ983061 SRF983054:SRF983061 TBB983054:TBB983061 TKX983054:TKX983061 TUT983054:TUT983061 UEP983054:UEP983061 UOL983054:UOL983061 UYH983054:UYH983061 VID983054:VID983061 VRZ983054:VRZ983061 WBV983054:WBV983061 WLR983054:WLR983061 WVN983054:WVN983061 WVQ983054:WVQ983061 JE14:JE21 TA14:TA21 ACW14:ACW21 AMS14:AMS21 AWO14:AWO21 BGK14:BGK21 BQG14:BQG21 CAC14:CAC21 CJY14:CJY21 CTU14:CTU21 DDQ14:DDQ21 DNM14:DNM21 DXI14:DXI21 EHE14:EHE21 ERA14:ERA21 FAW14:FAW21 FKS14:FKS21 FUO14:FUO21 GEK14:GEK21 GOG14:GOG21 GYC14:GYC21 HHY14:HHY21 HRU14:HRU21 IBQ14:IBQ21 ILM14:ILM21 IVI14:IVI21 JFE14:JFE21 JPA14:JPA21 JYW14:JYW21 KIS14:KIS21 KSO14:KSO21 LCK14:LCK21 LMG14:LMG21 LWC14:LWC21 MFY14:MFY21 MPU14:MPU21 MZQ14:MZQ21 NJM14:NJM21 NTI14:NTI21 ODE14:ODE21 ONA14:ONA21 OWW14:OWW21 PGS14:PGS21 PQO14:PQO21 QAK14:QAK21 QKG14:QKG21 QUC14:QUC21 RDY14:RDY21 RNU14:RNU21 RXQ14:RXQ21 SHM14:SHM21 SRI14:SRI21 TBE14:TBE21 TLA14:TLA21 TUW14:TUW21 UES14:UES21 UOO14:UOO21 UYK14:UYK21 VIG14:VIG21 VSC14:VSC21 WBY14:WBY21 WLU14:WLU21 WVQ14:WVQ21 I65550:I65557 JE65550:JE65557 TA65550:TA65557 ACW65550:ACW65557 AMS65550:AMS65557 AWO65550:AWO65557 BGK65550:BGK65557 BQG65550:BQG65557 CAC65550:CAC65557 CJY65550:CJY65557 CTU65550:CTU65557 DDQ65550:DDQ65557 DNM65550:DNM65557 DXI65550:DXI65557 EHE65550:EHE65557 ERA65550:ERA65557 FAW65550:FAW65557 FKS65550:FKS65557 FUO65550:FUO65557 GEK65550:GEK65557 GOG65550:GOG65557 GYC65550:GYC65557 HHY65550:HHY65557 HRU65550:HRU65557 IBQ65550:IBQ65557 ILM65550:ILM65557 IVI65550:IVI65557 JFE65550:JFE65557 JPA65550:JPA65557 JYW65550:JYW65557 KIS65550:KIS65557 KSO65550:KSO65557 LCK65550:LCK65557 LMG65550:LMG65557 LWC65550:LWC65557 MFY65550:MFY65557 MPU65550:MPU65557 MZQ65550:MZQ65557 NJM65550:NJM65557 NTI65550:NTI65557 ODE65550:ODE65557 ONA65550:ONA65557 OWW65550:OWW65557 PGS65550:PGS65557 PQO65550:PQO65557 QAK65550:QAK65557 QKG65550:QKG65557 QUC65550:QUC65557 RDY65550:RDY65557 RNU65550:RNU65557 RXQ65550:RXQ65557 SHM65550:SHM65557 SRI65550:SRI65557 TBE65550:TBE65557 TLA65550:TLA65557 TUW65550:TUW65557 UES65550:UES65557 UOO65550:UOO65557 UYK65550:UYK65557 VIG65550:VIG65557 VSC65550:VSC65557 WBY65550:WBY65557 WLU65550:WLU65557 WVQ65550:WVQ65557 I131086:I131093 JE131086:JE131093 TA131086:TA131093 ACW131086:ACW131093 AMS131086:AMS131093 AWO131086:AWO131093 BGK131086:BGK131093 BQG131086:BQG131093 CAC131086:CAC131093 CJY131086:CJY131093 CTU131086:CTU131093 DDQ131086:DDQ131093 DNM131086:DNM131093 DXI131086:DXI131093 EHE131086:EHE131093 ERA131086:ERA131093 FAW131086:FAW131093 FKS131086:FKS131093 FUO131086:FUO131093 GEK131086:GEK131093 GOG131086:GOG131093 GYC131086:GYC131093 HHY131086:HHY131093 HRU131086:HRU131093 IBQ131086:IBQ131093 ILM131086:ILM131093 IVI131086:IVI131093 JFE131086:JFE131093 JPA131086:JPA131093 JYW131086:JYW131093 KIS131086:KIS131093 KSO131086:KSO131093 LCK131086:LCK131093 LMG131086:LMG131093 LWC131086:LWC131093 MFY131086:MFY131093 MPU131086:MPU131093 MZQ131086:MZQ131093 NJM131086:NJM131093 NTI131086:NTI131093 ODE131086:ODE131093 ONA131086:ONA131093 OWW131086:OWW131093 PGS131086:PGS131093 PQO131086:PQO131093 QAK131086:QAK131093 QKG131086:QKG131093 QUC131086:QUC131093 RDY131086:RDY131093 RNU131086:RNU131093 RXQ131086:RXQ131093 SHM131086:SHM131093 SRI131086:SRI131093 TBE131086:TBE131093 TLA131086:TLA131093 TUW131086:TUW131093 UES131086:UES131093 UOO131086:UOO131093 UYK131086:UYK131093 VIG131086:VIG131093 VSC131086:VSC131093 WBY131086:WBY131093 WLU131086:WLU131093 WVQ131086:WVQ131093 I196622:I196629 JE196622:JE196629 TA196622:TA196629 ACW196622:ACW196629 AMS196622:AMS196629 AWO196622:AWO196629 BGK196622:BGK196629 BQG196622:BQG196629 CAC196622:CAC196629 CJY196622:CJY196629 CTU196622:CTU196629 DDQ196622:DDQ196629 DNM196622:DNM196629 DXI196622:DXI196629 EHE196622:EHE196629 ERA196622:ERA196629 FAW196622:FAW196629 FKS196622:FKS196629 FUO196622:FUO196629 GEK196622:GEK196629 GOG196622:GOG196629 GYC196622:GYC196629 HHY196622:HHY196629 HRU196622:HRU196629 IBQ196622:IBQ196629 ILM196622:ILM196629 IVI196622:IVI196629 JFE196622:JFE196629 JPA196622:JPA196629 JYW196622:JYW196629 KIS196622:KIS196629 KSO196622:KSO196629 LCK196622:LCK196629 LMG196622:LMG196629 LWC196622:LWC196629 MFY196622:MFY196629 MPU196622:MPU196629 MZQ196622:MZQ196629 NJM196622:NJM196629 NTI196622:NTI196629 ODE196622:ODE196629 ONA196622:ONA196629 OWW196622:OWW196629 PGS196622:PGS196629 PQO196622:PQO196629 QAK196622:QAK196629 QKG196622:QKG196629 QUC196622:QUC196629 RDY196622:RDY196629 RNU196622:RNU196629 RXQ196622:RXQ196629 SHM196622:SHM196629 SRI196622:SRI196629 TBE196622:TBE196629 TLA196622:TLA196629 TUW196622:TUW196629 UES196622:UES196629 UOO196622:UOO196629 UYK196622:UYK196629 VIG196622:VIG196629 VSC196622:VSC196629 WBY196622:WBY196629 WLU196622:WLU196629 WVQ196622:WVQ196629 I262158:I262165 JE262158:JE262165 TA262158:TA262165 ACW262158:ACW262165 AMS262158:AMS262165 AWO262158:AWO262165 BGK262158:BGK262165 BQG262158:BQG262165 CAC262158:CAC262165 CJY262158:CJY262165 CTU262158:CTU262165 DDQ262158:DDQ262165 DNM262158:DNM262165 DXI262158:DXI262165 EHE262158:EHE262165 ERA262158:ERA262165 FAW262158:FAW262165 FKS262158:FKS262165 FUO262158:FUO262165 GEK262158:GEK262165 GOG262158:GOG262165 GYC262158:GYC262165 HHY262158:HHY262165 HRU262158:HRU262165 IBQ262158:IBQ262165 ILM262158:ILM262165 IVI262158:IVI262165 JFE262158:JFE262165 JPA262158:JPA262165 JYW262158:JYW262165 KIS262158:KIS262165 KSO262158:KSO262165 LCK262158:LCK262165 LMG262158:LMG262165 LWC262158:LWC262165 MFY262158:MFY262165 MPU262158:MPU262165 MZQ262158:MZQ262165 NJM262158:NJM262165 NTI262158:NTI262165 ODE262158:ODE262165 ONA262158:ONA262165 OWW262158:OWW262165 PGS262158:PGS262165 PQO262158:PQO262165 QAK262158:QAK262165 QKG262158:QKG262165 QUC262158:QUC262165 RDY262158:RDY262165 RNU262158:RNU262165 RXQ262158:RXQ262165 SHM262158:SHM262165 SRI262158:SRI262165 TBE262158:TBE262165 TLA262158:TLA262165 TUW262158:TUW262165 UES262158:UES262165 UOO262158:UOO262165 UYK262158:UYK262165 VIG262158:VIG262165 VSC262158:VSC262165 WBY262158:WBY262165 WLU262158:WLU262165 WVQ262158:WVQ262165 I327694:I327701 JE327694:JE327701 TA327694:TA327701 ACW327694:ACW327701 AMS327694:AMS327701 AWO327694:AWO327701 BGK327694:BGK327701 BQG327694:BQG327701 CAC327694:CAC327701 CJY327694:CJY327701 CTU327694:CTU327701 DDQ327694:DDQ327701 DNM327694:DNM327701 DXI327694:DXI327701 EHE327694:EHE327701 ERA327694:ERA327701 FAW327694:FAW327701 FKS327694:FKS327701 FUO327694:FUO327701 GEK327694:GEK327701 GOG327694:GOG327701 GYC327694:GYC327701 HHY327694:HHY327701 HRU327694:HRU327701 IBQ327694:IBQ327701 ILM327694:ILM327701 IVI327694:IVI327701 JFE327694:JFE327701 JPA327694:JPA327701 JYW327694:JYW327701 KIS327694:KIS327701 KSO327694:KSO327701 LCK327694:LCK327701 LMG327694:LMG327701 LWC327694:LWC327701 MFY327694:MFY327701 MPU327694:MPU327701 MZQ327694:MZQ327701 NJM327694:NJM327701 NTI327694:NTI327701 ODE327694:ODE327701 ONA327694:ONA327701 OWW327694:OWW327701 PGS327694:PGS327701 PQO327694:PQO327701 QAK327694:QAK327701 QKG327694:QKG327701 QUC327694:QUC327701 RDY327694:RDY327701 RNU327694:RNU327701 RXQ327694:RXQ327701 SHM327694:SHM327701 SRI327694:SRI327701 TBE327694:TBE327701 TLA327694:TLA327701 TUW327694:TUW327701 UES327694:UES327701 UOO327694:UOO327701 UYK327694:UYK327701 VIG327694:VIG327701 VSC327694:VSC327701 WBY327694:WBY327701 WLU327694:WLU327701 WVQ327694:WVQ327701 I393230:I393237 JE393230:JE393237 TA393230:TA393237 ACW393230:ACW393237 AMS393230:AMS393237 AWO393230:AWO393237 BGK393230:BGK393237 BQG393230:BQG393237 CAC393230:CAC393237 CJY393230:CJY393237 CTU393230:CTU393237 DDQ393230:DDQ393237 DNM393230:DNM393237 DXI393230:DXI393237 EHE393230:EHE393237 ERA393230:ERA393237 FAW393230:FAW393237 FKS393230:FKS393237 FUO393230:FUO393237 GEK393230:GEK393237 GOG393230:GOG393237 GYC393230:GYC393237 HHY393230:HHY393237 HRU393230:HRU393237 IBQ393230:IBQ393237 ILM393230:ILM393237 IVI393230:IVI393237 JFE393230:JFE393237 JPA393230:JPA393237 JYW393230:JYW393237 KIS393230:KIS393237 KSO393230:KSO393237 LCK393230:LCK393237 LMG393230:LMG393237 LWC393230:LWC393237 MFY393230:MFY393237 MPU393230:MPU393237 MZQ393230:MZQ393237 NJM393230:NJM393237 NTI393230:NTI393237 ODE393230:ODE393237 ONA393230:ONA393237 OWW393230:OWW393237 PGS393230:PGS393237 PQO393230:PQO393237 QAK393230:QAK393237 QKG393230:QKG393237 QUC393230:QUC393237 RDY393230:RDY393237 RNU393230:RNU393237 RXQ393230:RXQ393237 SHM393230:SHM393237 SRI393230:SRI393237 TBE393230:TBE393237 TLA393230:TLA393237 TUW393230:TUW393237 UES393230:UES393237 UOO393230:UOO393237 UYK393230:UYK393237 VIG393230:VIG393237 VSC393230:VSC393237 WBY393230:WBY393237 WLU393230:WLU393237 WVQ393230:WVQ393237 I458766:I458773 JE458766:JE458773 TA458766:TA458773 ACW458766:ACW458773 AMS458766:AMS458773 AWO458766:AWO458773 BGK458766:BGK458773 BQG458766:BQG458773 CAC458766:CAC458773 CJY458766:CJY458773 CTU458766:CTU458773 DDQ458766:DDQ458773 DNM458766:DNM458773 DXI458766:DXI458773 EHE458766:EHE458773 ERA458766:ERA458773 FAW458766:FAW458773 FKS458766:FKS458773 FUO458766:FUO458773 GEK458766:GEK458773 GOG458766:GOG458773 GYC458766:GYC458773 HHY458766:HHY458773 HRU458766:HRU458773 IBQ458766:IBQ458773 ILM458766:ILM458773 IVI458766:IVI458773 JFE458766:JFE458773 JPA458766:JPA458773 JYW458766:JYW458773 KIS458766:KIS458773 KSO458766:KSO458773 LCK458766:LCK458773 LMG458766:LMG458773 LWC458766:LWC458773 MFY458766:MFY458773 MPU458766:MPU458773 MZQ458766:MZQ458773 NJM458766:NJM458773 NTI458766:NTI458773 ODE458766:ODE458773 ONA458766:ONA458773 OWW458766:OWW458773 PGS458766:PGS458773 PQO458766:PQO458773 QAK458766:QAK458773 QKG458766:QKG458773 QUC458766:QUC458773 RDY458766:RDY458773 RNU458766:RNU458773 RXQ458766:RXQ458773 SHM458766:SHM458773 SRI458766:SRI458773 TBE458766:TBE458773 TLA458766:TLA458773 TUW458766:TUW458773 UES458766:UES458773 UOO458766:UOO458773 UYK458766:UYK458773 VIG458766:VIG458773 VSC458766:VSC458773 WBY458766:WBY458773 WLU458766:WLU458773 WVQ458766:WVQ458773 I524302:I524309 JE524302:JE524309 TA524302:TA524309 ACW524302:ACW524309 AMS524302:AMS524309 AWO524302:AWO524309 BGK524302:BGK524309 BQG524302:BQG524309 CAC524302:CAC524309 CJY524302:CJY524309 CTU524302:CTU524309 DDQ524302:DDQ524309 DNM524302:DNM524309 DXI524302:DXI524309 EHE524302:EHE524309 ERA524302:ERA524309 FAW524302:FAW524309 FKS524302:FKS524309 FUO524302:FUO524309 GEK524302:GEK524309 GOG524302:GOG524309 GYC524302:GYC524309 HHY524302:HHY524309 HRU524302:HRU524309 IBQ524302:IBQ524309 ILM524302:ILM524309 IVI524302:IVI524309 JFE524302:JFE524309 JPA524302:JPA524309 JYW524302:JYW524309 KIS524302:KIS524309 KSO524302:KSO524309 LCK524302:LCK524309 LMG524302:LMG524309 LWC524302:LWC524309 MFY524302:MFY524309 MPU524302:MPU524309 MZQ524302:MZQ524309 NJM524302:NJM524309 NTI524302:NTI524309 ODE524302:ODE524309 ONA524302:ONA524309 OWW524302:OWW524309 PGS524302:PGS524309 PQO524302:PQO524309 QAK524302:QAK524309 QKG524302:QKG524309 QUC524302:QUC524309 RDY524302:RDY524309 RNU524302:RNU524309 RXQ524302:RXQ524309 SHM524302:SHM524309 SRI524302:SRI524309 TBE524302:TBE524309 TLA524302:TLA524309 TUW524302:TUW524309 UES524302:UES524309 UOO524302:UOO524309 UYK524302:UYK524309 VIG524302:VIG524309 VSC524302:VSC524309 WBY524302:WBY524309 WLU524302:WLU524309 WVQ524302:WVQ524309 I589838:I589845 JE589838:JE589845 TA589838:TA589845 ACW589838:ACW589845 AMS589838:AMS589845 AWO589838:AWO589845 BGK589838:BGK589845 BQG589838:BQG589845 CAC589838:CAC589845 CJY589838:CJY589845 CTU589838:CTU589845 DDQ589838:DDQ589845 DNM589838:DNM589845 DXI589838:DXI589845 EHE589838:EHE589845 ERA589838:ERA589845 FAW589838:FAW589845 FKS589838:FKS589845 FUO589838:FUO589845 GEK589838:GEK589845 GOG589838:GOG589845 GYC589838:GYC589845 HHY589838:HHY589845 HRU589838:HRU589845 IBQ589838:IBQ589845 ILM589838:ILM589845 IVI589838:IVI589845 JFE589838:JFE589845 JPA589838:JPA589845 JYW589838:JYW589845 KIS589838:KIS589845 KSO589838:KSO589845 LCK589838:LCK589845 LMG589838:LMG589845 LWC589838:LWC589845 MFY589838:MFY589845 MPU589838:MPU589845 MZQ589838:MZQ589845 NJM589838:NJM589845 NTI589838:NTI589845 ODE589838:ODE589845 ONA589838:ONA589845 OWW589838:OWW589845 PGS589838:PGS589845 PQO589838:PQO589845 QAK589838:QAK589845 QKG589838:QKG589845 QUC589838:QUC589845 RDY589838:RDY589845 RNU589838:RNU589845 RXQ589838:RXQ589845 SHM589838:SHM589845 SRI589838:SRI589845 TBE589838:TBE589845 TLA589838:TLA589845 TUW589838:TUW589845 UES589838:UES589845 UOO589838:UOO589845 UYK589838:UYK589845 VIG589838:VIG589845 VSC589838:VSC589845 WBY589838:WBY589845 WLU589838:WLU589845 WVQ589838:WVQ589845 I655374:I655381 JE655374:JE655381 TA655374:TA655381 ACW655374:ACW655381 AMS655374:AMS655381 AWO655374:AWO655381 BGK655374:BGK655381 BQG655374:BQG655381 CAC655374:CAC655381 CJY655374:CJY655381 CTU655374:CTU655381 DDQ655374:DDQ655381 DNM655374:DNM655381 DXI655374:DXI655381 EHE655374:EHE655381 ERA655374:ERA655381 FAW655374:FAW655381 FKS655374:FKS655381 FUO655374:FUO655381 GEK655374:GEK655381 GOG655374:GOG655381 GYC655374:GYC655381 HHY655374:HHY655381 HRU655374:HRU655381 IBQ655374:IBQ655381 ILM655374:ILM655381 IVI655374:IVI655381 JFE655374:JFE655381 JPA655374:JPA655381 JYW655374:JYW655381 KIS655374:KIS655381 KSO655374:KSO655381 LCK655374:LCK655381 LMG655374:LMG655381 LWC655374:LWC655381 MFY655374:MFY655381 MPU655374:MPU655381 MZQ655374:MZQ655381 NJM655374:NJM655381 NTI655374:NTI655381 ODE655374:ODE655381 ONA655374:ONA655381 OWW655374:OWW655381 PGS655374:PGS655381 PQO655374:PQO655381 QAK655374:QAK655381 QKG655374:QKG655381 QUC655374:QUC655381 RDY655374:RDY655381 RNU655374:RNU655381 RXQ655374:RXQ655381 SHM655374:SHM655381 SRI655374:SRI655381 TBE655374:TBE655381 TLA655374:TLA655381 TUW655374:TUW655381 UES655374:UES655381 UOO655374:UOO655381 UYK655374:UYK655381 VIG655374:VIG655381 VSC655374:VSC655381 WBY655374:WBY655381 WLU655374:WLU655381 WVQ655374:WVQ655381 I720910:I720917 JE720910:JE720917 TA720910:TA720917 ACW720910:ACW720917 AMS720910:AMS720917 AWO720910:AWO720917 BGK720910:BGK720917 BQG720910:BQG720917 CAC720910:CAC720917 CJY720910:CJY720917 CTU720910:CTU720917 DDQ720910:DDQ720917 DNM720910:DNM720917 DXI720910:DXI720917 EHE720910:EHE720917 ERA720910:ERA720917 FAW720910:FAW720917 FKS720910:FKS720917 FUO720910:FUO720917 GEK720910:GEK720917 GOG720910:GOG720917 GYC720910:GYC720917 HHY720910:HHY720917 HRU720910:HRU720917 IBQ720910:IBQ720917 ILM720910:ILM720917 IVI720910:IVI720917 JFE720910:JFE720917 JPA720910:JPA720917 JYW720910:JYW720917 KIS720910:KIS720917 KSO720910:KSO720917 LCK720910:LCK720917 LMG720910:LMG720917 LWC720910:LWC720917 MFY720910:MFY720917 MPU720910:MPU720917 MZQ720910:MZQ720917 NJM720910:NJM720917 NTI720910:NTI720917 ODE720910:ODE720917 ONA720910:ONA720917 OWW720910:OWW720917 PGS720910:PGS720917 PQO720910:PQO720917 QAK720910:QAK720917 QKG720910:QKG720917 QUC720910:QUC720917 RDY720910:RDY720917 RNU720910:RNU720917 RXQ720910:RXQ720917 SHM720910:SHM720917 SRI720910:SRI720917 TBE720910:TBE720917 TLA720910:TLA720917 TUW720910:TUW720917 UES720910:UES720917 UOO720910:UOO720917 UYK720910:UYK720917 VIG720910:VIG720917 VSC720910:VSC720917 WBY720910:WBY720917 WLU720910:WLU720917 WVQ720910:WVQ720917 I786446:I786453 JE786446:JE786453 TA786446:TA786453 ACW786446:ACW786453 AMS786446:AMS786453 AWO786446:AWO786453 BGK786446:BGK786453 BQG786446:BQG786453 CAC786446:CAC786453 CJY786446:CJY786453 CTU786446:CTU786453 DDQ786446:DDQ786453 DNM786446:DNM786453 DXI786446:DXI786453 EHE786446:EHE786453 ERA786446:ERA786453 FAW786446:FAW786453 FKS786446:FKS786453 FUO786446:FUO786453 GEK786446:GEK786453 GOG786446:GOG786453 GYC786446:GYC786453 HHY786446:HHY786453 HRU786446:HRU786453 IBQ786446:IBQ786453 ILM786446:ILM786453 IVI786446:IVI786453 JFE786446:JFE786453 JPA786446:JPA786453 JYW786446:JYW786453 KIS786446:KIS786453 KSO786446:KSO786453 LCK786446:LCK786453 LMG786446:LMG786453 LWC786446:LWC786453 MFY786446:MFY786453 MPU786446:MPU786453 MZQ786446:MZQ786453 NJM786446:NJM786453 NTI786446:NTI786453 ODE786446:ODE786453 ONA786446:ONA786453 OWW786446:OWW786453 PGS786446:PGS786453 PQO786446:PQO786453 QAK786446:QAK786453 QKG786446:QKG786453 QUC786446:QUC786453 RDY786446:RDY786453 RNU786446:RNU786453 RXQ786446:RXQ786453 SHM786446:SHM786453 SRI786446:SRI786453 TBE786446:TBE786453 TLA786446:TLA786453 TUW786446:TUW786453 UES786446:UES786453 UOO786446:UOO786453 UYK786446:UYK786453 VIG786446:VIG786453 VSC786446:VSC786453 WBY786446:WBY786453 WLU786446:WLU786453 WVQ786446:WVQ786453 I851982:I851989 JE851982:JE851989 TA851982:TA851989 ACW851982:ACW851989 AMS851982:AMS851989 AWO851982:AWO851989 BGK851982:BGK851989 BQG851982:BQG851989 CAC851982:CAC851989 CJY851982:CJY851989 CTU851982:CTU851989 DDQ851982:DDQ851989 DNM851982:DNM851989 DXI851982:DXI851989 EHE851982:EHE851989 ERA851982:ERA851989 FAW851982:FAW851989 FKS851982:FKS851989 FUO851982:FUO851989 GEK851982:GEK851989 GOG851982:GOG851989 GYC851982:GYC851989 HHY851982:HHY851989 HRU851982:HRU851989 IBQ851982:IBQ851989 ILM851982:ILM851989 IVI851982:IVI851989 JFE851982:JFE851989 JPA851982:JPA851989 JYW851982:JYW851989 KIS851982:KIS851989 KSO851982:KSO851989 LCK851982:LCK851989 LMG851982:LMG851989 LWC851982:LWC851989 MFY851982:MFY851989 MPU851982:MPU851989 MZQ851982:MZQ851989 NJM851982:NJM851989 NTI851982:NTI851989 ODE851982:ODE851989 ONA851982:ONA851989 OWW851982:OWW851989 PGS851982:PGS851989 PQO851982:PQO851989 QAK851982:QAK851989 QKG851982:QKG851989 QUC851982:QUC851989 RDY851982:RDY851989 RNU851982:RNU851989 RXQ851982:RXQ851989 SHM851982:SHM851989 SRI851982:SRI851989 TBE851982:TBE851989 TLA851982:TLA851989 TUW851982:TUW851989 UES851982:UES851989 UOO851982:UOO851989 UYK851982:UYK851989 VIG851982:VIG851989 VSC851982:VSC851989 WBY851982:WBY851989 WLU851982:WLU851989 WVQ851982:WVQ851989 I917518:I917525 JE917518:JE917525 TA917518:TA917525 ACW917518:ACW917525 AMS917518:AMS917525 AWO917518:AWO917525 BGK917518:BGK917525 BQG917518:BQG917525 CAC917518:CAC917525 CJY917518:CJY917525 CTU917518:CTU917525 DDQ917518:DDQ917525 DNM917518:DNM917525 DXI917518:DXI917525 EHE917518:EHE917525 ERA917518:ERA917525 FAW917518:FAW917525 FKS917518:FKS917525 FUO917518:FUO917525 GEK917518:GEK917525 GOG917518:GOG917525 GYC917518:GYC917525 HHY917518:HHY917525 HRU917518:HRU917525 IBQ917518:IBQ917525 ILM917518:ILM917525 IVI917518:IVI917525 JFE917518:JFE917525 JPA917518:JPA917525 JYW917518:JYW917525 KIS917518:KIS917525 KSO917518:KSO917525 LCK917518:LCK917525 LMG917518:LMG917525 LWC917518:LWC917525 MFY917518:MFY917525 MPU917518:MPU917525 MZQ917518:MZQ917525 NJM917518:NJM917525 NTI917518:NTI917525 ODE917518:ODE917525 ONA917518:ONA917525 OWW917518:OWW917525 PGS917518:PGS917525 PQO917518:PQO917525 QAK917518:QAK917525 QKG917518:QKG917525 QUC917518:QUC917525 RDY917518:RDY917525 RNU917518:RNU917525 RXQ917518:RXQ917525 SHM917518:SHM917525 SRI917518:SRI917525 TBE917518:TBE917525 TLA917518:TLA917525 TUW917518:TUW917525 UES917518:UES917525 UOO917518:UOO917525 UYK917518:UYK917525 VIG917518:VIG917525 VSC917518:VSC917525 WBY917518:WBY917525 WLU917518:WLU917525 WVQ917518:WVQ917525 I983054:I983061 JE983054:JE983061 TA983054:TA983061 ACW983054:ACW983061 AMS983054:AMS983061 AWO983054:AWO983061 BGK983054:BGK983061 BQG983054:BQG983061 CAC983054:CAC983061 CJY983054:CJY983061 CTU983054:CTU983061 DDQ983054:DDQ983061 DNM983054:DNM983061 DXI983054:DXI983061 EHE983054:EHE983061 ERA983054:ERA983061 FAW983054:FAW983061 FKS983054:FKS983061 FUO983054:FUO983061 GEK983054:GEK983061 GOG983054:GOG983061 GYC983054:GYC983061 HHY983054:HHY983061 HRU983054:HRU983061 IBQ983054:IBQ983061 ILM983054:ILM983061 IVI983054:IVI983061 JFE983054:JFE983061 JPA983054:JPA983061 JYW983054:JYW983061 KIS983054:KIS983061 KSO983054:KSO983061 LCK983054:LCK983061 LMG983054:LMG983061 LWC983054:LWC983061 MFY983054:MFY983061 MPU983054:MPU983061 MZQ983054:MZQ983061 NJM983054:NJM983061 NTI983054:NTI983061 ODE983054:ODE983061 ONA983054:ONA983061 OWW983054:OWW983061 PGS983054:PGS983061 PQO983054:PQO983061 QAK983054:QAK983061 QKG983054:QKG983061 QUC983054:QUC983061 RDY983054:RDY983061 RNU983054:RNU983061 RXQ983054:RXQ983061 SHM983054:SHM983061 SRI983054:SRI983061 TBE983054:TBE983061 TLA983054:TLA983061 TUW983054:TUW983061 UES983054:UES983061 UOO983054:UOO983061 UYK983054:UYK983061 VIG983054:VIG983061 VSC983054:VSC983061 WBY983054:WBY983061 WLU983054:WLU983061 I23:I24" xr:uid="{00000000-0002-0000-0100-000000000000}">
      <formula1>"Accepted, Not accepted, N/A"</formula1>
    </dataValidation>
    <dataValidation type="list" allowBlank="1" showInputMessage="1" showErrorMessage="1" sqref="E23:E24 JA23:JA24 SW23:SW24 ACS23:ACS24 AMO23:AMO24 AWK23:AWK24 BGG23:BGG24 BQC23:BQC24 BZY23:BZY24 CJU23:CJU24 CTQ23:CTQ24 DDM23:DDM24 DNI23:DNI24 DXE23:DXE24 EHA23:EHA24 EQW23:EQW24 FAS23:FAS24 FKO23:FKO24 FUK23:FUK24 GEG23:GEG24 GOC23:GOC24 GXY23:GXY24 HHU23:HHU24 HRQ23:HRQ24 IBM23:IBM24 ILI23:ILI24 IVE23:IVE24 JFA23:JFA24 JOW23:JOW24 JYS23:JYS24 KIO23:KIO24 KSK23:KSK24 LCG23:LCG24 LMC23:LMC24 LVY23:LVY24 MFU23:MFU24 MPQ23:MPQ24 MZM23:MZM24 NJI23:NJI24 NTE23:NTE24 ODA23:ODA24 OMW23:OMW24 OWS23:OWS24 PGO23:PGO24 PQK23:PQK24 QAG23:QAG24 QKC23:QKC24 QTY23:QTY24 RDU23:RDU24 RNQ23:RNQ24 RXM23:RXM24 SHI23:SHI24 SRE23:SRE24 TBA23:TBA24 TKW23:TKW24 TUS23:TUS24 UEO23:UEO24 UOK23:UOK24 UYG23:UYG24 VIC23:VIC24 VRY23:VRY24 WBU23:WBU24 WLQ23:WLQ24 WVM23:WVM24 E65559:E65560 JA65559:JA65560 SW65559:SW65560 ACS65559:ACS65560 AMO65559:AMO65560 AWK65559:AWK65560 BGG65559:BGG65560 BQC65559:BQC65560 BZY65559:BZY65560 CJU65559:CJU65560 CTQ65559:CTQ65560 DDM65559:DDM65560 DNI65559:DNI65560 DXE65559:DXE65560 EHA65559:EHA65560 EQW65559:EQW65560 FAS65559:FAS65560 FKO65559:FKO65560 FUK65559:FUK65560 GEG65559:GEG65560 GOC65559:GOC65560 GXY65559:GXY65560 HHU65559:HHU65560 HRQ65559:HRQ65560 IBM65559:IBM65560 ILI65559:ILI65560 IVE65559:IVE65560 JFA65559:JFA65560 JOW65559:JOW65560 JYS65559:JYS65560 KIO65559:KIO65560 KSK65559:KSK65560 LCG65559:LCG65560 LMC65559:LMC65560 LVY65559:LVY65560 MFU65559:MFU65560 MPQ65559:MPQ65560 MZM65559:MZM65560 NJI65559:NJI65560 NTE65559:NTE65560 ODA65559:ODA65560 OMW65559:OMW65560 OWS65559:OWS65560 PGO65559:PGO65560 PQK65559:PQK65560 QAG65559:QAG65560 QKC65559:QKC65560 QTY65559:QTY65560 RDU65559:RDU65560 RNQ65559:RNQ65560 RXM65559:RXM65560 SHI65559:SHI65560 SRE65559:SRE65560 TBA65559:TBA65560 TKW65559:TKW65560 TUS65559:TUS65560 UEO65559:UEO65560 UOK65559:UOK65560 UYG65559:UYG65560 VIC65559:VIC65560 VRY65559:VRY65560 WBU65559:WBU65560 WLQ65559:WLQ65560 WVM65559:WVM65560 E131095:E131096 JA131095:JA131096 SW131095:SW131096 ACS131095:ACS131096 AMO131095:AMO131096 AWK131095:AWK131096 BGG131095:BGG131096 BQC131095:BQC131096 BZY131095:BZY131096 CJU131095:CJU131096 CTQ131095:CTQ131096 DDM131095:DDM131096 DNI131095:DNI131096 DXE131095:DXE131096 EHA131095:EHA131096 EQW131095:EQW131096 FAS131095:FAS131096 FKO131095:FKO131096 FUK131095:FUK131096 GEG131095:GEG131096 GOC131095:GOC131096 GXY131095:GXY131096 HHU131095:HHU131096 HRQ131095:HRQ131096 IBM131095:IBM131096 ILI131095:ILI131096 IVE131095:IVE131096 JFA131095:JFA131096 JOW131095:JOW131096 JYS131095:JYS131096 KIO131095:KIO131096 KSK131095:KSK131096 LCG131095:LCG131096 LMC131095:LMC131096 LVY131095:LVY131096 MFU131095:MFU131096 MPQ131095:MPQ131096 MZM131095:MZM131096 NJI131095:NJI131096 NTE131095:NTE131096 ODA131095:ODA131096 OMW131095:OMW131096 OWS131095:OWS131096 PGO131095:PGO131096 PQK131095:PQK131096 QAG131095:QAG131096 QKC131095:QKC131096 QTY131095:QTY131096 RDU131095:RDU131096 RNQ131095:RNQ131096 RXM131095:RXM131096 SHI131095:SHI131096 SRE131095:SRE131096 TBA131095:TBA131096 TKW131095:TKW131096 TUS131095:TUS131096 UEO131095:UEO131096 UOK131095:UOK131096 UYG131095:UYG131096 VIC131095:VIC131096 VRY131095:VRY131096 WBU131095:WBU131096 WLQ131095:WLQ131096 WVM131095:WVM131096 E196631:E196632 JA196631:JA196632 SW196631:SW196632 ACS196631:ACS196632 AMO196631:AMO196632 AWK196631:AWK196632 BGG196631:BGG196632 BQC196631:BQC196632 BZY196631:BZY196632 CJU196631:CJU196632 CTQ196631:CTQ196632 DDM196631:DDM196632 DNI196631:DNI196632 DXE196631:DXE196632 EHA196631:EHA196632 EQW196631:EQW196632 FAS196631:FAS196632 FKO196631:FKO196632 FUK196631:FUK196632 GEG196631:GEG196632 GOC196631:GOC196632 GXY196631:GXY196632 HHU196631:HHU196632 HRQ196631:HRQ196632 IBM196631:IBM196632 ILI196631:ILI196632 IVE196631:IVE196632 JFA196631:JFA196632 JOW196631:JOW196632 JYS196631:JYS196632 KIO196631:KIO196632 KSK196631:KSK196632 LCG196631:LCG196632 LMC196631:LMC196632 LVY196631:LVY196632 MFU196631:MFU196632 MPQ196631:MPQ196632 MZM196631:MZM196632 NJI196631:NJI196632 NTE196631:NTE196632 ODA196631:ODA196632 OMW196631:OMW196632 OWS196631:OWS196632 PGO196631:PGO196632 PQK196631:PQK196632 QAG196631:QAG196632 QKC196631:QKC196632 QTY196631:QTY196632 RDU196631:RDU196632 RNQ196631:RNQ196632 RXM196631:RXM196632 SHI196631:SHI196632 SRE196631:SRE196632 TBA196631:TBA196632 TKW196631:TKW196632 TUS196631:TUS196632 UEO196631:UEO196632 UOK196631:UOK196632 UYG196631:UYG196632 VIC196631:VIC196632 VRY196631:VRY196632 WBU196631:WBU196632 WLQ196631:WLQ196632 WVM196631:WVM196632 E262167:E262168 JA262167:JA262168 SW262167:SW262168 ACS262167:ACS262168 AMO262167:AMO262168 AWK262167:AWK262168 BGG262167:BGG262168 BQC262167:BQC262168 BZY262167:BZY262168 CJU262167:CJU262168 CTQ262167:CTQ262168 DDM262167:DDM262168 DNI262167:DNI262168 DXE262167:DXE262168 EHA262167:EHA262168 EQW262167:EQW262168 FAS262167:FAS262168 FKO262167:FKO262168 FUK262167:FUK262168 GEG262167:GEG262168 GOC262167:GOC262168 GXY262167:GXY262168 HHU262167:HHU262168 HRQ262167:HRQ262168 IBM262167:IBM262168 ILI262167:ILI262168 IVE262167:IVE262168 JFA262167:JFA262168 JOW262167:JOW262168 JYS262167:JYS262168 KIO262167:KIO262168 KSK262167:KSK262168 LCG262167:LCG262168 LMC262167:LMC262168 LVY262167:LVY262168 MFU262167:MFU262168 MPQ262167:MPQ262168 MZM262167:MZM262168 NJI262167:NJI262168 NTE262167:NTE262168 ODA262167:ODA262168 OMW262167:OMW262168 OWS262167:OWS262168 PGO262167:PGO262168 PQK262167:PQK262168 QAG262167:QAG262168 QKC262167:QKC262168 QTY262167:QTY262168 RDU262167:RDU262168 RNQ262167:RNQ262168 RXM262167:RXM262168 SHI262167:SHI262168 SRE262167:SRE262168 TBA262167:TBA262168 TKW262167:TKW262168 TUS262167:TUS262168 UEO262167:UEO262168 UOK262167:UOK262168 UYG262167:UYG262168 VIC262167:VIC262168 VRY262167:VRY262168 WBU262167:WBU262168 WLQ262167:WLQ262168 WVM262167:WVM262168 E327703:E327704 JA327703:JA327704 SW327703:SW327704 ACS327703:ACS327704 AMO327703:AMO327704 AWK327703:AWK327704 BGG327703:BGG327704 BQC327703:BQC327704 BZY327703:BZY327704 CJU327703:CJU327704 CTQ327703:CTQ327704 DDM327703:DDM327704 DNI327703:DNI327704 DXE327703:DXE327704 EHA327703:EHA327704 EQW327703:EQW327704 FAS327703:FAS327704 FKO327703:FKO327704 FUK327703:FUK327704 GEG327703:GEG327704 GOC327703:GOC327704 GXY327703:GXY327704 HHU327703:HHU327704 HRQ327703:HRQ327704 IBM327703:IBM327704 ILI327703:ILI327704 IVE327703:IVE327704 JFA327703:JFA327704 JOW327703:JOW327704 JYS327703:JYS327704 KIO327703:KIO327704 KSK327703:KSK327704 LCG327703:LCG327704 LMC327703:LMC327704 LVY327703:LVY327704 MFU327703:MFU327704 MPQ327703:MPQ327704 MZM327703:MZM327704 NJI327703:NJI327704 NTE327703:NTE327704 ODA327703:ODA327704 OMW327703:OMW327704 OWS327703:OWS327704 PGO327703:PGO327704 PQK327703:PQK327704 QAG327703:QAG327704 QKC327703:QKC327704 QTY327703:QTY327704 RDU327703:RDU327704 RNQ327703:RNQ327704 RXM327703:RXM327704 SHI327703:SHI327704 SRE327703:SRE327704 TBA327703:TBA327704 TKW327703:TKW327704 TUS327703:TUS327704 UEO327703:UEO327704 UOK327703:UOK327704 UYG327703:UYG327704 VIC327703:VIC327704 VRY327703:VRY327704 WBU327703:WBU327704 WLQ327703:WLQ327704 WVM327703:WVM327704 E393239:E393240 JA393239:JA393240 SW393239:SW393240 ACS393239:ACS393240 AMO393239:AMO393240 AWK393239:AWK393240 BGG393239:BGG393240 BQC393239:BQC393240 BZY393239:BZY393240 CJU393239:CJU393240 CTQ393239:CTQ393240 DDM393239:DDM393240 DNI393239:DNI393240 DXE393239:DXE393240 EHA393239:EHA393240 EQW393239:EQW393240 FAS393239:FAS393240 FKO393239:FKO393240 FUK393239:FUK393240 GEG393239:GEG393240 GOC393239:GOC393240 GXY393239:GXY393240 HHU393239:HHU393240 HRQ393239:HRQ393240 IBM393239:IBM393240 ILI393239:ILI393240 IVE393239:IVE393240 JFA393239:JFA393240 JOW393239:JOW393240 JYS393239:JYS393240 KIO393239:KIO393240 KSK393239:KSK393240 LCG393239:LCG393240 LMC393239:LMC393240 LVY393239:LVY393240 MFU393239:MFU393240 MPQ393239:MPQ393240 MZM393239:MZM393240 NJI393239:NJI393240 NTE393239:NTE393240 ODA393239:ODA393240 OMW393239:OMW393240 OWS393239:OWS393240 PGO393239:PGO393240 PQK393239:PQK393240 QAG393239:QAG393240 QKC393239:QKC393240 QTY393239:QTY393240 RDU393239:RDU393240 RNQ393239:RNQ393240 RXM393239:RXM393240 SHI393239:SHI393240 SRE393239:SRE393240 TBA393239:TBA393240 TKW393239:TKW393240 TUS393239:TUS393240 UEO393239:UEO393240 UOK393239:UOK393240 UYG393239:UYG393240 VIC393239:VIC393240 VRY393239:VRY393240 WBU393239:WBU393240 WLQ393239:WLQ393240 WVM393239:WVM393240 E458775:E458776 JA458775:JA458776 SW458775:SW458776 ACS458775:ACS458776 AMO458775:AMO458776 AWK458775:AWK458776 BGG458775:BGG458776 BQC458775:BQC458776 BZY458775:BZY458776 CJU458775:CJU458776 CTQ458775:CTQ458776 DDM458775:DDM458776 DNI458775:DNI458776 DXE458775:DXE458776 EHA458775:EHA458776 EQW458775:EQW458776 FAS458775:FAS458776 FKO458775:FKO458776 FUK458775:FUK458776 GEG458775:GEG458776 GOC458775:GOC458776 GXY458775:GXY458776 HHU458775:HHU458776 HRQ458775:HRQ458776 IBM458775:IBM458776 ILI458775:ILI458776 IVE458775:IVE458776 JFA458775:JFA458776 JOW458775:JOW458776 JYS458775:JYS458776 KIO458775:KIO458776 KSK458775:KSK458776 LCG458775:LCG458776 LMC458775:LMC458776 LVY458775:LVY458776 MFU458775:MFU458776 MPQ458775:MPQ458776 MZM458775:MZM458776 NJI458775:NJI458776 NTE458775:NTE458776 ODA458775:ODA458776 OMW458775:OMW458776 OWS458775:OWS458776 PGO458775:PGO458776 PQK458775:PQK458776 QAG458775:QAG458776 QKC458775:QKC458776 QTY458775:QTY458776 RDU458775:RDU458776 RNQ458775:RNQ458776 RXM458775:RXM458776 SHI458775:SHI458776 SRE458775:SRE458776 TBA458775:TBA458776 TKW458775:TKW458776 TUS458775:TUS458776 UEO458775:UEO458776 UOK458775:UOK458776 UYG458775:UYG458776 VIC458775:VIC458776 VRY458775:VRY458776 WBU458775:WBU458776 WLQ458775:WLQ458776 WVM458775:WVM458776 E524311:E524312 JA524311:JA524312 SW524311:SW524312 ACS524311:ACS524312 AMO524311:AMO524312 AWK524311:AWK524312 BGG524311:BGG524312 BQC524311:BQC524312 BZY524311:BZY524312 CJU524311:CJU524312 CTQ524311:CTQ524312 DDM524311:DDM524312 DNI524311:DNI524312 DXE524311:DXE524312 EHA524311:EHA524312 EQW524311:EQW524312 FAS524311:FAS524312 FKO524311:FKO524312 FUK524311:FUK524312 GEG524311:GEG524312 GOC524311:GOC524312 GXY524311:GXY524312 HHU524311:HHU524312 HRQ524311:HRQ524312 IBM524311:IBM524312 ILI524311:ILI524312 IVE524311:IVE524312 JFA524311:JFA524312 JOW524311:JOW524312 JYS524311:JYS524312 KIO524311:KIO524312 KSK524311:KSK524312 LCG524311:LCG524312 LMC524311:LMC524312 LVY524311:LVY524312 MFU524311:MFU524312 MPQ524311:MPQ524312 MZM524311:MZM524312 NJI524311:NJI524312 NTE524311:NTE524312 ODA524311:ODA524312 OMW524311:OMW524312 OWS524311:OWS524312 PGO524311:PGO524312 PQK524311:PQK524312 QAG524311:QAG524312 QKC524311:QKC524312 QTY524311:QTY524312 RDU524311:RDU524312 RNQ524311:RNQ524312 RXM524311:RXM524312 SHI524311:SHI524312 SRE524311:SRE524312 TBA524311:TBA524312 TKW524311:TKW524312 TUS524311:TUS524312 UEO524311:UEO524312 UOK524311:UOK524312 UYG524311:UYG524312 VIC524311:VIC524312 VRY524311:VRY524312 WBU524311:WBU524312 WLQ524311:WLQ524312 WVM524311:WVM524312 E589847:E589848 JA589847:JA589848 SW589847:SW589848 ACS589847:ACS589848 AMO589847:AMO589848 AWK589847:AWK589848 BGG589847:BGG589848 BQC589847:BQC589848 BZY589847:BZY589848 CJU589847:CJU589848 CTQ589847:CTQ589848 DDM589847:DDM589848 DNI589847:DNI589848 DXE589847:DXE589848 EHA589847:EHA589848 EQW589847:EQW589848 FAS589847:FAS589848 FKO589847:FKO589848 FUK589847:FUK589848 GEG589847:GEG589848 GOC589847:GOC589848 GXY589847:GXY589848 HHU589847:HHU589848 HRQ589847:HRQ589848 IBM589847:IBM589848 ILI589847:ILI589848 IVE589847:IVE589848 JFA589847:JFA589848 JOW589847:JOW589848 JYS589847:JYS589848 KIO589847:KIO589848 KSK589847:KSK589848 LCG589847:LCG589848 LMC589847:LMC589848 LVY589847:LVY589848 MFU589847:MFU589848 MPQ589847:MPQ589848 MZM589847:MZM589848 NJI589847:NJI589848 NTE589847:NTE589848 ODA589847:ODA589848 OMW589847:OMW589848 OWS589847:OWS589848 PGO589847:PGO589848 PQK589847:PQK589848 QAG589847:QAG589848 QKC589847:QKC589848 QTY589847:QTY589848 RDU589847:RDU589848 RNQ589847:RNQ589848 RXM589847:RXM589848 SHI589847:SHI589848 SRE589847:SRE589848 TBA589847:TBA589848 TKW589847:TKW589848 TUS589847:TUS589848 UEO589847:UEO589848 UOK589847:UOK589848 UYG589847:UYG589848 VIC589847:VIC589848 VRY589847:VRY589848 WBU589847:WBU589848 WLQ589847:WLQ589848 WVM589847:WVM589848 E655383:E655384 JA655383:JA655384 SW655383:SW655384 ACS655383:ACS655384 AMO655383:AMO655384 AWK655383:AWK655384 BGG655383:BGG655384 BQC655383:BQC655384 BZY655383:BZY655384 CJU655383:CJU655384 CTQ655383:CTQ655384 DDM655383:DDM655384 DNI655383:DNI655384 DXE655383:DXE655384 EHA655383:EHA655384 EQW655383:EQW655384 FAS655383:FAS655384 FKO655383:FKO655384 FUK655383:FUK655384 GEG655383:GEG655384 GOC655383:GOC655384 GXY655383:GXY655384 HHU655383:HHU655384 HRQ655383:HRQ655384 IBM655383:IBM655384 ILI655383:ILI655384 IVE655383:IVE655384 JFA655383:JFA655384 JOW655383:JOW655384 JYS655383:JYS655384 KIO655383:KIO655384 KSK655383:KSK655384 LCG655383:LCG655384 LMC655383:LMC655384 LVY655383:LVY655384 MFU655383:MFU655384 MPQ655383:MPQ655384 MZM655383:MZM655384 NJI655383:NJI655384 NTE655383:NTE655384 ODA655383:ODA655384 OMW655383:OMW655384 OWS655383:OWS655384 PGO655383:PGO655384 PQK655383:PQK655384 QAG655383:QAG655384 QKC655383:QKC655384 QTY655383:QTY655384 RDU655383:RDU655384 RNQ655383:RNQ655384 RXM655383:RXM655384 SHI655383:SHI655384 SRE655383:SRE655384 TBA655383:TBA655384 TKW655383:TKW655384 TUS655383:TUS655384 UEO655383:UEO655384 UOK655383:UOK655384 UYG655383:UYG655384 VIC655383:VIC655384 VRY655383:VRY655384 WBU655383:WBU655384 WLQ655383:WLQ655384 WVM655383:WVM655384 E720919:E720920 JA720919:JA720920 SW720919:SW720920 ACS720919:ACS720920 AMO720919:AMO720920 AWK720919:AWK720920 BGG720919:BGG720920 BQC720919:BQC720920 BZY720919:BZY720920 CJU720919:CJU720920 CTQ720919:CTQ720920 DDM720919:DDM720920 DNI720919:DNI720920 DXE720919:DXE720920 EHA720919:EHA720920 EQW720919:EQW720920 FAS720919:FAS720920 FKO720919:FKO720920 FUK720919:FUK720920 GEG720919:GEG720920 GOC720919:GOC720920 GXY720919:GXY720920 HHU720919:HHU720920 HRQ720919:HRQ720920 IBM720919:IBM720920 ILI720919:ILI720920 IVE720919:IVE720920 JFA720919:JFA720920 JOW720919:JOW720920 JYS720919:JYS720920 KIO720919:KIO720920 KSK720919:KSK720920 LCG720919:LCG720920 LMC720919:LMC720920 LVY720919:LVY720920 MFU720919:MFU720920 MPQ720919:MPQ720920 MZM720919:MZM720920 NJI720919:NJI720920 NTE720919:NTE720920 ODA720919:ODA720920 OMW720919:OMW720920 OWS720919:OWS720920 PGO720919:PGO720920 PQK720919:PQK720920 QAG720919:QAG720920 QKC720919:QKC720920 QTY720919:QTY720920 RDU720919:RDU720920 RNQ720919:RNQ720920 RXM720919:RXM720920 SHI720919:SHI720920 SRE720919:SRE720920 TBA720919:TBA720920 TKW720919:TKW720920 TUS720919:TUS720920 UEO720919:UEO720920 UOK720919:UOK720920 UYG720919:UYG720920 VIC720919:VIC720920 VRY720919:VRY720920 WBU720919:WBU720920 WLQ720919:WLQ720920 WVM720919:WVM720920 E786455:E786456 JA786455:JA786456 SW786455:SW786456 ACS786455:ACS786456 AMO786455:AMO786456 AWK786455:AWK786456 BGG786455:BGG786456 BQC786455:BQC786456 BZY786455:BZY786456 CJU786455:CJU786456 CTQ786455:CTQ786456 DDM786455:DDM786456 DNI786455:DNI786456 DXE786455:DXE786456 EHA786455:EHA786456 EQW786455:EQW786456 FAS786455:FAS786456 FKO786455:FKO786456 FUK786455:FUK786456 GEG786455:GEG786456 GOC786455:GOC786456 GXY786455:GXY786456 HHU786455:HHU786456 HRQ786455:HRQ786456 IBM786455:IBM786456 ILI786455:ILI786456 IVE786455:IVE786456 JFA786455:JFA786456 JOW786455:JOW786456 JYS786455:JYS786456 KIO786455:KIO786456 KSK786455:KSK786456 LCG786455:LCG786456 LMC786455:LMC786456 LVY786455:LVY786456 MFU786455:MFU786456 MPQ786455:MPQ786456 MZM786455:MZM786456 NJI786455:NJI786456 NTE786455:NTE786456 ODA786455:ODA786456 OMW786455:OMW786456 OWS786455:OWS786456 PGO786455:PGO786456 PQK786455:PQK786456 QAG786455:QAG786456 QKC786455:QKC786456 QTY786455:QTY786456 RDU786455:RDU786456 RNQ786455:RNQ786456 RXM786455:RXM786456 SHI786455:SHI786456 SRE786455:SRE786456 TBA786455:TBA786456 TKW786455:TKW786456 TUS786455:TUS786456 UEO786455:UEO786456 UOK786455:UOK786456 UYG786455:UYG786456 VIC786455:VIC786456 VRY786455:VRY786456 WBU786455:WBU786456 WLQ786455:WLQ786456 WVM786455:WVM786456 E851991:E851992 JA851991:JA851992 SW851991:SW851992 ACS851991:ACS851992 AMO851991:AMO851992 AWK851991:AWK851992 BGG851991:BGG851992 BQC851991:BQC851992 BZY851991:BZY851992 CJU851991:CJU851992 CTQ851991:CTQ851992 DDM851991:DDM851992 DNI851991:DNI851992 DXE851991:DXE851992 EHA851991:EHA851992 EQW851991:EQW851992 FAS851991:FAS851992 FKO851991:FKO851992 FUK851991:FUK851992 GEG851991:GEG851992 GOC851991:GOC851992 GXY851991:GXY851992 HHU851991:HHU851992 HRQ851991:HRQ851992 IBM851991:IBM851992 ILI851991:ILI851992 IVE851991:IVE851992 JFA851991:JFA851992 JOW851991:JOW851992 JYS851991:JYS851992 KIO851991:KIO851992 KSK851991:KSK851992 LCG851991:LCG851992 LMC851991:LMC851992 LVY851991:LVY851992 MFU851991:MFU851992 MPQ851991:MPQ851992 MZM851991:MZM851992 NJI851991:NJI851992 NTE851991:NTE851992 ODA851991:ODA851992 OMW851991:OMW851992 OWS851991:OWS851992 PGO851991:PGO851992 PQK851991:PQK851992 QAG851991:QAG851992 QKC851991:QKC851992 QTY851991:QTY851992 RDU851991:RDU851992 RNQ851991:RNQ851992 RXM851991:RXM851992 SHI851991:SHI851992 SRE851991:SRE851992 TBA851991:TBA851992 TKW851991:TKW851992 TUS851991:TUS851992 UEO851991:UEO851992 UOK851991:UOK851992 UYG851991:UYG851992 VIC851991:VIC851992 VRY851991:VRY851992 WBU851991:WBU851992 WLQ851991:WLQ851992 WVM851991:WVM851992 E917527:E917528 JA917527:JA917528 SW917527:SW917528 ACS917527:ACS917528 AMO917527:AMO917528 AWK917527:AWK917528 BGG917527:BGG917528 BQC917527:BQC917528 BZY917527:BZY917528 CJU917527:CJU917528 CTQ917527:CTQ917528 DDM917527:DDM917528 DNI917527:DNI917528 DXE917527:DXE917528 EHA917527:EHA917528 EQW917527:EQW917528 FAS917527:FAS917528 FKO917527:FKO917528 FUK917527:FUK917528 GEG917527:GEG917528 GOC917527:GOC917528 GXY917527:GXY917528 HHU917527:HHU917528 HRQ917527:HRQ917528 IBM917527:IBM917528 ILI917527:ILI917528 IVE917527:IVE917528 JFA917527:JFA917528 JOW917527:JOW917528 JYS917527:JYS917528 KIO917527:KIO917528 KSK917527:KSK917528 LCG917527:LCG917528 LMC917527:LMC917528 LVY917527:LVY917528 MFU917527:MFU917528 MPQ917527:MPQ917528 MZM917527:MZM917528 NJI917527:NJI917528 NTE917527:NTE917528 ODA917527:ODA917528 OMW917527:OMW917528 OWS917527:OWS917528 PGO917527:PGO917528 PQK917527:PQK917528 QAG917527:QAG917528 QKC917527:QKC917528 QTY917527:QTY917528 RDU917527:RDU917528 RNQ917527:RNQ917528 RXM917527:RXM917528 SHI917527:SHI917528 SRE917527:SRE917528 TBA917527:TBA917528 TKW917527:TKW917528 TUS917527:TUS917528 UEO917527:UEO917528 UOK917527:UOK917528 UYG917527:UYG917528 VIC917527:VIC917528 VRY917527:VRY917528 WBU917527:WBU917528 WLQ917527:WLQ917528 WVM917527:WVM917528 E983063:E983064 JA983063:JA983064 SW983063:SW983064 ACS983063:ACS983064 AMO983063:AMO983064 AWK983063:AWK983064 BGG983063:BGG983064 BQC983063:BQC983064 BZY983063:BZY983064 CJU983063:CJU983064 CTQ983063:CTQ983064 DDM983063:DDM983064 DNI983063:DNI983064 DXE983063:DXE983064 EHA983063:EHA983064 EQW983063:EQW983064 FAS983063:FAS983064 FKO983063:FKO983064 FUK983063:FUK983064 GEG983063:GEG983064 GOC983063:GOC983064 GXY983063:GXY983064 HHU983063:HHU983064 HRQ983063:HRQ983064 IBM983063:IBM983064 ILI983063:ILI983064 IVE983063:IVE983064 JFA983063:JFA983064 JOW983063:JOW983064 JYS983063:JYS983064 KIO983063:KIO983064 KSK983063:KSK983064 LCG983063:LCG983064 LMC983063:LMC983064 LVY983063:LVY983064 MFU983063:MFU983064 MPQ983063:MPQ983064 MZM983063:MZM983064 NJI983063:NJI983064 NTE983063:NTE983064 ODA983063:ODA983064 OMW983063:OMW983064 OWS983063:OWS983064 PGO983063:PGO983064 PQK983063:PQK983064 QAG983063:QAG983064 QKC983063:QKC983064 QTY983063:QTY983064 RDU983063:RDU983064 RNQ983063:RNQ983064 RXM983063:RXM983064 SHI983063:SHI983064 SRE983063:SRE983064 TBA983063:TBA983064 TKW983063:TKW983064 TUS983063:TUS983064 UEO983063:UEO983064 UOK983063:UOK983064 UYG983063:UYG983064 VIC983063:VIC983064 VRY983063:VRY983064 WBU983063:WBU983064 WLQ983063:WLQ983064 WVM983063:WVM983064 E14:E21 JA14:JA21 SW14:SW21 ACS14:ACS21 AMO14:AMO21 AWK14:AWK21 BGG14:BGG21 BQC14:BQC21 BZY14:BZY21 CJU14:CJU21 CTQ14:CTQ21 DDM14:DDM21 DNI14:DNI21 DXE14:DXE21 EHA14:EHA21 EQW14:EQW21 FAS14:FAS21 FKO14:FKO21 FUK14:FUK21 GEG14:GEG21 GOC14:GOC21 GXY14:GXY21 HHU14:HHU21 HRQ14:HRQ21 IBM14:IBM21 ILI14:ILI21 IVE14:IVE21 JFA14:JFA21 JOW14:JOW21 JYS14:JYS21 KIO14:KIO21 KSK14:KSK21 LCG14:LCG21 LMC14:LMC21 LVY14:LVY21 MFU14:MFU21 MPQ14:MPQ21 MZM14:MZM21 NJI14:NJI21 NTE14:NTE21 ODA14:ODA21 OMW14:OMW21 OWS14:OWS21 PGO14:PGO21 PQK14:PQK21 QAG14:QAG21 QKC14:QKC21 QTY14:QTY21 RDU14:RDU21 RNQ14:RNQ21 RXM14:RXM21 SHI14:SHI21 SRE14:SRE21 TBA14:TBA21 TKW14:TKW21 TUS14:TUS21 UEO14:UEO21 UOK14:UOK21 UYG14:UYG21 VIC14:VIC21 VRY14:VRY21 WBU14:WBU21 WLQ14:WLQ21 WVM14:WVM21 E65550:E65557 JA65550:JA65557 SW65550:SW65557 ACS65550:ACS65557 AMO65550:AMO65557 AWK65550:AWK65557 BGG65550:BGG65557 BQC65550:BQC65557 BZY65550:BZY65557 CJU65550:CJU65557 CTQ65550:CTQ65557 DDM65550:DDM65557 DNI65550:DNI65557 DXE65550:DXE65557 EHA65550:EHA65557 EQW65550:EQW65557 FAS65550:FAS65557 FKO65550:FKO65557 FUK65550:FUK65557 GEG65550:GEG65557 GOC65550:GOC65557 GXY65550:GXY65557 HHU65550:HHU65557 HRQ65550:HRQ65557 IBM65550:IBM65557 ILI65550:ILI65557 IVE65550:IVE65557 JFA65550:JFA65557 JOW65550:JOW65557 JYS65550:JYS65557 KIO65550:KIO65557 KSK65550:KSK65557 LCG65550:LCG65557 LMC65550:LMC65557 LVY65550:LVY65557 MFU65550:MFU65557 MPQ65550:MPQ65557 MZM65550:MZM65557 NJI65550:NJI65557 NTE65550:NTE65557 ODA65550:ODA65557 OMW65550:OMW65557 OWS65550:OWS65557 PGO65550:PGO65557 PQK65550:PQK65557 QAG65550:QAG65557 QKC65550:QKC65557 QTY65550:QTY65557 RDU65550:RDU65557 RNQ65550:RNQ65557 RXM65550:RXM65557 SHI65550:SHI65557 SRE65550:SRE65557 TBA65550:TBA65557 TKW65550:TKW65557 TUS65550:TUS65557 UEO65550:UEO65557 UOK65550:UOK65557 UYG65550:UYG65557 VIC65550:VIC65557 VRY65550:VRY65557 WBU65550:WBU65557 WLQ65550:WLQ65557 WVM65550:WVM65557 E131086:E131093 JA131086:JA131093 SW131086:SW131093 ACS131086:ACS131093 AMO131086:AMO131093 AWK131086:AWK131093 BGG131086:BGG131093 BQC131086:BQC131093 BZY131086:BZY131093 CJU131086:CJU131093 CTQ131086:CTQ131093 DDM131086:DDM131093 DNI131086:DNI131093 DXE131086:DXE131093 EHA131086:EHA131093 EQW131086:EQW131093 FAS131086:FAS131093 FKO131086:FKO131093 FUK131086:FUK131093 GEG131086:GEG131093 GOC131086:GOC131093 GXY131086:GXY131093 HHU131086:HHU131093 HRQ131086:HRQ131093 IBM131086:IBM131093 ILI131086:ILI131093 IVE131086:IVE131093 JFA131086:JFA131093 JOW131086:JOW131093 JYS131086:JYS131093 KIO131086:KIO131093 KSK131086:KSK131093 LCG131086:LCG131093 LMC131086:LMC131093 LVY131086:LVY131093 MFU131086:MFU131093 MPQ131086:MPQ131093 MZM131086:MZM131093 NJI131086:NJI131093 NTE131086:NTE131093 ODA131086:ODA131093 OMW131086:OMW131093 OWS131086:OWS131093 PGO131086:PGO131093 PQK131086:PQK131093 QAG131086:QAG131093 QKC131086:QKC131093 QTY131086:QTY131093 RDU131086:RDU131093 RNQ131086:RNQ131093 RXM131086:RXM131093 SHI131086:SHI131093 SRE131086:SRE131093 TBA131086:TBA131093 TKW131086:TKW131093 TUS131086:TUS131093 UEO131086:UEO131093 UOK131086:UOK131093 UYG131086:UYG131093 VIC131086:VIC131093 VRY131086:VRY131093 WBU131086:WBU131093 WLQ131086:WLQ131093 WVM131086:WVM131093 E196622:E196629 JA196622:JA196629 SW196622:SW196629 ACS196622:ACS196629 AMO196622:AMO196629 AWK196622:AWK196629 BGG196622:BGG196629 BQC196622:BQC196629 BZY196622:BZY196629 CJU196622:CJU196629 CTQ196622:CTQ196629 DDM196622:DDM196629 DNI196622:DNI196629 DXE196622:DXE196629 EHA196622:EHA196629 EQW196622:EQW196629 FAS196622:FAS196629 FKO196622:FKO196629 FUK196622:FUK196629 GEG196622:GEG196629 GOC196622:GOC196629 GXY196622:GXY196629 HHU196622:HHU196629 HRQ196622:HRQ196629 IBM196622:IBM196629 ILI196622:ILI196629 IVE196622:IVE196629 JFA196622:JFA196629 JOW196622:JOW196629 JYS196622:JYS196629 KIO196622:KIO196629 KSK196622:KSK196629 LCG196622:LCG196629 LMC196622:LMC196629 LVY196622:LVY196629 MFU196622:MFU196629 MPQ196622:MPQ196629 MZM196622:MZM196629 NJI196622:NJI196629 NTE196622:NTE196629 ODA196622:ODA196629 OMW196622:OMW196629 OWS196622:OWS196629 PGO196622:PGO196629 PQK196622:PQK196629 QAG196622:QAG196629 QKC196622:QKC196629 QTY196622:QTY196629 RDU196622:RDU196629 RNQ196622:RNQ196629 RXM196622:RXM196629 SHI196622:SHI196629 SRE196622:SRE196629 TBA196622:TBA196629 TKW196622:TKW196629 TUS196622:TUS196629 UEO196622:UEO196629 UOK196622:UOK196629 UYG196622:UYG196629 VIC196622:VIC196629 VRY196622:VRY196629 WBU196622:WBU196629 WLQ196622:WLQ196629 WVM196622:WVM196629 E262158:E262165 JA262158:JA262165 SW262158:SW262165 ACS262158:ACS262165 AMO262158:AMO262165 AWK262158:AWK262165 BGG262158:BGG262165 BQC262158:BQC262165 BZY262158:BZY262165 CJU262158:CJU262165 CTQ262158:CTQ262165 DDM262158:DDM262165 DNI262158:DNI262165 DXE262158:DXE262165 EHA262158:EHA262165 EQW262158:EQW262165 FAS262158:FAS262165 FKO262158:FKO262165 FUK262158:FUK262165 GEG262158:GEG262165 GOC262158:GOC262165 GXY262158:GXY262165 HHU262158:HHU262165 HRQ262158:HRQ262165 IBM262158:IBM262165 ILI262158:ILI262165 IVE262158:IVE262165 JFA262158:JFA262165 JOW262158:JOW262165 JYS262158:JYS262165 KIO262158:KIO262165 KSK262158:KSK262165 LCG262158:LCG262165 LMC262158:LMC262165 LVY262158:LVY262165 MFU262158:MFU262165 MPQ262158:MPQ262165 MZM262158:MZM262165 NJI262158:NJI262165 NTE262158:NTE262165 ODA262158:ODA262165 OMW262158:OMW262165 OWS262158:OWS262165 PGO262158:PGO262165 PQK262158:PQK262165 QAG262158:QAG262165 QKC262158:QKC262165 QTY262158:QTY262165 RDU262158:RDU262165 RNQ262158:RNQ262165 RXM262158:RXM262165 SHI262158:SHI262165 SRE262158:SRE262165 TBA262158:TBA262165 TKW262158:TKW262165 TUS262158:TUS262165 UEO262158:UEO262165 UOK262158:UOK262165 UYG262158:UYG262165 VIC262158:VIC262165 VRY262158:VRY262165 WBU262158:WBU262165 WLQ262158:WLQ262165 WVM262158:WVM262165 E327694:E327701 JA327694:JA327701 SW327694:SW327701 ACS327694:ACS327701 AMO327694:AMO327701 AWK327694:AWK327701 BGG327694:BGG327701 BQC327694:BQC327701 BZY327694:BZY327701 CJU327694:CJU327701 CTQ327694:CTQ327701 DDM327694:DDM327701 DNI327694:DNI327701 DXE327694:DXE327701 EHA327694:EHA327701 EQW327694:EQW327701 FAS327694:FAS327701 FKO327694:FKO327701 FUK327694:FUK327701 GEG327694:GEG327701 GOC327694:GOC327701 GXY327694:GXY327701 HHU327694:HHU327701 HRQ327694:HRQ327701 IBM327694:IBM327701 ILI327694:ILI327701 IVE327694:IVE327701 JFA327694:JFA327701 JOW327694:JOW327701 JYS327694:JYS327701 KIO327694:KIO327701 KSK327694:KSK327701 LCG327694:LCG327701 LMC327694:LMC327701 LVY327694:LVY327701 MFU327694:MFU327701 MPQ327694:MPQ327701 MZM327694:MZM327701 NJI327694:NJI327701 NTE327694:NTE327701 ODA327694:ODA327701 OMW327694:OMW327701 OWS327694:OWS327701 PGO327694:PGO327701 PQK327694:PQK327701 QAG327694:QAG327701 QKC327694:QKC327701 QTY327694:QTY327701 RDU327694:RDU327701 RNQ327694:RNQ327701 RXM327694:RXM327701 SHI327694:SHI327701 SRE327694:SRE327701 TBA327694:TBA327701 TKW327694:TKW327701 TUS327694:TUS327701 UEO327694:UEO327701 UOK327694:UOK327701 UYG327694:UYG327701 VIC327694:VIC327701 VRY327694:VRY327701 WBU327694:WBU327701 WLQ327694:WLQ327701 WVM327694:WVM327701 E393230:E393237 JA393230:JA393237 SW393230:SW393237 ACS393230:ACS393237 AMO393230:AMO393237 AWK393230:AWK393237 BGG393230:BGG393237 BQC393230:BQC393237 BZY393230:BZY393237 CJU393230:CJU393237 CTQ393230:CTQ393237 DDM393230:DDM393237 DNI393230:DNI393237 DXE393230:DXE393237 EHA393230:EHA393237 EQW393230:EQW393237 FAS393230:FAS393237 FKO393230:FKO393237 FUK393230:FUK393237 GEG393230:GEG393237 GOC393230:GOC393237 GXY393230:GXY393237 HHU393230:HHU393237 HRQ393230:HRQ393237 IBM393230:IBM393237 ILI393230:ILI393237 IVE393230:IVE393237 JFA393230:JFA393237 JOW393230:JOW393237 JYS393230:JYS393237 KIO393230:KIO393237 KSK393230:KSK393237 LCG393230:LCG393237 LMC393230:LMC393237 LVY393230:LVY393237 MFU393230:MFU393237 MPQ393230:MPQ393237 MZM393230:MZM393237 NJI393230:NJI393237 NTE393230:NTE393237 ODA393230:ODA393237 OMW393230:OMW393237 OWS393230:OWS393237 PGO393230:PGO393237 PQK393230:PQK393237 QAG393230:QAG393237 QKC393230:QKC393237 QTY393230:QTY393237 RDU393230:RDU393237 RNQ393230:RNQ393237 RXM393230:RXM393237 SHI393230:SHI393237 SRE393230:SRE393237 TBA393230:TBA393237 TKW393230:TKW393237 TUS393230:TUS393237 UEO393230:UEO393237 UOK393230:UOK393237 UYG393230:UYG393237 VIC393230:VIC393237 VRY393230:VRY393237 WBU393230:WBU393237 WLQ393230:WLQ393237 WVM393230:WVM393237 E458766:E458773 JA458766:JA458773 SW458766:SW458773 ACS458766:ACS458773 AMO458766:AMO458773 AWK458766:AWK458773 BGG458766:BGG458773 BQC458766:BQC458773 BZY458766:BZY458773 CJU458766:CJU458773 CTQ458766:CTQ458773 DDM458766:DDM458773 DNI458766:DNI458773 DXE458766:DXE458773 EHA458766:EHA458773 EQW458766:EQW458773 FAS458766:FAS458773 FKO458766:FKO458773 FUK458766:FUK458773 GEG458766:GEG458773 GOC458766:GOC458773 GXY458766:GXY458773 HHU458766:HHU458773 HRQ458766:HRQ458773 IBM458766:IBM458773 ILI458766:ILI458773 IVE458766:IVE458773 JFA458766:JFA458773 JOW458766:JOW458773 JYS458766:JYS458773 KIO458766:KIO458773 KSK458766:KSK458773 LCG458766:LCG458773 LMC458766:LMC458773 LVY458766:LVY458773 MFU458766:MFU458773 MPQ458766:MPQ458773 MZM458766:MZM458773 NJI458766:NJI458773 NTE458766:NTE458773 ODA458766:ODA458773 OMW458766:OMW458773 OWS458766:OWS458773 PGO458766:PGO458773 PQK458766:PQK458773 QAG458766:QAG458773 QKC458766:QKC458773 QTY458766:QTY458773 RDU458766:RDU458773 RNQ458766:RNQ458773 RXM458766:RXM458773 SHI458766:SHI458773 SRE458766:SRE458773 TBA458766:TBA458773 TKW458766:TKW458773 TUS458766:TUS458773 UEO458766:UEO458773 UOK458766:UOK458773 UYG458766:UYG458773 VIC458766:VIC458773 VRY458766:VRY458773 WBU458766:WBU458773 WLQ458766:WLQ458773 WVM458766:WVM458773 E524302:E524309 JA524302:JA524309 SW524302:SW524309 ACS524302:ACS524309 AMO524302:AMO524309 AWK524302:AWK524309 BGG524302:BGG524309 BQC524302:BQC524309 BZY524302:BZY524309 CJU524302:CJU524309 CTQ524302:CTQ524309 DDM524302:DDM524309 DNI524302:DNI524309 DXE524302:DXE524309 EHA524302:EHA524309 EQW524302:EQW524309 FAS524302:FAS524309 FKO524302:FKO524309 FUK524302:FUK524309 GEG524302:GEG524309 GOC524302:GOC524309 GXY524302:GXY524309 HHU524302:HHU524309 HRQ524302:HRQ524309 IBM524302:IBM524309 ILI524302:ILI524309 IVE524302:IVE524309 JFA524302:JFA524309 JOW524302:JOW524309 JYS524302:JYS524309 KIO524302:KIO524309 KSK524302:KSK524309 LCG524302:LCG524309 LMC524302:LMC524309 LVY524302:LVY524309 MFU524302:MFU524309 MPQ524302:MPQ524309 MZM524302:MZM524309 NJI524302:NJI524309 NTE524302:NTE524309 ODA524302:ODA524309 OMW524302:OMW524309 OWS524302:OWS524309 PGO524302:PGO524309 PQK524302:PQK524309 QAG524302:QAG524309 QKC524302:QKC524309 QTY524302:QTY524309 RDU524302:RDU524309 RNQ524302:RNQ524309 RXM524302:RXM524309 SHI524302:SHI524309 SRE524302:SRE524309 TBA524302:TBA524309 TKW524302:TKW524309 TUS524302:TUS524309 UEO524302:UEO524309 UOK524302:UOK524309 UYG524302:UYG524309 VIC524302:VIC524309 VRY524302:VRY524309 WBU524302:WBU524309 WLQ524302:WLQ524309 WVM524302:WVM524309 E589838:E589845 JA589838:JA589845 SW589838:SW589845 ACS589838:ACS589845 AMO589838:AMO589845 AWK589838:AWK589845 BGG589838:BGG589845 BQC589838:BQC589845 BZY589838:BZY589845 CJU589838:CJU589845 CTQ589838:CTQ589845 DDM589838:DDM589845 DNI589838:DNI589845 DXE589838:DXE589845 EHA589838:EHA589845 EQW589838:EQW589845 FAS589838:FAS589845 FKO589838:FKO589845 FUK589838:FUK589845 GEG589838:GEG589845 GOC589838:GOC589845 GXY589838:GXY589845 HHU589838:HHU589845 HRQ589838:HRQ589845 IBM589838:IBM589845 ILI589838:ILI589845 IVE589838:IVE589845 JFA589838:JFA589845 JOW589838:JOW589845 JYS589838:JYS589845 KIO589838:KIO589845 KSK589838:KSK589845 LCG589838:LCG589845 LMC589838:LMC589845 LVY589838:LVY589845 MFU589838:MFU589845 MPQ589838:MPQ589845 MZM589838:MZM589845 NJI589838:NJI589845 NTE589838:NTE589845 ODA589838:ODA589845 OMW589838:OMW589845 OWS589838:OWS589845 PGO589838:PGO589845 PQK589838:PQK589845 QAG589838:QAG589845 QKC589838:QKC589845 QTY589838:QTY589845 RDU589838:RDU589845 RNQ589838:RNQ589845 RXM589838:RXM589845 SHI589838:SHI589845 SRE589838:SRE589845 TBA589838:TBA589845 TKW589838:TKW589845 TUS589838:TUS589845 UEO589838:UEO589845 UOK589838:UOK589845 UYG589838:UYG589845 VIC589838:VIC589845 VRY589838:VRY589845 WBU589838:WBU589845 WLQ589838:WLQ589845 WVM589838:WVM589845 E655374:E655381 JA655374:JA655381 SW655374:SW655381 ACS655374:ACS655381 AMO655374:AMO655381 AWK655374:AWK655381 BGG655374:BGG655381 BQC655374:BQC655381 BZY655374:BZY655381 CJU655374:CJU655381 CTQ655374:CTQ655381 DDM655374:DDM655381 DNI655374:DNI655381 DXE655374:DXE655381 EHA655374:EHA655381 EQW655374:EQW655381 FAS655374:FAS655381 FKO655374:FKO655381 FUK655374:FUK655381 GEG655374:GEG655381 GOC655374:GOC655381 GXY655374:GXY655381 HHU655374:HHU655381 HRQ655374:HRQ655381 IBM655374:IBM655381 ILI655374:ILI655381 IVE655374:IVE655381 JFA655374:JFA655381 JOW655374:JOW655381 JYS655374:JYS655381 KIO655374:KIO655381 KSK655374:KSK655381 LCG655374:LCG655381 LMC655374:LMC655381 LVY655374:LVY655381 MFU655374:MFU655381 MPQ655374:MPQ655381 MZM655374:MZM655381 NJI655374:NJI655381 NTE655374:NTE655381 ODA655374:ODA655381 OMW655374:OMW655381 OWS655374:OWS655381 PGO655374:PGO655381 PQK655374:PQK655381 QAG655374:QAG655381 QKC655374:QKC655381 QTY655374:QTY655381 RDU655374:RDU655381 RNQ655374:RNQ655381 RXM655374:RXM655381 SHI655374:SHI655381 SRE655374:SRE655381 TBA655374:TBA655381 TKW655374:TKW655381 TUS655374:TUS655381 UEO655374:UEO655381 UOK655374:UOK655381 UYG655374:UYG655381 VIC655374:VIC655381 VRY655374:VRY655381 WBU655374:WBU655381 WLQ655374:WLQ655381 WVM655374:WVM655381 E720910:E720917 JA720910:JA720917 SW720910:SW720917 ACS720910:ACS720917 AMO720910:AMO720917 AWK720910:AWK720917 BGG720910:BGG720917 BQC720910:BQC720917 BZY720910:BZY720917 CJU720910:CJU720917 CTQ720910:CTQ720917 DDM720910:DDM720917 DNI720910:DNI720917 DXE720910:DXE720917 EHA720910:EHA720917 EQW720910:EQW720917 FAS720910:FAS720917 FKO720910:FKO720917 FUK720910:FUK720917 GEG720910:GEG720917 GOC720910:GOC720917 GXY720910:GXY720917 HHU720910:HHU720917 HRQ720910:HRQ720917 IBM720910:IBM720917 ILI720910:ILI720917 IVE720910:IVE720917 JFA720910:JFA720917 JOW720910:JOW720917 JYS720910:JYS720917 KIO720910:KIO720917 KSK720910:KSK720917 LCG720910:LCG720917 LMC720910:LMC720917 LVY720910:LVY720917 MFU720910:MFU720917 MPQ720910:MPQ720917 MZM720910:MZM720917 NJI720910:NJI720917 NTE720910:NTE720917 ODA720910:ODA720917 OMW720910:OMW720917 OWS720910:OWS720917 PGO720910:PGO720917 PQK720910:PQK720917 QAG720910:QAG720917 QKC720910:QKC720917 QTY720910:QTY720917 RDU720910:RDU720917 RNQ720910:RNQ720917 RXM720910:RXM720917 SHI720910:SHI720917 SRE720910:SRE720917 TBA720910:TBA720917 TKW720910:TKW720917 TUS720910:TUS720917 UEO720910:UEO720917 UOK720910:UOK720917 UYG720910:UYG720917 VIC720910:VIC720917 VRY720910:VRY720917 WBU720910:WBU720917 WLQ720910:WLQ720917 WVM720910:WVM720917 E786446:E786453 JA786446:JA786453 SW786446:SW786453 ACS786446:ACS786453 AMO786446:AMO786453 AWK786446:AWK786453 BGG786446:BGG786453 BQC786446:BQC786453 BZY786446:BZY786453 CJU786446:CJU786453 CTQ786446:CTQ786453 DDM786446:DDM786453 DNI786446:DNI786453 DXE786446:DXE786453 EHA786446:EHA786453 EQW786446:EQW786453 FAS786446:FAS786453 FKO786446:FKO786453 FUK786446:FUK786453 GEG786446:GEG786453 GOC786446:GOC786453 GXY786446:GXY786453 HHU786446:HHU786453 HRQ786446:HRQ786453 IBM786446:IBM786453 ILI786446:ILI786453 IVE786446:IVE786453 JFA786446:JFA786453 JOW786446:JOW786453 JYS786446:JYS786453 KIO786446:KIO786453 KSK786446:KSK786453 LCG786446:LCG786453 LMC786446:LMC786453 LVY786446:LVY786453 MFU786446:MFU786453 MPQ786446:MPQ786453 MZM786446:MZM786453 NJI786446:NJI786453 NTE786446:NTE786453 ODA786446:ODA786453 OMW786446:OMW786453 OWS786446:OWS786453 PGO786446:PGO786453 PQK786446:PQK786453 QAG786446:QAG786453 QKC786446:QKC786453 QTY786446:QTY786453 RDU786446:RDU786453 RNQ786446:RNQ786453 RXM786446:RXM786453 SHI786446:SHI786453 SRE786446:SRE786453 TBA786446:TBA786453 TKW786446:TKW786453 TUS786446:TUS786453 UEO786446:UEO786453 UOK786446:UOK786453 UYG786446:UYG786453 VIC786446:VIC786453 VRY786446:VRY786453 WBU786446:WBU786453 WLQ786446:WLQ786453 WVM786446:WVM786453 E851982:E851989 JA851982:JA851989 SW851982:SW851989 ACS851982:ACS851989 AMO851982:AMO851989 AWK851982:AWK851989 BGG851982:BGG851989 BQC851982:BQC851989 BZY851982:BZY851989 CJU851982:CJU851989 CTQ851982:CTQ851989 DDM851982:DDM851989 DNI851982:DNI851989 DXE851982:DXE851989 EHA851982:EHA851989 EQW851982:EQW851989 FAS851982:FAS851989 FKO851982:FKO851989 FUK851982:FUK851989 GEG851982:GEG851989 GOC851982:GOC851989 GXY851982:GXY851989 HHU851982:HHU851989 HRQ851982:HRQ851989 IBM851982:IBM851989 ILI851982:ILI851989 IVE851982:IVE851989 JFA851982:JFA851989 JOW851982:JOW851989 JYS851982:JYS851989 KIO851982:KIO851989 KSK851982:KSK851989 LCG851982:LCG851989 LMC851982:LMC851989 LVY851982:LVY851989 MFU851982:MFU851989 MPQ851982:MPQ851989 MZM851982:MZM851989 NJI851982:NJI851989 NTE851982:NTE851989 ODA851982:ODA851989 OMW851982:OMW851989 OWS851982:OWS851989 PGO851982:PGO851989 PQK851982:PQK851989 QAG851982:QAG851989 QKC851982:QKC851989 QTY851982:QTY851989 RDU851982:RDU851989 RNQ851982:RNQ851989 RXM851982:RXM851989 SHI851982:SHI851989 SRE851982:SRE851989 TBA851982:TBA851989 TKW851982:TKW851989 TUS851982:TUS851989 UEO851982:UEO851989 UOK851982:UOK851989 UYG851982:UYG851989 VIC851982:VIC851989 VRY851982:VRY851989 WBU851982:WBU851989 WLQ851982:WLQ851989 WVM851982:WVM851989 E917518:E917525 JA917518:JA917525 SW917518:SW917525 ACS917518:ACS917525 AMO917518:AMO917525 AWK917518:AWK917525 BGG917518:BGG917525 BQC917518:BQC917525 BZY917518:BZY917525 CJU917518:CJU917525 CTQ917518:CTQ917525 DDM917518:DDM917525 DNI917518:DNI917525 DXE917518:DXE917525 EHA917518:EHA917525 EQW917518:EQW917525 FAS917518:FAS917525 FKO917518:FKO917525 FUK917518:FUK917525 GEG917518:GEG917525 GOC917518:GOC917525 GXY917518:GXY917525 HHU917518:HHU917525 HRQ917518:HRQ917525 IBM917518:IBM917525 ILI917518:ILI917525 IVE917518:IVE917525 JFA917518:JFA917525 JOW917518:JOW917525 JYS917518:JYS917525 KIO917518:KIO917525 KSK917518:KSK917525 LCG917518:LCG917525 LMC917518:LMC917525 LVY917518:LVY917525 MFU917518:MFU917525 MPQ917518:MPQ917525 MZM917518:MZM917525 NJI917518:NJI917525 NTE917518:NTE917525 ODA917518:ODA917525 OMW917518:OMW917525 OWS917518:OWS917525 PGO917518:PGO917525 PQK917518:PQK917525 QAG917518:QAG917525 QKC917518:QKC917525 QTY917518:QTY917525 RDU917518:RDU917525 RNQ917518:RNQ917525 RXM917518:RXM917525 SHI917518:SHI917525 SRE917518:SRE917525 TBA917518:TBA917525 TKW917518:TKW917525 TUS917518:TUS917525 UEO917518:UEO917525 UOK917518:UOK917525 UYG917518:UYG917525 VIC917518:VIC917525 VRY917518:VRY917525 WBU917518:WBU917525 WLQ917518:WLQ917525 WVM917518:WVM917525 E983054:E983061 JA983054:JA983061 SW983054:SW983061 ACS983054:ACS983061 AMO983054:AMO983061 AWK983054:AWK983061 BGG983054:BGG983061 BQC983054:BQC983061 BZY983054:BZY983061 CJU983054:CJU983061 CTQ983054:CTQ983061 DDM983054:DDM983061 DNI983054:DNI983061 DXE983054:DXE983061 EHA983054:EHA983061 EQW983054:EQW983061 FAS983054:FAS983061 FKO983054:FKO983061 FUK983054:FUK983061 GEG983054:GEG983061 GOC983054:GOC983061 GXY983054:GXY983061 HHU983054:HHU983061 HRQ983054:HRQ983061 IBM983054:IBM983061 ILI983054:ILI983061 IVE983054:IVE983061 JFA983054:JFA983061 JOW983054:JOW983061 JYS983054:JYS983061 KIO983054:KIO983061 KSK983054:KSK983061 LCG983054:LCG983061 LMC983054:LMC983061 LVY983054:LVY983061 MFU983054:MFU983061 MPQ983054:MPQ983061 MZM983054:MZM983061 NJI983054:NJI983061 NTE983054:NTE983061 ODA983054:ODA983061 OMW983054:OMW983061 OWS983054:OWS983061 PGO983054:PGO983061 PQK983054:PQK983061 QAG983054:QAG983061 QKC983054:QKC983061 QTY983054:QTY983061 RDU983054:RDU983061 RNQ983054:RNQ983061 RXM983054:RXM983061 SHI983054:SHI983061 SRE983054:SRE983061 TBA983054:TBA983061 TKW983054:TKW983061 TUS983054:TUS983061 UEO983054:UEO983061 UOK983054:UOK983061 UYG983054:UYG983061 VIC983054:VIC983061 VRY983054:VRY983061 WBU983054:WBU983061 WLQ983054:WLQ983061 WVM983054:WVM983061" xr:uid="{00000000-0002-0000-0100-000001000000}">
      <formula1>"Low, Medium, High"</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5">
    <tabColor rgb="FF7030A0"/>
  </sheetPr>
  <dimension ref="A1:L70"/>
  <sheetViews>
    <sheetView zoomScale="85" zoomScaleNormal="85" workbookViewId="0">
      <selection activeCell="A3" sqref="A3"/>
    </sheetView>
  </sheetViews>
  <sheetFormatPr defaultColWidth="8.88671875" defaultRowHeight="12.75"/>
  <cols>
    <col min="1" max="1" width="5.109375" style="64" customWidth="1"/>
    <col min="2" max="2" width="18.6640625" style="64" bestFit="1" customWidth="1"/>
    <col min="3" max="3" width="9.33203125" style="64" customWidth="1"/>
    <col min="4" max="4" width="38.33203125" style="64" customWidth="1"/>
    <col min="5" max="5" width="37.6640625" style="64" customWidth="1"/>
    <col min="6" max="6" width="24.77734375" style="64" customWidth="1"/>
    <col min="7" max="7" width="45.44140625" style="64" customWidth="1"/>
    <col min="8" max="8" width="38.21875" style="64" customWidth="1"/>
    <col min="9" max="9" width="25.21875" style="64" customWidth="1"/>
    <col min="10" max="16384" width="8.88671875" style="64"/>
  </cols>
  <sheetData>
    <row r="1" spans="1:9" ht="38.25">
      <c r="A1" s="57" t="s">
        <v>295</v>
      </c>
      <c r="B1" s="61" t="s">
        <v>187</v>
      </c>
      <c r="C1" s="62" t="s">
        <v>188</v>
      </c>
      <c r="D1" s="63" t="s">
        <v>189</v>
      </c>
      <c r="E1" s="63" t="s">
        <v>190</v>
      </c>
      <c r="F1" s="63" t="s">
        <v>191</v>
      </c>
      <c r="G1" s="63" t="s">
        <v>192</v>
      </c>
      <c r="H1" s="63" t="s">
        <v>193</v>
      </c>
      <c r="I1" s="63" t="s">
        <v>194</v>
      </c>
    </row>
    <row r="2" spans="1:9" ht="16.5" hidden="1">
      <c r="A2" s="65" t="s">
        <v>195</v>
      </c>
      <c r="B2" s="65" t="s">
        <v>196</v>
      </c>
      <c r="C2" s="66" t="s">
        <v>197</v>
      </c>
      <c r="D2" s="67" t="s">
        <v>198</v>
      </c>
      <c r="E2" s="67" t="s">
        <v>199</v>
      </c>
      <c r="F2" s="67" t="s">
        <v>200</v>
      </c>
      <c r="G2" s="67" t="s">
        <v>201</v>
      </c>
      <c r="H2" s="67" t="s">
        <v>202</v>
      </c>
      <c r="I2" s="67" t="s">
        <v>203</v>
      </c>
    </row>
    <row r="3" spans="1:9" ht="16.5">
      <c r="A3" s="65" t="s">
        <v>34</v>
      </c>
      <c r="B3" s="65" t="s">
        <v>35</v>
      </c>
      <c r="C3" s="66" t="s">
        <v>36</v>
      </c>
      <c r="D3" s="13" t="s">
        <v>292</v>
      </c>
      <c r="E3" s="67">
        <v>0</v>
      </c>
      <c r="F3" s="67"/>
      <c r="G3" s="68" t="s">
        <v>204</v>
      </c>
      <c r="H3" s="68" t="s">
        <v>204</v>
      </c>
      <c r="I3" s="68" t="s">
        <v>204</v>
      </c>
    </row>
    <row r="4" spans="1:9" ht="16.5">
      <c r="A4" s="65" t="s">
        <v>34</v>
      </c>
      <c r="B4" s="65" t="s">
        <v>35</v>
      </c>
      <c r="C4" s="66" t="s">
        <v>37</v>
      </c>
      <c r="D4" s="13" t="s">
        <v>293</v>
      </c>
      <c r="E4" s="67">
        <v>0</v>
      </c>
      <c r="F4" s="67"/>
      <c r="G4" s="68" t="s">
        <v>204</v>
      </c>
      <c r="H4" s="68" t="s">
        <v>204</v>
      </c>
      <c r="I4" s="68" t="s">
        <v>204</v>
      </c>
    </row>
    <row r="5" spans="1:9" ht="16.5">
      <c r="A5" s="65" t="s">
        <v>34</v>
      </c>
      <c r="B5" s="65" t="s">
        <v>35</v>
      </c>
      <c r="C5" s="66" t="s">
        <v>38</v>
      </c>
      <c r="D5" s="28" t="s">
        <v>180</v>
      </c>
      <c r="E5" s="67">
        <v>0</v>
      </c>
      <c r="F5" s="67"/>
      <c r="G5" s="68" t="s">
        <v>204</v>
      </c>
      <c r="H5" s="68" t="s">
        <v>204</v>
      </c>
      <c r="I5" s="68" t="s">
        <v>204</v>
      </c>
    </row>
    <row r="6" spans="1:9" ht="16.5">
      <c r="A6" s="65" t="s">
        <v>34</v>
      </c>
      <c r="B6" s="65" t="s">
        <v>39</v>
      </c>
      <c r="C6" s="66" t="s">
        <v>40</v>
      </c>
      <c r="D6" s="28" t="s">
        <v>180</v>
      </c>
      <c r="E6" s="67">
        <v>0</v>
      </c>
      <c r="F6" s="67"/>
      <c r="G6" s="68" t="s">
        <v>204</v>
      </c>
      <c r="H6" s="68" t="s">
        <v>204</v>
      </c>
      <c r="I6" s="68" t="s">
        <v>204</v>
      </c>
    </row>
    <row r="7" spans="1:9" ht="33">
      <c r="A7" s="65" t="s">
        <v>179</v>
      </c>
      <c r="B7" s="65" t="s">
        <v>35</v>
      </c>
      <c r="C7" s="66" t="s">
        <v>41</v>
      </c>
      <c r="D7" s="28" t="s">
        <v>205</v>
      </c>
      <c r="E7" s="67"/>
      <c r="F7" s="67"/>
      <c r="G7" s="68" t="s">
        <v>66</v>
      </c>
      <c r="H7" s="68"/>
      <c r="I7" s="68"/>
    </row>
    <row r="8" spans="1:9" ht="16.5">
      <c r="A8" s="65" t="s">
        <v>179</v>
      </c>
      <c r="B8" s="65" t="s">
        <v>35</v>
      </c>
      <c r="C8" s="66" t="s">
        <v>67</v>
      </c>
      <c r="D8" s="28" t="s">
        <v>206</v>
      </c>
      <c r="E8" s="67"/>
      <c r="F8" s="67"/>
      <c r="G8" s="69" t="s">
        <v>142</v>
      </c>
      <c r="H8" s="68"/>
      <c r="I8" s="68"/>
    </row>
    <row r="9" spans="1:9" ht="33">
      <c r="A9" s="65" t="s">
        <v>179</v>
      </c>
      <c r="B9" s="65" t="s">
        <v>35</v>
      </c>
      <c r="C9" s="66" t="s">
        <v>68</v>
      </c>
      <c r="D9" s="28" t="s">
        <v>207</v>
      </c>
      <c r="E9" s="67"/>
      <c r="F9" s="67"/>
      <c r="G9" s="68" t="s">
        <v>69</v>
      </c>
      <c r="H9" s="68"/>
      <c r="I9" s="68"/>
    </row>
    <row r="10" spans="1:9" ht="33">
      <c r="A10" s="65" t="s">
        <v>179</v>
      </c>
      <c r="B10" s="65" t="s">
        <v>35</v>
      </c>
      <c r="C10" s="66" t="s">
        <v>70</v>
      </c>
      <c r="D10" s="28" t="s">
        <v>208</v>
      </c>
      <c r="E10" s="67"/>
      <c r="F10" s="67"/>
      <c r="G10" s="69" t="s">
        <v>144</v>
      </c>
      <c r="H10" s="68"/>
      <c r="I10" s="68"/>
    </row>
    <row r="11" spans="1:9" ht="66">
      <c r="A11" s="65" t="s">
        <v>179</v>
      </c>
      <c r="B11" s="65" t="s">
        <v>35</v>
      </c>
      <c r="C11" s="66" t="s">
        <v>71</v>
      </c>
      <c r="D11" s="28" t="s">
        <v>209</v>
      </c>
      <c r="E11" s="67"/>
      <c r="F11" s="67"/>
      <c r="G11" s="68" t="s">
        <v>210</v>
      </c>
      <c r="H11" s="68"/>
      <c r="I11" s="68"/>
    </row>
    <row r="12" spans="1:9" ht="33">
      <c r="A12" s="65" t="s">
        <v>179</v>
      </c>
      <c r="B12" s="65" t="s">
        <v>35</v>
      </c>
      <c r="C12" s="66" t="s">
        <v>72</v>
      </c>
      <c r="D12" s="28" t="s">
        <v>211</v>
      </c>
      <c r="E12" s="67"/>
      <c r="F12" s="67"/>
      <c r="G12" s="69" t="s">
        <v>145</v>
      </c>
      <c r="H12" s="68"/>
      <c r="I12" s="68"/>
    </row>
    <row r="13" spans="1:9" ht="51">
      <c r="A13" s="65" t="s">
        <v>179</v>
      </c>
      <c r="B13" s="65" t="s">
        <v>35</v>
      </c>
      <c r="C13" s="66" t="s">
        <v>73</v>
      </c>
      <c r="D13" s="28" t="s">
        <v>212</v>
      </c>
      <c r="E13" s="67"/>
      <c r="F13" s="67"/>
      <c r="G13" s="68" t="s">
        <v>74</v>
      </c>
      <c r="H13" s="68"/>
      <c r="I13" s="68"/>
    </row>
    <row r="14" spans="1:9" ht="51">
      <c r="A14" s="65" t="s">
        <v>179</v>
      </c>
      <c r="B14" s="65" t="s">
        <v>35</v>
      </c>
      <c r="C14" s="66" t="s">
        <v>75</v>
      </c>
      <c r="D14" s="28" t="s">
        <v>213</v>
      </c>
      <c r="E14" s="67"/>
      <c r="F14" s="67"/>
      <c r="G14" s="69" t="s">
        <v>146</v>
      </c>
      <c r="H14" s="68"/>
      <c r="I14" s="68"/>
    </row>
    <row r="15" spans="1:9" ht="51">
      <c r="A15" s="65" t="s">
        <v>179</v>
      </c>
      <c r="B15" s="65" t="s">
        <v>35</v>
      </c>
      <c r="C15" s="66" t="s">
        <v>76</v>
      </c>
      <c r="D15" s="28" t="s">
        <v>214</v>
      </c>
      <c r="E15" s="67"/>
      <c r="F15" s="67"/>
      <c r="G15" s="69" t="s">
        <v>143</v>
      </c>
      <c r="H15" s="68"/>
      <c r="I15" s="68"/>
    </row>
    <row r="16" spans="1:9" ht="181.5">
      <c r="A16" s="65" t="s">
        <v>179</v>
      </c>
      <c r="B16" s="65" t="s">
        <v>35</v>
      </c>
      <c r="C16" s="66" t="s">
        <v>77</v>
      </c>
      <c r="D16" s="28" t="s">
        <v>215</v>
      </c>
      <c r="E16" s="67"/>
      <c r="F16" s="67"/>
      <c r="G16" s="68" t="s">
        <v>216</v>
      </c>
      <c r="H16" s="68"/>
      <c r="I16" s="68"/>
    </row>
    <row r="17" spans="1:9" ht="82.5">
      <c r="A17" s="65" t="s">
        <v>179</v>
      </c>
      <c r="B17" s="65" t="s">
        <v>35</v>
      </c>
      <c r="C17" s="66" t="s">
        <v>78</v>
      </c>
      <c r="D17" s="28" t="s">
        <v>217</v>
      </c>
      <c r="E17" s="67"/>
      <c r="F17" s="67"/>
      <c r="G17" s="68" t="s">
        <v>154</v>
      </c>
      <c r="H17" s="68"/>
      <c r="I17" s="68"/>
    </row>
    <row r="18" spans="1:9" ht="99">
      <c r="A18" s="65" t="s">
        <v>179</v>
      </c>
      <c r="B18" s="65" t="s">
        <v>35</v>
      </c>
      <c r="C18" s="66" t="s">
        <v>79</v>
      </c>
      <c r="D18" s="28" t="s">
        <v>218</v>
      </c>
      <c r="E18" s="67"/>
      <c r="F18" s="67"/>
      <c r="G18" s="68" t="s">
        <v>178</v>
      </c>
      <c r="H18" s="68"/>
      <c r="I18" s="68"/>
    </row>
    <row r="19" spans="1:9" ht="33">
      <c r="A19" s="65" t="s">
        <v>179</v>
      </c>
      <c r="B19" s="65" t="s">
        <v>35</v>
      </c>
      <c r="C19" s="66" t="s">
        <v>110</v>
      </c>
      <c r="D19" s="28" t="s">
        <v>219</v>
      </c>
      <c r="E19" s="67"/>
      <c r="F19" s="67"/>
      <c r="G19" s="68" t="s">
        <v>111</v>
      </c>
      <c r="H19" s="68"/>
      <c r="I19" s="68"/>
    </row>
    <row r="20" spans="1:9" ht="33">
      <c r="A20" s="65" t="s">
        <v>179</v>
      </c>
      <c r="B20" s="65" t="s">
        <v>35</v>
      </c>
      <c r="C20" s="66" t="s">
        <v>80</v>
      </c>
      <c r="D20" s="28" t="s">
        <v>220</v>
      </c>
      <c r="E20" s="67"/>
      <c r="F20" s="67"/>
      <c r="G20" s="68" t="s">
        <v>81</v>
      </c>
      <c r="H20" s="68"/>
      <c r="I20" s="68"/>
    </row>
    <row r="21" spans="1:9" ht="33">
      <c r="A21" s="65" t="s">
        <v>179</v>
      </c>
      <c r="B21" s="65" t="s">
        <v>35</v>
      </c>
      <c r="C21" s="66" t="s">
        <v>82</v>
      </c>
      <c r="D21" s="28" t="s">
        <v>221</v>
      </c>
      <c r="E21" s="67"/>
      <c r="F21" s="67"/>
      <c r="G21" s="68" t="s">
        <v>83</v>
      </c>
      <c r="H21" s="68"/>
      <c r="I21" s="68"/>
    </row>
    <row r="22" spans="1:9" ht="16.5">
      <c r="A22" s="65" t="s">
        <v>179</v>
      </c>
      <c r="B22" s="65" t="s">
        <v>35</v>
      </c>
      <c r="C22" s="66" t="s">
        <v>84</v>
      </c>
      <c r="D22" s="28" t="s">
        <v>222</v>
      </c>
      <c r="E22" s="67"/>
      <c r="F22" s="67"/>
      <c r="G22" s="68" t="s">
        <v>104</v>
      </c>
      <c r="H22" s="68"/>
      <c r="I22" s="68"/>
    </row>
    <row r="23" spans="1:9" ht="33">
      <c r="A23" s="70" t="s">
        <v>179</v>
      </c>
      <c r="B23" s="70" t="s">
        <v>35</v>
      </c>
      <c r="C23" s="71" t="s">
        <v>117</v>
      </c>
      <c r="D23" s="28" t="s">
        <v>223</v>
      </c>
      <c r="E23" s="69"/>
      <c r="F23" s="69"/>
      <c r="G23" s="69" t="s">
        <v>112</v>
      </c>
      <c r="H23" s="69"/>
      <c r="I23" s="69"/>
    </row>
    <row r="24" spans="1:9" ht="33">
      <c r="A24" s="70" t="s">
        <v>179</v>
      </c>
      <c r="B24" s="70" t="s">
        <v>35</v>
      </c>
      <c r="C24" s="71" t="s">
        <v>118</v>
      </c>
      <c r="D24" s="28" t="s">
        <v>224</v>
      </c>
      <c r="E24" s="69"/>
      <c r="F24" s="69"/>
      <c r="G24" s="69" t="s">
        <v>113</v>
      </c>
      <c r="H24" s="69"/>
      <c r="I24" s="69"/>
    </row>
    <row r="25" spans="1:9" ht="33">
      <c r="A25" s="70" t="s">
        <v>179</v>
      </c>
      <c r="B25" s="70" t="s">
        <v>35</v>
      </c>
      <c r="C25" s="71" t="s">
        <v>119</v>
      </c>
      <c r="D25" s="28" t="s">
        <v>225</v>
      </c>
      <c r="E25" s="69"/>
      <c r="F25" s="69"/>
      <c r="G25" s="69" t="s">
        <v>114</v>
      </c>
      <c r="H25" s="69"/>
      <c r="I25" s="69"/>
    </row>
    <row r="26" spans="1:9" ht="16.5">
      <c r="A26" s="70" t="s">
        <v>179</v>
      </c>
      <c r="B26" s="70" t="s">
        <v>35</v>
      </c>
      <c r="C26" s="71" t="s">
        <v>120</v>
      </c>
      <c r="D26" s="28" t="s">
        <v>226</v>
      </c>
      <c r="E26" s="69"/>
      <c r="F26" s="69"/>
      <c r="G26" s="69" t="s">
        <v>115</v>
      </c>
      <c r="H26" s="69"/>
      <c r="I26" s="69"/>
    </row>
    <row r="27" spans="1:9" ht="33">
      <c r="A27" s="70" t="s">
        <v>179</v>
      </c>
      <c r="B27" s="70" t="s">
        <v>35</v>
      </c>
      <c r="C27" s="71" t="s">
        <v>121</v>
      </c>
      <c r="D27" s="28" t="s">
        <v>227</v>
      </c>
      <c r="E27" s="69"/>
      <c r="F27" s="69"/>
      <c r="G27" s="69" t="s">
        <v>116</v>
      </c>
      <c r="H27" s="69"/>
      <c r="I27" s="69"/>
    </row>
    <row r="28" spans="1:9" ht="99">
      <c r="A28" s="70" t="s">
        <v>179</v>
      </c>
      <c r="B28" s="70" t="s">
        <v>35</v>
      </c>
      <c r="C28" s="71" t="s">
        <v>122</v>
      </c>
      <c r="D28" s="28" t="s">
        <v>228</v>
      </c>
      <c r="E28" s="69"/>
      <c r="F28" s="69"/>
      <c r="G28" s="69" t="s">
        <v>155</v>
      </c>
      <c r="H28" s="69"/>
      <c r="I28" s="69"/>
    </row>
    <row r="29" spans="1:9" ht="99">
      <c r="A29" s="70" t="s">
        <v>179</v>
      </c>
      <c r="B29" s="70" t="s">
        <v>35</v>
      </c>
      <c r="C29" s="71" t="s">
        <v>123</v>
      </c>
      <c r="D29" s="28" t="s">
        <v>229</v>
      </c>
      <c r="E29" s="69"/>
      <c r="F29" s="69"/>
      <c r="G29" s="69" t="s">
        <v>151</v>
      </c>
      <c r="H29" s="69"/>
      <c r="I29" s="69"/>
    </row>
    <row r="30" spans="1:9" ht="82.5">
      <c r="A30" s="70" t="s">
        <v>179</v>
      </c>
      <c r="B30" s="70" t="s">
        <v>35</v>
      </c>
      <c r="C30" s="71" t="s">
        <v>124</v>
      </c>
      <c r="D30" s="28" t="s">
        <v>230</v>
      </c>
      <c r="E30" s="69"/>
      <c r="F30" s="69"/>
      <c r="G30" s="69" t="s">
        <v>152</v>
      </c>
      <c r="H30" s="69"/>
      <c r="I30" s="69"/>
    </row>
    <row r="31" spans="1:9" ht="115.5">
      <c r="A31" s="70" t="s">
        <v>179</v>
      </c>
      <c r="B31" s="70" t="s">
        <v>35</v>
      </c>
      <c r="C31" s="71" t="s">
        <v>125</v>
      </c>
      <c r="D31" s="28" t="s">
        <v>231</v>
      </c>
      <c r="E31" s="69"/>
      <c r="F31" s="69"/>
      <c r="G31" s="69" t="s">
        <v>153</v>
      </c>
      <c r="H31" s="69"/>
      <c r="I31" s="69"/>
    </row>
    <row r="32" spans="1:9" ht="78.75">
      <c r="A32" s="70" t="s">
        <v>179</v>
      </c>
      <c r="B32" s="70" t="s">
        <v>35</v>
      </c>
      <c r="C32" s="72" t="s">
        <v>148</v>
      </c>
      <c r="D32" s="28" t="s">
        <v>232</v>
      </c>
      <c r="E32" s="73"/>
      <c r="F32" s="73"/>
      <c r="G32" s="69" t="s">
        <v>85</v>
      </c>
      <c r="H32" s="69"/>
      <c r="I32" s="69"/>
    </row>
    <row r="33" spans="1:9" ht="66">
      <c r="A33" s="70" t="s">
        <v>179</v>
      </c>
      <c r="B33" s="70" t="s">
        <v>35</v>
      </c>
      <c r="C33" s="71" t="s">
        <v>147</v>
      </c>
      <c r="D33" s="28" t="s">
        <v>233</v>
      </c>
      <c r="E33" s="69"/>
      <c r="F33" s="69"/>
      <c r="G33" s="69" t="s">
        <v>126</v>
      </c>
      <c r="H33" s="69"/>
      <c r="I33" s="69"/>
    </row>
    <row r="34" spans="1:9" ht="38.25">
      <c r="A34" s="70" t="s">
        <v>179</v>
      </c>
      <c r="B34" s="70" t="s">
        <v>35</v>
      </c>
      <c r="C34" s="72" t="s">
        <v>129</v>
      </c>
      <c r="D34" s="28" t="s">
        <v>234</v>
      </c>
      <c r="E34" s="73"/>
      <c r="F34" s="58"/>
      <c r="G34" s="69" t="s">
        <v>131</v>
      </c>
      <c r="H34" s="69"/>
      <c r="I34" s="69"/>
    </row>
    <row r="35" spans="1:9" ht="16.5">
      <c r="A35" s="65" t="s">
        <v>179</v>
      </c>
      <c r="B35" s="65" t="s">
        <v>35</v>
      </c>
      <c r="C35" s="66" t="s">
        <v>101</v>
      </c>
      <c r="D35" s="28" t="s">
        <v>235</v>
      </c>
      <c r="E35" s="67"/>
      <c r="F35" s="67"/>
      <c r="G35" s="68" t="s">
        <v>86</v>
      </c>
      <c r="H35" s="68"/>
      <c r="I35" s="68"/>
    </row>
    <row r="36" spans="1:9" ht="33">
      <c r="A36" s="65" t="s">
        <v>179</v>
      </c>
      <c r="B36" s="65" t="s">
        <v>35</v>
      </c>
      <c r="C36" s="66" t="s">
        <v>92</v>
      </c>
      <c r="D36" s="28" t="s">
        <v>236</v>
      </c>
      <c r="E36" s="67"/>
      <c r="F36" s="67"/>
      <c r="G36" s="68" t="s">
        <v>87</v>
      </c>
      <c r="H36" s="68"/>
      <c r="I36" s="68"/>
    </row>
    <row r="37" spans="1:9" ht="16.5">
      <c r="A37" s="65" t="s">
        <v>179</v>
      </c>
      <c r="B37" s="65" t="s">
        <v>35</v>
      </c>
      <c r="C37" s="66" t="s">
        <v>93</v>
      </c>
      <c r="D37" s="28" t="s">
        <v>237</v>
      </c>
      <c r="E37" s="67"/>
      <c r="F37" s="67"/>
      <c r="G37" s="68" t="s">
        <v>88</v>
      </c>
      <c r="H37" s="68"/>
      <c r="I37" s="68"/>
    </row>
    <row r="38" spans="1:9" ht="109.5">
      <c r="A38" s="65" t="s">
        <v>179</v>
      </c>
      <c r="B38" s="65" t="s">
        <v>35</v>
      </c>
      <c r="C38" s="66" t="s">
        <v>100</v>
      </c>
      <c r="D38" s="28" t="s">
        <v>238</v>
      </c>
      <c r="E38" s="28"/>
      <c r="F38" s="67"/>
      <c r="G38" s="69" t="s">
        <v>239</v>
      </c>
      <c r="H38" s="68"/>
      <c r="I38" s="68"/>
    </row>
    <row r="39" spans="1:9" ht="148.5">
      <c r="A39" s="65" t="s">
        <v>179</v>
      </c>
      <c r="B39" s="65" t="s">
        <v>35</v>
      </c>
      <c r="C39" s="66" t="s">
        <v>102</v>
      </c>
      <c r="D39" s="28" t="s">
        <v>240</v>
      </c>
      <c r="E39" s="28"/>
      <c r="F39" s="67"/>
      <c r="G39" s="68" t="s">
        <v>241</v>
      </c>
      <c r="H39" s="68"/>
      <c r="I39" s="68"/>
    </row>
    <row r="40" spans="1:9" ht="99">
      <c r="A40" s="65" t="s">
        <v>179</v>
      </c>
      <c r="B40" s="65" t="s">
        <v>35</v>
      </c>
      <c r="C40" s="66" t="s">
        <v>89</v>
      </c>
      <c r="D40" s="28" t="s">
        <v>242</v>
      </c>
      <c r="E40" s="28"/>
      <c r="F40" s="67"/>
      <c r="G40" s="68" t="s">
        <v>243</v>
      </c>
      <c r="H40" s="68"/>
      <c r="I40" s="68"/>
    </row>
    <row r="41" spans="1:9" ht="66">
      <c r="A41" s="65" t="s">
        <v>179</v>
      </c>
      <c r="B41" s="65" t="s">
        <v>35</v>
      </c>
      <c r="C41" s="66" t="s">
        <v>90</v>
      </c>
      <c r="D41" s="28" t="s">
        <v>244</v>
      </c>
      <c r="E41" s="28"/>
      <c r="F41" s="67"/>
      <c r="G41" s="68" t="s">
        <v>94</v>
      </c>
      <c r="H41" s="68"/>
      <c r="I41" s="68"/>
    </row>
    <row r="42" spans="1:9" ht="66">
      <c r="A42" s="65" t="s">
        <v>179</v>
      </c>
      <c r="B42" s="65" t="s">
        <v>35</v>
      </c>
      <c r="C42" s="66" t="s">
        <v>103</v>
      </c>
      <c r="D42" s="28" t="s">
        <v>245</v>
      </c>
      <c r="E42" s="28"/>
      <c r="F42" s="67"/>
      <c r="G42" s="68" t="s">
        <v>95</v>
      </c>
      <c r="H42" s="68"/>
      <c r="I42" s="68"/>
    </row>
    <row r="43" spans="1:9" ht="231">
      <c r="A43" s="65" t="s">
        <v>179</v>
      </c>
      <c r="B43" s="65" t="s">
        <v>35</v>
      </c>
      <c r="C43" s="66" t="s">
        <v>91</v>
      </c>
      <c r="D43" s="28" t="s">
        <v>246</v>
      </c>
      <c r="E43" s="28"/>
      <c r="F43" s="67"/>
      <c r="G43" s="68" t="s">
        <v>247</v>
      </c>
      <c r="H43" s="68"/>
      <c r="I43" s="68"/>
    </row>
    <row r="44" spans="1:9" ht="99">
      <c r="A44" s="65" t="s">
        <v>179</v>
      </c>
      <c r="B44" s="65" t="s">
        <v>35</v>
      </c>
      <c r="C44" s="66" t="s">
        <v>96</v>
      </c>
      <c r="D44" s="28" t="s">
        <v>248</v>
      </c>
      <c r="E44" s="28"/>
      <c r="F44" s="67"/>
      <c r="G44" s="68" t="s">
        <v>97</v>
      </c>
      <c r="H44" s="68"/>
      <c r="I44" s="68"/>
    </row>
    <row r="45" spans="1:9" ht="99">
      <c r="A45" s="65" t="s">
        <v>179</v>
      </c>
      <c r="B45" s="65" t="s">
        <v>35</v>
      </c>
      <c r="C45" s="66" t="s">
        <v>99</v>
      </c>
      <c r="D45" s="28" t="s">
        <v>249</v>
      </c>
      <c r="E45" s="28"/>
      <c r="F45" s="67"/>
      <c r="G45" s="68" t="s">
        <v>98</v>
      </c>
      <c r="H45" s="68"/>
      <c r="I45" s="68"/>
    </row>
    <row r="46" spans="1:9" ht="25.5">
      <c r="A46" s="65" t="s">
        <v>179</v>
      </c>
      <c r="B46" s="65" t="s">
        <v>35</v>
      </c>
      <c r="C46" s="66" t="s">
        <v>105</v>
      </c>
      <c r="D46" s="28" t="s">
        <v>250</v>
      </c>
      <c r="E46" s="67"/>
      <c r="F46" s="67"/>
      <c r="G46" s="68" t="s">
        <v>106</v>
      </c>
      <c r="H46" s="68"/>
      <c r="I46" s="68"/>
    </row>
    <row r="47" spans="1:9" ht="33">
      <c r="A47" s="65" t="s">
        <v>179</v>
      </c>
      <c r="B47" s="65" t="s">
        <v>35</v>
      </c>
      <c r="C47" s="66" t="s">
        <v>108</v>
      </c>
      <c r="D47" s="28" t="s">
        <v>251</v>
      </c>
      <c r="E47" s="67"/>
      <c r="F47" s="67"/>
      <c r="G47" s="68" t="s">
        <v>107</v>
      </c>
      <c r="H47" s="68"/>
      <c r="I47" s="68"/>
    </row>
    <row r="48" spans="1:9" ht="51">
      <c r="A48" s="65" t="s">
        <v>179</v>
      </c>
      <c r="B48" s="65" t="s">
        <v>39</v>
      </c>
      <c r="C48" s="66" t="s">
        <v>174</v>
      </c>
      <c r="D48" s="28" t="s">
        <v>252</v>
      </c>
      <c r="E48" s="67"/>
      <c r="F48" s="67"/>
      <c r="G48" s="68" t="s">
        <v>166</v>
      </c>
      <c r="H48" s="68"/>
      <c r="I48" s="68"/>
    </row>
    <row r="49" spans="1:12" ht="66">
      <c r="A49" s="65" t="s">
        <v>179</v>
      </c>
      <c r="B49" s="65" t="s">
        <v>39</v>
      </c>
      <c r="C49" s="66" t="s">
        <v>165</v>
      </c>
      <c r="D49" s="28" t="s">
        <v>253</v>
      </c>
      <c r="E49" s="67"/>
      <c r="F49" s="67"/>
      <c r="G49" s="68" t="s">
        <v>156</v>
      </c>
      <c r="H49" s="68"/>
      <c r="I49" s="68"/>
    </row>
    <row r="50" spans="1:12" ht="75">
      <c r="A50" s="70">
        <v>1</v>
      </c>
      <c r="B50" s="65" t="s">
        <v>35</v>
      </c>
      <c r="C50" s="66" t="s">
        <v>41</v>
      </c>
      <c r="D50" s="67" t="s">
        <v>254</v>
      </c>
      <c r="E50" s="67" t="s">
        <v>255</v>
      </c>
      <c r="F50" s="59" t="s">
        <v>183</v>
      </c>
      <c r="G50" s="67" t="s">
        <v>49</v>
      </c>
      <c r="H50" s="67" t="s">
        <v>50</v>
      </c>
      <c r="I50" s="74" t="s">
        <v>184</v>
      </c>
    </row>
    <row r="51" spans="1:12" ht="33">
      <c r="A51" s="70">
        <v>2</v>
      </c>
      <c r="B51" s="65" t="s">
        <v>35</v>
      </c>
      <c r="C51" s="66" t="s">
        <v>41</v>
      </c>
      <c r="D51" s="67" t="s">
        <v>256</v>
      </c>
      <c r="E51" s="67" t="s">
        <v>257</v>
      </c>
      <c r="F51" s="67"/>
      <c r="G51" s="67" t="s">
        <v>51</v>
      </c>
      <c r="H51" s="67" t="s">
        <v>52</v>
      </c>
      <c r="I51" s="67"/>
    </row>
    <row r="52" spans="1:12" ht="37.5" customHeight="1">
      <c r="A52" s="70">
        <v>3</v>
      </c>
      <c r="B52" s="65" t="s">
        <v>35</v>
      </c>
      <c r="C52" s="66" t="s">
        <v>42</v>
      </c>
      <c r="D52" s="67" t="s">
        <v>258</v>
      </c>
      <c r="E52" s="67" t="s">
        <v>259</v>
      </c>
      <c r="F52" s="59" t="s">
        <v>181</v>
      </c>
      <c r="G52" s="67" t="s">
        <v>53</v>
      </c>
      <c r="H52" s="67" t="s">
        <v>54</v>
      </c>
      <c r="I52" s="74" t="s">
        <v>182</v>
      </c>
    </row>
    <row r="53" spans="1:12" ht="49.5">
      <c r="A53" s="70">
        <v>4</v>
      </c>
      <c r="B53" s="65" t="s">
        <v>35</v>
      </c>
      <c r="C53" s="66" t="s">
        <v>43</v>
      </c>
      <c r="D53" s="67" t="s">
        <v>260</v>
      </c>
      <c r="E53" s="67" t="s">
        <v>261</v>
      </c>
      <c r="F53" s="67"/>
      <c r="G53" s="67" t="s">
        <v>55</v>
      </c>
      <c r="H53" s="67" t="s">
        <v>150</v>
      </c>
      <c r="I53" s="67"/>
    </row>
    <row r="54" spans="1:12" ht="75">
      <c r="A54" s="70">
        <v>5</v>
      </c>
      <c r="B54" s="65" t="s">
        <v>35</v>
      </c>
      <c r="C54" s="66" t="s">
        <v>44</v>
      </c>
      <c r="D54" s="67" t="s">
        <v>262</v>
      </c>
      <c r="E54" s="67" t="s">
        <v>263</v>
      </c>
      <c r="F54" s="59" t="s">
        <v>185</v>
      </c>
      <c r="G54" s="67" t="s">
        <v>56</v>
      </c>
      <c r="H54" s="67" t="s">
        <v>57</v>
      </c>
      <c r="I54" s="74" t="s">
        <v>186</v>
      </c>
    </row>
    <row r="55" spans="1:12" ht="37.5" customHeight="1">
      <c r="A55" s="70">
        <v>6</v>
      </c>
      <c r="B55" s="65" t="s">
        <v>35</v>
      </c>
      <c r="C55" s="66" t="s">
        <v>45</v>
      </c>
      <c r="D55" s="67" t="s">
        <v>264</v>
      </c>
      <c r="E55" s="67" t="s">
        <v>265</v>
      </c>
      <c r="F55" s="67"/>
      <c r="G55" s="67" t="s">
        <v>58</v>
      </c>
      <c r="H55" s="67" t="s">
        <v>59</v>
      </c>
      <c r="I55" s="67"/>
    </row>
    <row r="56" spans="1:12" ht="66">
      <c r="A56" s="70">
        <v>7</v>
      </c>
      <c r="B56" s="65" t="s">
        <v>35</v>
      </c>
      <c r="C56" s="72" t="s">
        <v>149</v>
      </c>
      <c r="D56" s="67" t="s">
        <v>266</v>
      </c>
      <c r="E56" s="67" t="s">
        <v>267</v>
      </c>
      <c r="F56" s="67"/>
      <c r="G56" s="67" t="s">
        <v>60</v>
      </c>
      <c r="H56" s="67" t="s">
        <v>61</v>
      </c>
      <c r="I56" s="67"/>
    </row>
    <row r="57" spans="1:12" ht="33">
      <c r="A57" s="70">
        <v>8</v>
      </c>
      <c r="B57" s="65" t="s">
        <v>35</v>
      </c>
      <c r="C57" s="66" t="s">
        <v>46</v>
      </c>
      <c r="D57" s="67" t="s">
        <v>268</v>
      </c>
      <c r="E57" s="67" t="s">
        <v>269</v>
      </c>
      <c r="F57" s="67"/>
      <c r="G57" s="67" t="s">
        <v>62</v>
      </c>
      <c r="H57" s="67" t="s">
        <v>63</v>
      </c>
      <c r="I57" s="67"/>
    </row>
    <row r="58" spans="1:12" ht="51">
      <c r="A58" s="70">
        <v>9</v>
      </c>
      <c r="B58" s="65" t="s">
        <v>47</v>
      </c>
      <c r="C58" s="66" t="s">
        <v>48</v>
      </c>
      <c r="D58" s="67" t="s">
        <v>270</v>
      </c>
      <c r="E58" s="67" t="s">
        <v>271</v>
      </c>
      <c r="F58" s="59" t="s">
        <v>272</v>
      </c>
      <c r="G58" s="67" t="s">
        <v>64</v>
      </c>
      <c r="H58" s="67" t="s">
        <v>65</v>
      </c>
      <c r="I58" s="59" t="s">
        <v>157</v>
      </c>
    </row>
    <row r="59" spans="1:12" ht="82.5">
      <c r="A59" s="70">
        <v>10</v>
      </c>
      <c r="B59" s="70" t="s">
        <v>47</v>
      </c>
      <c r="C59" s="72" t="s">
        <v>130</v>
      </c>
      <c r="D59" s="73" t="s">
        <v>273</v>
      </c>
      <c r="E59" s="73" t="s">
        <v>274</v>
      </c>
      <c r="F59" s="67"/>
      <c r="G59" s="73" t="s">
        <v>132</v>
      </c>
      <c r="H59" s="73" t="s">
        <v>133</v>
      </c>
      <c r="I59" s="67"/>
    </row>
    <row r="60" spans="1:12" ht="67.5">
      <c r="A60" s="70">
        <v>11</v>
      </c>
      <c r="B60" s="70" t="s">
        <v>127</v>
      </c>
      <c r="C60" s="72" t="s">
        <v>129</v>
      </c>
      <c r="D60" s="73" t="s">
        <v>275</v>
      </c>
      <c r="E60" s="73" t="s">
        <v>276</v>
      </c>
      <c r="F60" s="67"/>
      <c r="G60" s="73" t="s">
        <v>128</v>
      </c>
      <c r="H60" s="73" t="s">
        <v>277</v>
      </c>
      <c r="I60" s="75"/>
    </row>
    <row r="61" spans="1:12" ht="33">
      <c r="A61" s="70">
        <v>12</v>
      </c>
      <c r="B61" s="65" t="s">
        <v>39</v>
      </c>
      <c r="C61" s="72" t="s">
        <v>169</v>
      </c>
      <c r="D61" s="73" t="s">
        <v>168</v>
      </c>
      <c r="E61" s="73" t="s">
        <v>167</v>
      </c>
      <c r="F61" s="59" t="s">
        <v>278</v>
      </c>
      <c r="G61" s="73" t="s">
        <v>167</v>
      </c>
      <c r="H61" s="73" t="s">
        <v>167</v>
      </c>
      <c r="I61" s="59" t="s">
        <v>158</v>
      </c>
      <c r="K61" s="42"/>
      <c r="L61" s="42"/>
    </row>
    <row r="62" spans="1:12" ht="33">
      <c r="A62" s="70">
        <v>13</v>
      </c>
      <c r="B62" s="65" t="s">
        <v>39</v>
      </c>
      <c r="C62" s="72" t="s">
        <v>170</v>
      </c>
      <c r="D62" s="73" t="s">
        <v>168</v>
      </c>
      <c r="E62" s="73" t="s">
        <v>167</v>
      </c>
      <c r="F62" s="59" t="s">
        <v>279</v>
      </c>
      <c r="G62" s="73" t="s">
        <v>167</v>
      </c>
      <c r="H62" s="73" t="s">
        <v>167</v>
      </c>
      <c r="I62" s="59" t="s">
        <v>158</v>
      </c>
      <c r="K62" s="42"/>
      <c r="L62" s="42"/>
    </row>
    <row r="63" spans="1:12" ht="33">
      <c r="A63" s="70">
        <v>14</v>
      </c>
      <c r="B63" s="65" t="s">
        <v>39</v>
      </c>
      <c r="C63" s="72" t="s">
        <v>171</v>
      </c>
      <c r="D63" s="73" t="s">
        <v>168</v>
      </c>
      <c r="E63" s="73" t="s">
        <v>167</v>
      </c>
      <c r="F63" s="59" t="s">
        <v>280</v>
      </c>
      <c r="G63" s="73" t="s">
        <v>167</v>
      </c>
      <c r="H63" s="73" t="s">
        <v>167</v>
      </c>
      <c r="I63" s="59" t="s">
        <v>160</v>
      </c>
      <c r="K63" s="42"/>
      <c r="L63" s="42"/>
    </row>
    <row r="64" spans="1:12" ht="33">
      <c r="A64" s="70">
        <v>15</v>
      </c>
      <c r="B64" s="65" t="s">
        <v>39</v>
      </c>
      <c r="C64" s="72" t="s">
        <v>172</v>
      </c>
      <c r="D64" s="73" t="s">
        <v>168</v>
      </c>
      <c r="E64" s="73" t="s">
        <v>167</v>
      </c>
      <c r="F64" s="59" t="s">
        <v>281</v>
      </c>
      <c r="G64" s="73" t="s">
        <v>167</v>
      </c>
      <c r="H64" s="73" t="s">
        <v>167</v>
      </c>
      <c r="I64" s="59" t="s">
        <v>159</v>
      </c>
      <c r="K64" s="42"/>
      <c r="L64" s="42"/>
    </row>
    <row r="65" spans="1:12" ht="33">
      <c r="A65" s="70">
        <v>16</v>
      </c>
      <c r="B65" s="65" t="s">
        <v>39</v>
      </c>
      <c r="C65" s="72" t="s">
        <v>177</v>
      </c>
      <c r="D65" s="73" t="s">
        <v>168</v>
      </c>
      <c r="E65" s="73" t="s">
        <v>167</v>
      </c>
      <c r="F65" s="59" t="s">
        <v>282</v>
      </c>
      <c r="G65" s="73" t="s">
        <v>167</v>
      </c>
      <c r="H65" s="73" t="s">
        <v>167</v>
      </c>
      <c r="I65" s="59" t="s">
        <v>161</v>
      </c>
      <c r="K65" s="42"/>
      <c r="L65" s="42"/>
    </row>
    <row r="66" spans="1:12" ht="49.5">
      <c r="A66" s="70">
        <v>17</v>
      </c>
      <c r="B66" s="65" t="s">
        <v>39</v>
      </c>
      <c r="C66" s="72" t="s">
        <v>176</v>
      </c>
      <c r="D66" s="73" t="s">
        <v>168</v>
      </c>
      <c r="E66" s="73" t="s">
        <v>167</v>
      </c>
      <c r="F66" s="59" t="s">
        <v>283</v>
      </c>
      <c r="G66" s="73" t="s">
        <v>167</v>
      </c>
      <c r="H66" s="73" t="s">
        <v>167</v>
      </c>
      <c r="I66" s="59" t="s">
        <v>162</v>
      </c>
      <c r="K66" s="42"/>
      <c r="L66" s="42"/>
    </row>
    <row r="67" spans="1:12" ht="49.5">
      <c r="A67" s="70">
        <v>18</v>
      </c>
      <c r="B67" s="65" t="s">
        <v>39</v>
      </c>
      <c r="C67" s="72" t="s">
        <v>175</v>
      </c>
      <c r="D67" s="73" t="s">
        <v>168</v>
      </c>
      <c r="E67" s="73" t="s">
        <v>167</v>
      </c>
      <c r="F67" s="59" t="s">
        <v>284</v>
      </c>
      <c r="G67" s="73" t="s">
        <v>167</v>
      </c>
      <c r="H67" s="73" t="s">
        <v>167</v>
      </c>
      <c r="I67" s="59" t="s">
        <v>163</v>
      </c>
      <c r="K67" s="42"/>
      <c r="L67" s="42"/>
    </row>
    <row r="68" spans="1:12" ht="33">
      <c r="A68" s="70">
        <v>19</v>
      </c>
      <c r="B68" s="65" t="s">
        <v>39</v>
      </c>
      <c r="C68" s="72" t="s">
        <v>173</v>
      </c>
      <c r="D68" s="73" t="s">
        <v>168</v>
      </c>
      <c r="E68" s="73" t="s">
        <v>167</v>
      </c>
      <c r="F68" s="59" t="s">
        <v>285</v>
      </c>
      <c r="G68" s="73" t="s">
        <v>167</v>
      </c>
      <c r="H68" s="73" t="s">
        <v>167</v>
      </c>
      <c r="I68" s="59" t="s">
        <v>164</v>
      </c>
      <c r="K68" s="42"/>
      <c r="L68" s="42"/>
    </row>
    <row r="69" spans="1:12" ht="16.5">
      <c r="A69" s="65"/>
      <c r="B69" s="65" t="s">
        <v>286</v>
      </c>
      <c r="C69" s="66"/>
      <c r="D69" s="67"/>
      <c r="E69" s="67"/>
      <c r="F69" s="67"/>
      <c r="G69" s="67"/>
      <c r="H69" s="67"/>
      <c r="I69" s="67"/>
      <c r="L69" s="42"/>
    </row>
    <row r="70" spans="1:12">
      <c r="L70" s="42"/>
    </row>
  </sheetData>
  <phoneticPr fontId="6"/>
  <conditionalFormatting sqref="D3 D32 G32 G34:G49 D34:D37">
    <cfRule type="cellIs" dxfId="28" priority="18" operator="equal">
      <formula>"(Select)"</formula>
    </cfRule>
  </conditionalFormatting>
  <conditionalFormatting sqref="D4:D13 D46:D49 D39 D16:D22">
    <cfRule type="cellIs" dxfId="27" priority="17" operator="equal">
      <formula>"(Select)"</formula>
    </cfRule>
  </conditionalFormatting>
  <conditionalFormatting sqref="G3">
    <cfRule type="cellIs" dxfId="26" priority="16" operator="equal">
      <formula>"(Select)"</formula>
    </cfRule>
  </conditionalFormatting>
  <conditionalFormatting sqref="G4">
    <cfRule type="cellIs" dxfId="25" priority="15" operator="equal">
      <formula>"(Select)"</formula>
    </cfRule>
  </conditionalFormatting>
  <conditionalFormatting sqref="G5">
    <cfRule type="cellIs" dxfId="24" priority="14" operator="equal">
      <formula>"(Select)"</formula>
    </cfRule>
  </conditionalFormatting>
  <conditionalFormatting sqref="G6:G11 G16:G22 G13">
    <cfRule type="cellIs" dxfId="23" priority="13" operator="equal">
      <formula>"(Select)"</formula>
    </cfRule>
  </conditionalFormatting>
  <conditionalFormatting sqref="D14:D15">
    <cfRule type="cellIs" dxfId="22" priority="12" operator="equal">
      <formula>"(Select)"</formula>
    </cfRule>
  </conditionalFormatting>
  <conditionalFormatting sqref="G14:G15">
    <cfRule type="cellIs" dxfId="21" priority="11" operator="equal">
      <formula>"(Select)"</formula>
    </cfRule>
  </conditionalFormatting>
  <conditionalFormatting sqref="G12">
    <cfRule type="cellIs" dxfId="20" priority="10" operator="equal">
      <formula>"(Select)"</formula>
    </cfRule>
  </conditionalFormatting>
  <conditionalFormatting sqref="E38:E45">
    <cfRule type="cellIs" dxfId="19" priority="9" operator="equal">
      <formula>"(Select)"</formula>
    </cfRule>
  </conditionalFormatting>
  <conditionalFormatting sqref="D45">
    <cfRule type="cellIs" dxfId="18" priority="8" operator="equal">
      <formula>"(Select)"</formula>
    </cfRule>
  </conditionalFormatting>
  <conditionalFormatting sqref="D44">
    <cfRule type="cellIs" dxfId="17" priority="7" operator="equal">
      <formula>"(Select)"</formula>
    </cfRule>
  </conditionalFormatting>
  <conditionalFormatting sqref="D43">
    <cfRule type="cellIs" dxfId="16" priority="6" operator="equal">
      <formula>"(Select)"</formula>
    </cfRule>
  </conditionalFormatting>
  <conditionalFormatting sqref="D42">
    <cfRule type="cellIs" dxfId="15" priority="5" operator="equal">
      <formula>"(Select)"</formula>
    </cfRule>
  </conditionalFormatting>
  <conditionalFormatting sqref="D38">
    <cfRule type="cellIs" dxfId="14" priority="3" operator="equal">
      <formula>"(Select)"</formula>
    </cfRule>
  </conditionalFormatting>
  <conditionalFormatting sqref="D40:D41">
    <cfRule type="cellIs" dxfId="13" priority="4" operator="equal">
      <formula>"(Select)"</formula>
    </cfRule>
  </conditionalFormatting>
  <conditionalFormatting sqref="G23:G31">
    <cfRule type="cellIs" dxfId="12" priority="2" operator="equal">
      <formula>"(Select)"</formula>
    </cfRule>
  </conditionalFormatting>
  <conditionalFormatting sqref="G33">
    <cfRule type="cellIs" dxfId="11" priority="1" operator="equal">
      <formula>"(Select)"</formula>
    </cfRule>
  </conditionalFormatting>
  <hyperlinks>
    <hyperlink ref="A1" location="'Template information'!A1" display="No." xr:uid="{00000000-0004-0000-0200-000000000000}"/>
    <hyperlink ref="F58" r:id="rId1" xr:uid="{00000000-0004-0000-0200-000001000000}"/>
    <hyperlink ref="I58" r:id="rId2" xr:uid="{00000000-0004-0000-0200-000002000000}"/>
    <hyperlink ref="F61" r:id="rId3" xr:uid="{00000000-0004-0000-0200-000003000000}"/>
    <hyperlink ref="F63" r:id="rId4" xr:uid="{00000000-0004-0000-0200-000004000000}"/>
    <hyperlink ref="F62" r:id="rId5" xr:uid="{00000000-0004-0000-0200-000005000000}"/>
    <hyperlink ref="F64" r:id="rId6" xr:uid="{00000000-0004-0000-0200-000006000000}"/>
    <hyperlink ref="I50" r:id="rId7" xr:uid="{00000000-0004-0000-0200-000007000000}"/>
    <hyperlink ref="I54" r:id="rId8" xr:uid="{00000000-0004-0000-0200-000008000000}"/>
    <hyperlink ref="F50" r:id="rId9" display="標準開発手順管理表" xr:uid="{00000000-0004-0000-0200-000009000000}"/>
    <hyperlink ref="F54" r:id="rId10" display="標準開発手順管理表" xr:uid="{00000000-0004-0000-0200-00000A000000}"/>
    <hyperlink ref="F52" r:id="rId11" display="プロジェクト計画書" xr:uid="{00000000-0004-0000-0200-00000B000000}"/>
    <hyperlink ref="I52" r:id="rId12" xr:uid="{00000000-0004-0000-0200-00000C000000}"/>
    <hyperlink ref="F65" r:id="rId13" xr:uid="{00000000-0004-0000-0200-00000D000000}"/>
    <hyperlink ref="F66" r:id="rId14" xr:uid="{00000000-0004-0000-0200-00000E000000}"/>
    <hyperlink ref="F67" r:id="rId15" xr:uid="{00000000-0004-0000-0200-00000F000000}"/>
    <hyperlink ref="F68" r:id="rId16" xr:uid="{00000000-0004-0000-0200-000010000000}"/>
    <hyperlink ref="I61" r:id="rId17" xr:uid="{00000000-0004-0000-0200-000011000000}"/>
    <hyperlink ref="I62" r:id="rId18" xr:uid="{00000000-0004-0000-0200-000012000000}"/>
    <hyperlink ref="I63" r:id="rId19" xr:uid="{00000000-0004-0000-0200-000013000000}"/>
    <hyperlink ref="I64" r:id="rId20" xr:uid="{00000000-0004-0000-0200-000014000000}"/>
    <hyperlink ref="I65" r:id="rId21" xr:uid="{00000000-0004-0000-0200-000015000000}"/>
    <hyperlink ref="I66" r:id="rId22" xr:uid="{00000000-0004-0000-0200-000016000000}"/>
    <hyperlink ref="I67" r:id="rId23" xr:uid="{00000000-0004-0000-0200-000017000000}"/>
    <hyperlink ref="I68" r:id="rId24" xr:uid="{00000000-0004-0000-0200-000018000000}"/>
  </hyperlinks>
  <pageMargins left="0.7" right="0.7" top="0.75" bottom="0.75" header="0.3" footer="0.3"/>
  <pageSetup paperSize="9" orientation="portrait" r:id="rId25"/>
  <tableParts count="1">
    <tablePart r:id="rId2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25"/>
  <sheetViews>
    <sheetView showGridLines="0" zoomScaleNormal="100" zoomScaleSheetLayoutView="100" workbookViewId="0">
      <pane ySplit="5" topLeftCell="A18" activePane="bottomLeft" state="frozen"/>
      <selection pane="bottomLeft" activeCell="B20" sqref="B20:B21"/>
    </sheetView>
  </sheetViews>
  <sheetFormatPr defaultColWidth="8.44140625" defaultRowHeight="14.1" customHeight="1"/>
  <cols>
    <col min="1" max="1" width="2.109375" style="51" customWidth="1"/>
    <col min="2" max="2" width="20.77734375" style="51" customWidth="1"/>
    <col min="3" max="3" width="100.77734375" style="51" customWidth="1"/>
    <col min="4" max="5" width="11.21875" style="51" customWidth="1"/>
    <col min="6" max="16384" width="8.44140625" style="51"/>
  </cols>
  <sheetData>
    <row r="1" spans="1:5" s="43" customFormat="1" ht="3" customHeight="1"/>
    <row r="2" spans="1:5" s="43" customFormat="1" ht="14.1" customHeight="1">
      <c r="B2" s="44" t="s">
        <v>4</v>
      </c>
    </row>
    <row r="3" spans="1:5" s="43" customFormat="1" ht="24.95" customHeight="1">
      <c r="B3" s="45" t="s">
        <v>287</v>
      </c>
      <c r="C3" s="46" t="s">
        <v>134</v>
      </c>
      <c r="D3" s="47"/>
      <c r="E3" s="48"/>
    </row>
    <row r="4" spans="1:5" s="43" customFormat="1" ht="14.1" customHeight="1">
      <c r="B4" s="47" t="s">
        <v>139</v>
      </c>
      <c r="C4" s="44" t="s">
        <v>5</v>
      </c>
    </row>
    <row r="5" spans="1:5" ht="27.95" customHeight="1">
      <c r="A5" s="51" t="s">
        <v>294</v>
      </c>
      <c r="B5" s="49" t="s">
        <v>6</v>
      </c>
      <c r="C5" s="50" t="s">
        <v>7</v>
      </c>
      <c r="D5" s="50" t="s">
        <v>8</v>
      </c>
      <c r="E5" s="50" t="s">
        <v>9</v>
      </c>
    </row>
    <row r="6" spans="1:5" ht="20.100000000000001" customHeight="1">
      <c r="B6" s="337" t="s">
        <v>10</v>
      </c>
      <c r="C6" s="52" t="s">
        <v>135</v>
      </c>
      <c r="D6" s="340" t="s">
        <v>11</v>
      </c>
      <c r="E6" s="340" t="s">
        <v>12</v>
      </c>
    </row>
    <row r="7" spans="1:5" ht="20.100000000000001" customHeight="1">
      <c r="B7" s="338"/>
      <c r="C7" s="53" t="s">
        <v>13</v>
      </c>
      <c r="D7" s="341"/>
      <c r="E7" s="341"/>
    </row>
    <row r="8" spans="1:5" ht="297">
      <c r="B8" s="337" t="s">
        <v>14</v>
      </c>
      <c r="C8" s="53" t="s">
        <v>140</v>
      </c>
      <c r="D8" s="339" t="s">
        <v>15</v>
      </c>
      <c r="E8" s="339" t="s">
        <v>16</v>
      </c>
    </row>
    <row r="9" spans="1:5" ht="229.5">
      <c r="B9" s="338"/>
      <c r="C9" s="53" t="s">
        <v>17</v>
      </c>
      <c r="D9" s="338"/>
      <c r="E9" s="338"/>
    </row>
    <row r="10" spans="1:5" ht="30" customHeight="1">
      <c r="B10" s="337" t="s">
        <v>21</v>
      </c>
      <c r="C10" s="53" t="s">
        <v>136</v>
      </c>
      <c r="D10" s="339" t="s">
        <v>19</v>
      </c>
      <c r="E10" s="339" t="s">
        <v>20</v>
      </c>
    </row>
    <row r="11" spans="1:5" ht="30" customHeight="1">
      <c r="B11" s="338"/>
      <c r="C11" s="53" t="s">
        <v>18</v>
      </c>
      <c r="D11" s="338"/>
      <c r="E11" s="338"/>
    </row>
    <row r="12" spans="1:5" ht="16.5">
      <c r="B12" s="337" t="s">
        <v>24</v>
      </c>
      <c r="C12" s="53" t="s">
        <v>137</v>
      </c>
      <c r="D12" s="339" t="s">
        <v>25</v>
      </c>
      <c r="E12" s="339" t="s">
        <v>23</v>
      </c>
    </row>
    <row r="13" spans="1:5" ht="14.25">
      <c r="B13" s="338"/>
      <c r="C13" s="53" t="s">
        <v>22</v>
      </c>
      <c r="D13" s="338"/>
      <c r="E13" s="338"/>
    </row>
    <row r="14" spans="1:5" ht="16.5">
      <c r="B14" s="337" t="s">
        <v>26</v>
      </c>
      <c r="C14" s="53" t="s">
        <v>138</v>
      </c>
      <c r="D14" s="339" t="s">
        <v>29</v>
      </c>
      <c r="E14" s="339" t="s">
        <v>28</v>
      </c>
    </row>
    <row r="15" spans="1:5" ht="14.25">
      <c r="B15" s="338"/>
      <c r="C15" s="53" t="s">
        <v>27</v>
      </c>
      <c r="D15" s="338"/>
      <c r="E15" s="338"/>
    </row>
    <row r="16" spans="1:5" ht="15">
      <c r="B16" s="337" t="s">
        <v>32</v>
      </c>
      <c r="C16" s="54" t="s">
        <v>141</v>
      </c>
      <c r="D16" s="339" t="s">
        <v>30</v>
      </c>
      <c r="E16" s="339" t="s">
        <v>33</v>
      </c>
    </row>
    <row r="17" spans="2:5" ht="14.25">
      <c r="B17" s="338"/>
      <c r="C17" s="54" t="s">
        <v>31</v>
      </c>
      <c r="D17" s="338"/>
      <c r="E17" s="338"/>
    </row>
    <row r="18" spans="2:5" ht="60">
      <c r="B18" s="337" t="s">
        <v>287</v>
      </c>
      <c r="C18" s="60" t="s">
        <v>290</v>
      </c>
      <c r="D18" s="339" t="s">
        <v>288</v>
      </c>
      <c r="E18" s="339" t="s">
        <v>289</v>
      </c>
    </row>
    <row r="19" spans="2:5" ht="48">
      <c r="B19" s="338"/>
      <c r="C19" s="54" t="s">
        <v>291</v>
      </c>
      <c r="D19" s="338"/>
      <c r="E19" s="338"/>
    </row>
    <row r="20" spans="2:5" ht="14.25">
      <c r="B20" s="337"/>
      <c r="C20" s="53"/>
      <c r="D20" s="337"/>
      <c r="E20" s="337"/>
    </row>
    <row r="21" spans="2:5" ht="14.25">
      <c r="B21" s="338"/>
      <c r="C21" s="53"/>
      <c r="D21" s="338"/>
      <c r="E21" s="338"/>
    </row>
    <row r="22" spans="2:5" ht="14.25">
      <c r="B22" s="337"/>
      <c r="C22" s="53"/>
      <c r="D22" s="337"/>
      <c r="E22" s="337"/>
    </row>
    <row r="23" spans="2:5" ht="14.25">
      <c r="B23" s="338"/>
      <c r="C23" s="53"/>
      <c r="D23" s="338"/>
      <c r="E23" s="338"/>
    </row>
    <row r="24" spans="2:5" ht="14.25">
      <c r="B24" s="337"/>
      <c r="C24" s="53"/>
      <c r="D24" s="337"/>
      <c r="E24" s="337"/>
    </row>
    <row r="25" spans="2:5" ht="14.25">
      <c r="B25" s="338"/>
      <c r="C25" s="53"/>
      <c r="D25" s="338"/>
      <c r="E25" s="338"/>
    </row>
  </sheetData>
  <mergeCells count="30">
    <mergeCell ref="B6:B7"/>
    <mergeCell ref="D6:D7"/>
    <mergeCell ref="E6:E7"/>
    <mergeCell ref="B8:B9"/>
    <mergeCell ref="D8:D9"/>
    <mergeCell ref="E8:E9"/>
    <mergeCell ref="B10:B11"/>
    <mergeCell ref="D10:D11"/>
    <mergeCell ref="E10:E11"/>
    <mergeCell ref="B12:B13"/>
    <mergeCell ref="D12:D13"/>
    <mergeCell ref="E12:E13"/>
    <mergeCell ref="B14:B15"/>
    <mergeCell ref="D14:D15"/>
    <mergeCell ref="E14:E15"/>
    <mergeCell ref="B16:B17"/>
    <mergeCell ref="D16:D17"/>
    <mergeCell ref="E16:E17"/>
    <mergeCell ref="B18:B19"/>
    <mergeCell ref="D18:D19"/>
    <mergeCell ref="E18:E19"/>
    <mergeCell ref="B20:B21"/>
    <mergeCell ref="D20:D21"/>
    <mergeCell ref="E20:E21"/>
    <mergeCell ref="B22:B23"/>
    <mergeCell ref="D22:D23"/>
    <mergeCell ref="E22:E23"/>
    <mergeCell ref="B24:B25"/>
    <mergeCell ref="D24:D25"/>
    <mergeCell ref="E24:E25"/>
  </mergeCells>
  <phoneticPr fontId="6"/>
  <pageMargins left="0.7" right="0.7" top="0.75" bottom="0.75" header="0.3" footer="0.3"/>
  <pageSetup paperSize="9" scale="68"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AC42D8E3F6235243B7DB4960DEFEE4D4" ma:contentTypeVersion="2" ma:contentTypeDescription="新しいドキュメントを作成します。" ma:contentTypeScope="" ma:versionID="c7a175e06ccbd3b0ae16edc395d7400a">
  <xsd:schema xmlns:xsd="http://www.w3.org/2001/XMLSchema" xmlns:xs="http://www.w3.org/2001/XMLSchema" xmlns:p="http://schemas.microsoft.com/office/2006/metadata/properties" xmlns:ns2="9b590e1c-98aa-45d0-b368-a8263e89f865" targetNamespace="http://schemas.microsoft.com/office/2006/metadata/properties" ma:root="true" ma:fieldsID="185b22c3730d5d03be6112bb8af31373" ns2:_="">
    <xsd:import namespace="9b590e1c-98aa-45d0-b368-a8263e89f86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b590e1c-98aa-45d0-b368-a8263e89f86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46256CC-7C34-4603-8EFE-7845FF24981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b590e1c-98aa-45d0-b368-a8263e89f8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9DBEA65-F275-4A9F-9241-4083F15986F3}">
  <ds:schemaRefs>
    <ds:schemaRef ds:uri="http://schemas.microsoft.com/sharepoint/v3/contenttype/forms"/>
  </ds:schemaRefs>
</ds:datastoreItem>
</file>

<file path=customXml/itemProps3.xml><?xml version="1.0" encoding="utf-8"?>
<ds:datastoreItem xmlns:ds="http://schemas.openxmlformats.org/officeDocument/2006/customXml" ds:itemID="{52CA4A2B-20B5-40EA-BA65-A63BAC013D2D}">
  <ds:schemaRefs>
    <ds:schemaRef ds:uri="http://schemas.openxmlformats.org/package/2006/metadata/core-properties"/>
    <ds:schemaRef ds:uri="http://schemas.microsoft.com/office/2006/metadata/properties"/>
    <ds:schemaRef ds:uri="http://schemas.microsoft.com/office/infopath/2007/PartnerControls"/>
    <ds:schemaRef ds:uri="http://schemas.microsoft.com/office/2006/documentManagement/types"/>
    <ds:schemaRef ds:uri="http://purl.org/dc/terms/"/>
    <ds:schemaRef ds:uri="http://purl.org/dc/elements/1.1/"/>
    <ds:schemaRef ds:uri="9b590e1c-98aa-45d0-b368-a8263e89f865"/>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Peer Review Minutes</vt:lpstr>
      <vt:lpstr>DEV Checklist</vt:lpstr>
      <vt:lpstr>REL-SEPG-PRM20190507</vt:lpstr>
      <vt:lpstr>Template Revision history</vt:lpstr>
      <vt:lpstr>'Peer Review Minutes'!Kjitubi</vt:lpstr>
      <vt:lpstr>'Peer Review Minutes'!Knin</vt:lpstr>
      <vt:lpstr>'Peer Review Minutes'!Mjitubi</vt:lpstr>
      <vt:lpstr>'Peer Review Minutes'!Mnin</vt:lpstr>
      <vt:lpstr>'Peer Review Minutes'!Obj_ID</vt:lpstr>
      <vt:lpstr>'Peer Review Minutes'!Obj_issue</vt:lpstr>
      <vt:lpstr>'Peer Review Minutes'!Obj_name</vt:lpstr>
      <vt:lpstr>'Peer Review Minutes'!Obj_time</vt:lpstr>
      <vt:lpstr>'Peer Review Minutes'!Obj_unit</vt:lpstr>
      <vt:lpstr>'Peer Review Minutes'!ProcessName</vt:lpstr>
      <vt:lpstr>'Peer Review Minutes'!syurui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Mitsuhiro Nakamura</dc:creator>
  <cp:keywords/>
  <dc:description/>
  <cp:lastModifiedBy>Chuong Hoang. Le</cp:lastModifiedBy>
  <cp:revision/>
  <dcterms:created xsi:type="dcterms:W3CDTF">2018-07-26T03:17:46Z</dcterms:created>
  <dcterms:modified xsi:type="dcterms:W3CDTF">2021-12-01T10:42:43Z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0x010100AC42D8E3F6235243B7DB4960DEFEE4D4</vt:lpwstr>
  </property>
  <property fmtid="{D5CDD505-2E9C-101B-9397-08002B2CF9AE}" pid="3" name="WorkbookGuid">
    <vt:lpwstr>d4b603e7-d5f7-4fb5-bb5f-c3179f377775</vt:lpwstr>
  </property>
</Properties>
</file>