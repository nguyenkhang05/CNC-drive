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mc:AlternateContent xmlns:mc="http://schemas.openxmlformats.org/markup-compatibility/2006">
    <mc:Choice Requires="x15">
      <x15ac:absPath xmlns:x15ac="http://schemas.microsoft.com/office/spreadsheetml/2010/11/ac" url="D:\02_Project\01_RHM\01_SPIDCTL\SVN\docs\PRM\"/>
    </mc:Choice>
  </mc:AlternateContent>
  <xr:revisionPtr revIDLastSave="0" documentId="13_ncr:1_{3869070C-33E2-4F4E-B333-827DD221E701}" xr6:coauthVersionLast="46" xr6:coauthVersionMax="47" xr10:uidLastSave="{00000000-0000-0000-0000-000000000000}"/>
  <bookViews>
    <workbookView xWindow="-120" yWindow="-120" windowWidth="20730" windowHeight="11160" activeTab="1" xr2:uid="{00000000-000D-0000-FFFF-FFFF00000000}"/>
  </bookViews>
  <sheets>
    <sheet name="Peer Review Minutes" sheetId="6" r:id="rId1"/>
    <sheet name="Verification Specs Checklist" sheetId="21" r:id="rId2"/>
    <sheet name="REL-SEPG-PRM20190801" sheetId="20" state="hidden" r:id="rId3"/>
    <sheet name="Template Revision history" sheetId="18" state="hidden" r:id="rId4"/>
  </sheets>
  <definedNames>
    <definedName name="Kjitubi">'Peer Review Minutes'!$I$26</definedName>
    <definedName name="Knin">'Peer Review Minutes'!$Q$26</definedName>
    <definedName name="Mjitubi">'Peer Review Minutes'!$I$25</definedName>
    <definedName name="Mnin">'Peer Review Minutes'!$U$25</definedName>
    <definedName name="Obj_ID">'Peer Review Minutes'!$C$35</definedName>
    <definedName name="Obj_issue">'Peer Review Minutes'!$X$35</definedName>
    <definedName name="Obj_name">'Peer Review Minutes'!$E$35</definedName>
    <definedName name="Obj_time">'Peer Review Minutes'!$Z$35</definedName>
    <definedName name="Obj_unit">'Peer Review Minutes'!$V$35</definedName>
    <definedName name="ProcessName">'Peer Review Minutes'!$G$8</definedName>
    <definedName name="syurui">'Peer Review Minutes'!$G$20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40" i="6" l="1"/>
  <c r="Z35" i="6"/>
  <c r="Y35" i="6" l="1"/>
  <c r="Y36" i="6"/>
  <c r="Y37" i="6"/>
  <c r="Y38" i="6"/>
  <c r="Y39" i="6"/>
  <c r="Z1" i="6" l="1"/>
  <c r="W36" i="6" l="1"/>
  <c r="W37" i="6" l="1"/>
  <c r="U26" i="6" l="1"/>
  <c r="Y44" i="6" l="1"/>
  <c r="Y43" i="6"/>
  <c r="Y42" i="6"/>
  <c r="Y41" i="6"/>
  <c r="Y40" i="6"/>
  <c r="AA96" i="6" l="1"/>
  <c r="AA95" i="6"/>
  <c r="AA94" i="6"/>
  <c r="AA93" i="6"/>
  <c r="AA92" i="6"/>
  <c r="AA91" i="6"/>
  <c r="AA90" i="6"/>
  <c r="AA89" i="6"/>
  <c r="AA88" i="6"/>
  <c r="AA87" i="6"/>
  <c r="AA86" i="6"/>
  <c r="AA85" i="6"/>
  <c r="AA84" i="6"/>
  <c r="AA83" i="6"/>
  <c r="AA82" i="6"/>
  <c r="AA81" i="6"/>
  <c r="AA80" i="6"/>
  <c r="AA79" i="6"/>
  <c r="AA78" i="6"/>
  <c r="AA77" i="6"/>
  <c r="AA76" i="6"/>
  <c r="AA75" i="6"/>
  <c r="AA74" i="6"/>
  <c r="AA73" i="6"/>
  <c r="AA72" i="6"/>
  <c r="AA71" i="6"/>
  <c r="AA70" i="6"/>
  <c r="AA69" i="6"/>
  <c r="AA68" i="6"/>
  <c r="AA67" i="6"/>
  <c r="AA66" i="6"/>
  <c r="AA65" i="6"/>
  <c r="AA64" i="6"/>
  <c r="AA63" i="6"/>
  <c r="AA62" i="6"/>
  <c r="AA61" i="6"/>
  <c r="AA60" i="6"/>
  <c r="AA59" i="6"/>
  <c r="AA58" i="6"/>
  <c r="AA57" i="6"/>
  <c r="AA56" i="6"/>
  <c r="AA55" i="6"/>
  <c r="AA54" i="6"/>
  <c r="AA53" i="6"/>
  <c r="AA52" i="6"/>
  <c r="AA51" i="6"/>
  <c r="AA50" i="6"/>
  <c r="AA49" i="6"/>
  <c r="Y45" i="6"/>
  <c r="W45" i="6"/>
  <c r="W44" i="6"/>
  <c r="W43" i="6"/>
  <c r="W42" i="6"/>
  <c r="W41" i="6"/>
  <c r="W40" i="6"/>
  <c r="W39" i="6"/>
  <c r="W38" i="6"/>
  <c r="R31" i="6"/>
  <c r="P31" i="6"/>
  <c r="N31" i="6"/>
  <c r="W35" i="6"/>
  <c r="R30" i="6"/>
  <c r="X36" i="6" l="1"/>
  <c r="X37" i="6"/>
  <c r="X43" i="6"/>
  <c r="X40" i="6"/>
  <c r="X41" i="6"/>
  <c r="X38" i="6"/>
  <c r="X35" i="6"/>
  <c r="X44" i="6"/>
  <c r="X45" i="6"/>
  <c r="X39" i="6"/>
  <c r="X42" i="6"/>
  <c r="P30" i="6" l="1"/>
  <c r="N3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Mitsuhiro Nakamura</author>
    <author>Toru Aoyagi</author>
    <author>Kazuya Takahashi</author>
    <author>作成者</author>
  </authors>
  <commentList>
    <comment ref="G7" authorId="0" shapeId="0" xr:uid="{00000000-0006-0000-0000-000001000000}">
      <text>
        <r>
          <rPr>
            <b/>
            <sz val="10"/>
            <color indexed="81"/>
            <rFont val="MS P ゴシック"/>
            <family val="3"/>
            <charset val="128"/>
          </rPr>
          <t>(Select), Project planning process, Requirements development process, Functional design process, Detail design process, Coding and debug process, Unit test process, Integration test process, System test process, -
(選択),プロジェクト計画工程,要件開発工程,機能設計工程,詳細設計工程,
コーディング工程,単体テスト工程,結合テスト工程,システムテスト工程,-</t>
        </r>
      </text>
    </comment>
    <comment ref="C20" authorId="0" shapeId="0" xr:uid="{00000000-0006-0000-0000-000002000000}">
      <text>
        <r>
          <rPr>
            <b/>
            <sz val="10"/>
            <color indexed="81"/>
            <rFont val="MS P ゴシック"/>
            <family val="3"/>
            <charset val="128"/>
          </rPr>
          <t>(Select),Inspection,Team,Walk-through,Pass-around
(選択),インスペクション,チームレビュー,ウォークスルー,パスアラウンド</t>
        </r>
      </text>
    </comment>
    <comment ref="K20" authorId="1" shapeId="0" xr:uid="{00000000-0006-0000-0000-000003000000}">
      <text>
        <r>
          <rPr>
            <sz val="9"/>
            <color indexed="81"/>
            <rFont val="MS P ゴシック"/>
            <family val="3"/>
            <charset val="128"/>
          </rPr>
          <t>(Select), First review, Re-review
(選択),初回レビュー,再レビュー</t>
        </r>
      </text>
    </comment>
    <comment ref="C21" authorId="0" shapeId="0" xr:uid="{00000000-0006-0000-0000-000004000000}">
      <text>
        <r>
          <rPr>
            <b/>
            <sz val="10"/>
            <color indexed="81"/>
            <rFont val="MS P ゴシック"/>
            <family val="3"/>
            <charset val="128"/>
          </rPr>
          <t>(Select), department checklist, checklist of this style
(選択),部門チェックリスト,本様式のチェックリスト</t>
        </r>
      </text>
    </comment>
    <comment ref="V33" authorId="0" shapeId="0" xr:uid="{00000000-0006-0000-0000-000005000000}">
      <text>
        <r>
          <rPr>
            <b/>
            <sz val="10"/>
            <color indexed="81"/>
            <rFont val="MS P ゴシック"/>
            <family val="3"/>
            <charset val="128"/>
          </rPr>
          <t>(Select),Page,Line,Number
(選択),ページ,ライン,項目</t>
        </r>
      </text>
    </comment>
    <comment ref="W34" authorId="2" shapeId="0" xr:uid="{00000000-0006-0000-0000-000006000000}">
      <text>
        <r>
          <rPr>
            <b/>
            <sz val="10"/>
            <color indexed="81"/>
            <rFont val="MS P ゴシック"/>
            <family val="3"/>
            <charset val="128"/>
          </rPr>
          <t>Calculated from planned values of review indicators
レビュー指標の計画値から算出します</t>
        </r>
      </text>
    </comment>
    <comment ref="X34" authorId="2" shapeId="0" xr:uid="{00000000-0006-0000-0000-000007000000}">
      <text>
        <r>
          <rPr>
            <b/>
            <sz val="8"/>
            <color indexed="81"/>
            <rFont val="MS P ゴシック"/>
            <family val="3"/>
            <charset val="128"/>
          </rPr>
          <t xml:space="preserve">Calculated from the number of </t>
        </r>
        <r>
          <rPr>
            <b/>
            <sz val="10"/>
            <color indexed="81"/>
            <rFont val="MS P ゴシック"/>
            <family val="3"/>
            <charset val="128"/>
          </rPr>
          <t>problems pointed out in the indicated matter list
指摘事項一覧の指摘件数から算出します</t>
        </r>
      </text>
    </comment>
    <comment ref="Y34" authorId="2" shapeId="0" xr:uid="{00000000-0006-0000-0000-000008000000}">
      <text>
        <r>
          <rPr>
            <b/>
            <sz val="10"/>
            <color indexed="81"/>
            <rFont val="MS P ゴシック"/>
            <family val="3"/>
            <charset val="128"/>
          </rPr>
          <t>Calculated from planned values of review indicators
レビュー指標の計画値から算出します</t>
        </r>
      </text>
    </comment>
    <comment ref="C45" authorId="3" shapeId="0" xr:uid="{00000000-0006-0000-0000-000009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 ref="G47" authorId="0" shapeId="0" xr:uid="{00000000-0006-0000-0000-00000A000000}">
      <text>
        <r>
          <rPr>
            <b/>
            <sz val="10"/>
            <color indexed="81"/>
            <rFont val="MS P ゴシック"/>
            <family val="3"/>
            <charset val="128"/>
          </rPr>
          <t>(Select),Issue,Q&amp;A,proceedings
(選択),指摘,質疑応答,議事</t>
        </r>
      </text>
    </comment>
    <comment ref="O47" authorId="0" shapeId="0" xr:uid="{00000000-0006-0000-0000-00000B000000}">
      <text>
        <r>
          <rPr>
            <b/>
            <sz val="10"/>
            <color indexed="81"/>
            <rFont val="MS P ゴシック"/>
            <family val="3"/>
            <charset val="128"/>
          </rPr>
          <t>(Select),Defect,Risk,Problem,AI
(選択),工程内不具合,リスク,問題,AI</t>
        </r>
      </text>
    </comment>
    <comment ref="C96" authorId="3" shapeId="0" xr:uid="{00000000-0006-0000-0000-00000C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Binh Trong. Nguyen</author>
  </authors>
  <commentList>
    <comment ref="E11" authorId="0" shapeId="0" xr:uid="{00000000-0006-0000-0100-000001000000}">
      <text>
        <r>
          <rPr>
            <b/>
            <sz val="9"/>
            <color indexed="81"/>
            <rFont val="Tahoma"/>
            <family val="2"/>
          </rPr>
          <t>Binh Trong. Nguyen:</t>
        </r>
        <r>
          <rPr>
            <sz val="9"/>
            <color indexed="81"/>
            <rFont val="Tahoma"/>
            <family val="2"/>
          </rPr>
          <t xml:space="preserve">
High: must check
Medium: can omit (with reason)
Low: can omit (without reason)</t>
        </r>
      </text>
    </comment>
  </commentList>
</comments>
</file>

<file path=xl/sharedStrings.xml><?xml version="1.0" encoding="utf-8"?>
<sst xmlns="http://schemas.openxmlformats.org/spreadsheetml/2006/main" count="1235" uniqueCount="565">
  <si>
    <t>[RENESAS CONFIDENTIAL]</t>
    <phoneticPr fontId="5"/>
  </si>
  <si>
    <t xml:space="preserve">
</t>
  </si>
  <si>
    <t>(Select)</t>
  </si>
  <si>
    <t>No.</t>
    <phoneticPr fontId="5"/>
  </si>
  <si>
    <t>Peer Review Minutes</t>
  </si>
  <si>
    <t>Peer Review Checklist</t>
  </si>
  <si>
    <t>G21</t>
    <phoneticPr fontId="6"/>
  </si>
  <si>
    <t>Condition of review</t>
    <phoneticPr fontId="6"/>
  </si>
  <si>
    <r>
      <t>(This sheet corresponds to "Form 1 Peer Review Minutes" of RCT-JB5001-002.)(</t>
    </r>
    <r>
      <rPr>
        <sz val="8"/>
        <color rgb="FFFF0000"/>
        <rFont val="メイリオ"/>
        <family val="3"/>
        <charset val="128"/>
      </rPr>
      <t>本書は</t>
    </r>
    <r>
      <rPr>
        <sz val="8"/>
        <color rgb="FFFF0000"/>
        <rFont val="Arial"/>
        <family val="2"/>
      </rPr>
      <t>RCT-JB5001-002</t>
    </r>
    <r>
      <rPr>
        <sz val="8"/>
        <color rgb="FFFF0000"/>
        <rFont val="メイリオ"/>
        <family val="3"/>
        <charset val="128"/>
      </rPr>
      <t>の「様式</t>
    </r>
    <r>
      <rPr>
        <sz val="8"/>
        <color rgb="FFFF0000"/>
        <rFont val="Arial"/>
        <family val="2"/>
      </rPr>
      <t xml:space="preserve">1 </t>
    </r>
    <r>
      <rPr>
        <sz val="8"/>
        <color rgb="FFFF0000"/>
        <rFont val="メイリオ"/>
        <family val="3"/>
        <charset val="128"/>
      </rPr>
      <t>ピアレビュー議事録」に相当します</t>
    </r>
    <r>
      <rPr>
        <sz val="8"/>
        <color rgb="FFFF0000"/>
        <rFont val="Arial"/>
        <family val="2"/>
      </rPr>
      <t>)</t>
    </r>
    <phoneticPr fontId="6"/>
  </si>
  <si>
    <r>
      <t>The cells of this color are items added or changed as REL-SEPG template. /</t>
    </r>
    <r>
      <rPr>
        <sz val="10"/>
        <rFont val="メイリオ"/>
        <family val="3"/>
        <charset val="128"/>
      </rPr>
      <t>この色のセルは</t>
    </r>
    <r>
      <rPr>
        <sz val="10"/>
        <rFont val="Arial"/>
        <family val="2"/>
      </rPr>
      <t>REL-SEPG</t>
    </r>
    <r>
      <rPr>
        <sz val="10"/>
        <rFont val="メイリオ"/>
        <family val="3"/>
        <charset val="128"/>
      </rPr>
      <t>様式として追加</t>
    </r>
    <r>
      <rPr>
        <sz val="10"/>
        <rFont val="Arial"/>
        <family val="2"/>
      </rPr>
      <t>/</t>
    </r>
    <r>
      <rPr>
        <sz val="10"/>
        <rFont val="メイリオ"/>
        <family val="3"/>
        <charset val="128"/>
      </rPr>
      <t>変更された項目です</t>
    </r>
    <rPh sb="97" eb="99">
      <t>ヘンコウ</t>
    </rPh>
    <phoneticPr fontId="6"/>
  </si>
  <si>
    <r>
      <t>Inform to/</t>
    </r>
    <r>
      <rPr>
        <sz val="10"/>
        <rFont val="メイリオ"/>
        <family val="3"/>
        <charset val="128"/>
      </rPr>
      <t>通知先</t>
    </r>
    <phoneticPr fontId="5"/>
  </si>
  <si>
    <r>
      <t>Document name/</t>
    </r>
    <r>
      <rPr>
        <sz val="10"/>
        <rFont val="メイリオ"/>
        <family val="3"/>
        <charset val="128"/>
      </rPr>
      <t>文書名</t>
    </r>
    <rPh sb="14" eb="16">
      <t>ブンショ</t>
    </rPh>
    <rPh sb="16" eb="17">
      <t>メイ</t>
    </rPh>
    <phoneticPr fontId="5"/>
  </si>
  <si>
    <r>
      <t xml:space="preserve">Document number
</t>
    </r>
    <r>
      <rPr>
        <sz val="10"/>
        <color theme="1"/>
        <rFont val="メイリオ"/>
        <family val="3"/>
        <charset val="128"/>
      </rPr>
      <t>文書番号</t>
    </r>
    <rPh sb="16" eb="18">
      <t>ブンショ</t>
    </rPh>
    <rPh sb="18" eb="20">
      <t>バンゴウ</t>
    </rPh>
    <phoneticPr fontId="5"/>
  </si>
  <si>
    <r>
      <t>Peer Review Minutes/</t>
    </r>
    <r>
      <rPr>
        <b/>
        <sz val="16"/>
        <rFont val="メイリオ"/>
        <family val="3"/>
        <charset val="128"/>
      </rPr>
      <t>ピアレビュー議事録</t>
    </r>
    <phoneticPr fontId="6"/>
  </si>
  <si>
    <r>
      <t xml:space="preserve">Issue date
</t>
    </r>
    <r>
      <rPr>
        <sz val="10"/>
        <color theme="1"/>
        <rFont val="メイリオ"/>
        <family val="3"/>
        <charset val="128"/>
      </rPr>
      <t>発行日</t>
    </r>
    <rPh sb="11" eb="13">
      <t>ハッコウ</t>
    </rPh>
    <rPh sb="13" eb="14">
      <t>ビ</t>
    </rPh>
    <phoneticPr fontId="6"/>
  </si>
  <si>
    <r>
      <t>Process name/</t>
    </r>
    <r>
      <rPr>
        <sz val="10"/>
        <rFont val="メイリオ"/>
        <family val="3"/>
        <charset val="128"/>
      </rPr>
      <t>工程名</t>
    </r>
    <phoneticPr fontId="5"/>
  </si>
  <si>
    <r>
      <t xml:space="preserve">Company name
</t>
    </r>
    <r>
      <rPr>
        <sz val="10"/>
        <color theme="1"/>
        <rFont val="メイリオ"/>
        <family val="3"/>
        <charset val="128"/>
      </rPr>
      <t>会社名</t>
    </r>
    <rPh sb="13" eb="16">
      <t>カイシャメイ</t>
    </rPh>
    <phoneticPr fontId="5"/>
  </si>
  <si>
    <r>
      <t xml:space="preserve">Department name
</t>
    </r>
    <r>
      <rPr>
        <sz val="10"/>
        <color theme="1"/>
        <rFont val="メイリオ"/>
        <family val="3"/>
        <charset val="128"/>
      </rPr>
      <t>部門</t>
    </r>
    <rPh sb="16" eb="18">
      <t>ブモン</t>
    </rPh>
    <phoneticPr fontId="5"/>
  </si>
  <si>
    <r>
      <t>Project name/</t>
    </r>
    <r>
      <rPr>
        <sz val="10"/>
        <rFont val="メイリオ"/>
        <family val="3"/>
        <charset val="128"/>
      </rPr>
      <t>プロジェクト名</t>
    </r>
    <phoneticPr fontId="5"/>
  </si>
  <si>
    <r>
      <t xml:space="preserve">Approved by
</t>
    </r>
    <r>
      <rPr>
        <sz val="10"/>
        <color theme="1"/>
        <rFont val="メイリオ"/>
        <family val="3"/>
        <charset val="128"/>
      </rPr>
      <t>承認</t>
    </r>
    <r>
      <rPr>
        <sz val="10"/>
        <color theme="1"/>
        <rFont val="Arial"/>
        <family val="2"/>
      </rPr>
      <t>(PL)</t>
    </r>
    <phoneticPr fontId="5"/>
  </si>
  <si>
    <r>
      <t xml:space="preserve">Created by
</t>
    </r>
    <r>
      <rPr>
        <sz val="10"/>
        <color theme="1"/>
        <rFont val="メイリオ"/>
        <family val="3"/>
        <charset val="128"/>
      </rPr>
      <t>作成</t>
    </r>
    <phoneticPr fontId="5"/>
  </si>
  <si>
    <r>
      <t>Overview of the review/</t>
    </r>
    <r>
      <rPr>
        <sz val="10"/>
        <rFont val="メイリオ"/>
        <family val="3"/>
        <charset val="128"/>
      </rPr>
      <t>レビュー概要</t>
    </r>
    <rPh sb="27" eb="29">
      <t>ガイヨウ</t>
    </rPh>
    <phoneticPr fontId="5"/>
  </si>
  <si>
    <r>
      <t xml:space="preserve">Purpose (viewpoints)
</t>
    </r>
    <r>
      <rPr>
        <sz val="10"/>
        <rFont val="メイリオ"/>
        <family val="3"/>
        <charset val="128"/>
      </rPr>
      <t>目的（観点）</t>
    </r>
    <phoneticPr fontId="5"/>
  </si>
  <si>
    <r>
      <t>Type/</t>
    </r>
    <r>
      <rPr>
        <sz val="10"/>
        <rFont val="メイリオ"/>
        <family val="3"/>
        <charset val="128"/>
      </rPr>
      <t>種類</t>
    </r>
    <phoneticPr fontId="5"/>
  </si>
  <si>
    <r>
      <t xml:space="preserve">Peer review checklist
</t>
    </r>
    <r>
      <rPr>
        <sz val="10"/>
        <rFont val="メイリオ"/>
        <family val="3"/>
        <charset val="128"/>
      </rPr>
      <t>使用チェックリスト</t>
    </r>
    <phoneticPr fontId="5"/>
  </si>
  <si>
    <r>
      <t xml:space="preserve">Check list name
</t>
    </r>
    <r>
      <rPr>
        <sz val="10"/>
        <rFont val="メイリオ"/>
        <family val="3"/>
        <charset val="128"/>
      </rPr>
      <t>チェックリスト名</t>
    </r>
    <phoneticPr fontId="6"/>
  </si>
  <si>
    <r>
      <t>Review date, time and participants/</t>
    </r>
    <r>
      <rPr>
        <sz val="10"/>
        <rFont val="メイリオ"/>
        <family val="3"/>
        <charset val="128"/>
      </rPr>
      <t>実施日時・参加者</t>
    </r>
    <phoneticPr fontId="6"/>
  </si>
  <si>
    <r>
      <t xml:space="preserve">Participants
</t>
    </r>
    <r>
      <rPr>
        <sz val="10"/>
        <rFont val="メイリオ"/>
        <family val="3"/>
        <charset val="128"/>
      </rPr>
      <t>参加者</t>
    </r>
    <phoneticPr fontId="6"/>
  </si>
  <si>
    <r>
      <t xml:space="preserve">Moderator
</t>
    </r>
    <r>
      <rPr>
        <sz val="10"/>
        <rFont val="メイリオ"/>
        <family val="3"/>
        <charset val="128"/>
      </rPr>
      <t>運営担当者</t>
    </r>
    <rPh sb="10" eb="12">
      <t>ウンエイ</t>
    </rPh>
    <rPh sb="12" eb="15">
      <t>タントウシャ</t>
    </rPh>
    <phoneticPr fontId="5"/>
  </si>
  <si>
    <r>
      <t xml:space="preserve">Reviewer
</t>
    </r>
    <r>
      <rPr>
        <sz val="10"/>
        <rFont val="メイリオ"/>
        <family val="3"/>
        <charset val="128"/>
      </rPr>
      <t>レビューア</t>
    </r>
    <phoneticPr fontId="5"/>
  </si>
  <si>
    <r>
      <t xml:space="preserve">Meeting
</t>
    </r>
    <r>
      <rPr>
        <sz val="10"/>
        <rFont val="メイリオ"/>
        <family val="3"/>
        <charset val="128"/>
      </rPr>
      <t>ミーティング</t>
    </r>
    <phoneticPr fontId="5"/>
  </si>
  <si>
    <r>
      <t xml:space="preserve">Implementation
date
</t>
    </r>
    <r>
      <rPr>
        <sz val="10"/>
        <rFont val="メイリオ"/>
        <family val="3"/>
        <charset val="128"/>
      </rPr>
      <t>実施日</t>
    </r>
    <rPh sb="20" eb="23">
      <t>ジッシビ</t>
    </rPh>
    <phoneticPr fontId="5"/>
  </si>
  <si>
    <r>
      <t xml:space="preserve">Desk check
</t>
    </r>
    <r>
      <rPr>
        <sz val="10"/>
        <rFont val="メイリオ"/>
        <family val="3"/>
        <charset val="128"/>
      </rPr>
      <t>机上チェック</t>
    </r>
    <rPh sb="11" eb="13">
      <t>キジョウ</t>
    </rPh>
    <phoneticPr fontId="5"/>
  </si>
  <si>
    <r>
      <t xml:space="preserve">Start date
</t>
    </r>
    <r>
      <rPr>
        <sz val="10"/>
        <rFont val="メイリオ"/>
        <family val="3"/>
        <charset val="128"/>
      </rPr>
      <t>開始日</t>
    </r>
    <rPh sb="11" eb="14">
      <t>カイシビ</t>
    </rPh>
    <phoneticPr fontId="5"/>
  </si>
  <si>
    <r>
      <t>Review index/</t>
    </r>
    <r>
      <rPr>
        <sz val="10"/>
        <rFont val="メイリオ"/>
        <family val="3"/>
        <charset val="128"/>
      </rPr>
      <t>レビュー指標</t>
    </r>
    <phoneticPr fontId="6"/>
  </si>
  <si>
    <r>
      <t xml:space="preserve">Review index name
</t>
    </r>
    <r>
      <rPr>
        <sz val="10"/>
        <rFont val="メイリオ"/>
        <family val="3"/>
        <charset val="128"/>
      </rPr>
      <t>指標名</t>
    </r>
    <rPh sb="18" eb="20">
      <t>シヒョウ</t>
    </rPh>
    <rPh sb="20" eb="21">
      <t>メイ</t>
    </rPh>
    <phoneticPr fontId="6"/>
  </si>
  <si>
    <r>
      <t>Index value (planned)/</t>
    </r>
    <r>
      <rPr>
        <sz val="10"/>
        <rFont val="メイリオ"/>
        <family val="3"/>
        <charset val="128"/>
      </rPr>
      <t>指標値（計画値）</t>
    </r>
    <rPh sb="22" eb="24">
      <t>シヒョウ</t>
    </rPh>
    <rPh sb="24" eb="25">
      <t>チ</t>
    </rPh>
    <rPh sb="26" eb="28">
      <t>ケイカク</t>
    </rPh>
    <rPh sb="28" eb="29">
      <t>チ</t>
    </rPh>
    <phoneticPr fontId="6"/>
  </si>
  <si>
    <r>
      <t>Index value (actual)/</t>
    </r>
    <r>
      <rPr>
        <sz val="10"/>
        <rFont val="メイリオ"/>
        <family val="3"/>
        <charset val="128"/>
      </rPr>
      <t>指標値（実績値）</t>
    </r>
    <rPh sb="21" eb="23">
      <t>シヒョウ</t>
    </rPh>
    <rPh sb="23" eb="24">
      <t>チ</t>
    </rPh>
    <rPh sb="27" eb="28">
      <t>チ</t>
    </rPh>
    <phoneticPr fontId="6"/>
  </si>
  <si>
    <r>
      <t>Page/</t>
    </r>
    <r>
      <rPr>
        <sz val="10"/>
        <rFont val="メイリオ"/>
        <family val="3"/>
        <charset val="128"/>
      </rPr>
      <t>ページ</t>
    </r>
    <r>
      <rPr>
        <sz val="10"/>
        <rFont val="Arial"/>
        <family val="2"/>
      </rPr>
      <t xml:space="preserve"> </t>
    </r>
    <phoneticPr fontId="6"/>
  </si>
  <si>
    <r>
      <t>Line/</t>
    </r>
    <r>
      <rPr>
        <sz val="10"/>
        <rFont val="メイリオ"/>
        <family val="3"/>
        <charset val="128"/>
      </rPr>
      <t>ライン</t>
    </r>
    <phoneticPr fontId="6"/>
  </si>
  <si>
    <r>
      <t>Number of test item/</t>
    </r>
    <r>
      <rPr>
        <sz val="10"/>
        <rFont val="メイリオ"/>
        <family val="3"/>
        <charset val="128"/>
      </rPr>
      <t>テスト項目数</t>
    </r>
    <rPh sb="25" eb="26">
      <t>スウ</t>
    </rPh>
    <phoneticPr fontId="6"/>
  </si>
  <si>
    <r>
      <t xml:space="preserve">Review issue density
</t>
    </r>
    <r>
      <rPr>
        <sz val="10"/>
        <rFont val="メイリオ"/>
        <family val="3"/>
        <charset val="128"/>
      </rPr>
      <t>レビュー指摘密度</t>
    </r>
    <rPh sb="25" eb="27">
      <t>シテキ</t>
    </rPh>
    <rPh sb="27" eb="29">
      <t>ミツド</t>
    </rPh>
    <phoneticPr fontId="5"/>
  </si>
  <si>
    <r>
      <t xml:space="preserve">Review speed
</t>
    </r>
    <r>
      <rPr>
        <sz val="10"/>
        <rFont val="メイリオ"/>
        <family val="3"/>
        <charset val="128"/>
      </rPr>
      <t>レビュー速度</t>
    </r>
    <rPh sb="17" eb="19">
      <t>ソクド</t>
    </rPh>
    <phoneticPr fontId="5"/>
  </si>
  <si>
    <r>
      <t>Review objects/</t>
    </r>
    <r>
      <rPr>
        <sz val="10"/>
        <rFont val="メイリオ"/>
        <family val="3"/>
        <charset val="128"/>
      </rPr>
      <t>レビュー対象物</t>
    </r>
    <rPh sb="19" eb="22">
      <t>タイショウブツ</t>
    </rPh>
    <phoneticPr fontId="5"/>
  </si>
  <si>
    <r>
      <t xml:space="preserve">Objects
ID
</t>
    </r>
    <r>
      <rPr>
        <sz val="10"/>
        <rFont val="メイリオ"/>
        <family val="3"/>
        <charset val="128"/>
      </rPr>
      <t xml:space="preserve">対象物
</t>
    </r>
    <r>
      <rPr>
        <sz val="10"/>
        <rFont val="Arial"/>
        <family val="2"/>
      </rPr>
      <t>ID</t>
    </r>
    <phoneticPr fontId="5"/>
  </si>
  <si>
    <r>
      <t>Name/</t>
    </r>
    <r>
      <rPr>
        <sz val="10"/>
        <rFont val="メイリオ"/>
        <family val="3"/>
        <charset val="128"/>
      </rPr>
      <t>名称</t>
    </r>
    <rPh sb="5" eb="7">
      <t>メイショウ</t>
    </rPh>
    <phoneticPr fontId="5"/>
  </si>
  <si>
    <r>
      <t>File name/</t>
    </r>
    <r>
      <rPr>
        <sz val="10"/>
        <rFont val="メイリオ"/>
        <family val="3"/>
        <charset val="128"/>
      </rPr>
      <t>ファイル名</t>
    </r>
    <phoneticPr fontId="5"/>
  </si>
  <si>
    <r>
      <t>Version/</t>
    </r>
    <r>
      <rPr>
        <sz val="10"/>
        <rFont val="メイリオ"/>
        <family val="3"/>
        <charset val="128"/>
      </rPr>
      <t>バージョン</t>
    </r>
    <phoneticPr fontId="5"/>
  </si>
  <si>
    <r>
      <t xml:space="preserve">Target scale of review
</t>
    </r>
    <r>
      <rPr>
        <sz val="10"/>
        <rFont val="メイリオ"/>
        <family val="3"/>
        <charset val="128"/>
      </rPr>
      <t>レビュー量</t>
    </r>
    <rPh sb="27" eb="28">
      <t>リョウ</t>
    </rPh>
    <phoneticPr fontId="5"/>
  </si>
  <si>
    <r>
      <t xml:space="preserve">Unit
</t>
    </r>
    <r>
      <rPr>
        <sz val="10"/>
        <rFont val="メイリオ"/>
        <family val="3"/>
        <charset val="128"/>
      </rPr>
      <t>単位</t>
    </r>
    <rPh sb="5" eb="7">
      <t>タンイ</t>
    </rPh>
    <phoneticPr fontId="6"/>
  </si>
  <si>
    <r>
      <t xml:space="preserve">Number of review issues
</t>
    </r>
    <r>
      <rPr>
        <sz val="10"/>
        <rFont val="メイリオ"/>
        <family val="3"/>
        <charset val="128"/>
      </rPr>
      <t>指摘件数</t>
    </r>
    <phoneticPr fontId="6"/>
  </si>
  <si>
    <r>
      <t xml:space="preserve">Review duration
</t>
    </r>
    <r>
      <rPr>
        <sz val="10"/>
        <rFont val="メイリオ"/>
        <family val="3"/>
        <charset val="128"/>
      </rPr>
      <t>レビュー時間</t>
    </r>
    <phoneticPr fontId="6"/>
  </si>
  <si>
    <r>
      <rPr>
        <sz val="10"/>
        <rFont val="メイリオ"/>
        <family val="3"/>
        <charset val="128"/>
      </rPr>
      <t>統括</t>
    </r>
    <rPh sb="0" eb="2">
      <t>トウカツ</t>
    </rPh>
    <phoneticPr fontId="6"/>
  </si>
  <si>
    <r>
      <t xml:space="preserve">Target value
</t>
    </r>
    <r>
      <rPr>
        <sz val="10"/>
        <rFont val="メイリオ"/>
        <family val="3"/>
        <charset val="128"/>
      </rPr>
      <t>予定</t>
    </r>
    <phoneticPr fontId="6"/>
  </si>
  <si>
    <r>
      <t xml:space="preserve">Performance value
</t>
    </r>
    <r>
      <rPr>
        <sz val="10"/>
        <rFont val="メイリオ"/>
        <family val="3"/>
        <charset val="128"/>
      </rPr>
      <t>実績</t>
    </r>
    <phoneticPr fontId="6"/>
  </si>
  <si>
    <r>
      <t>List of Issues/</t>
    </r>
    <r>
      <rPr>
        <sz val="10"/>
        <rFont val="メイリオ"/>
        <family val="3"/>
        <charset val="128"/>
      </rPr>
      <t>指摘事項一覧</t>
    </r>
    <rPh sb="15" eb="17">
      <t>シテキ</t>
    </rPh>
    <rPh sb="17" eb="19">
      <t>ジコウ</t>
    </rPh>
    <rPh sb="19" eb="21">
      <t>イチラン</t>
    </rPh>
    <phoneticPr fontId="5"/>
  </si>
  <si>
    <r>
      <t xml:space="preserve">Location of issue
</t>
    </r>
    <r>
      <rPr>
        <sz val="10"/>
        <rFont val="メイリオ"/>
        <family val="3"/>
        <charset val="128"/>
      </rPr>
      <t>指摘箇所</t>
    </r>
    <rPh sb="18" eb="20">
      <t>シテキ</t>
    </rPh>
    <rPh sb="20" eb="22">
      <t>カショ</t>
    </rPh>
    <phoneticPr fontId="5"/>
  </si>
  <si>
    <r>
      <t xml:space="preserve">Detected by
</t>
    </r>
    <r>
      <rPr>
        <sz val="10"/>
        <rFont val="メイリオ"/>
        <family val="3"/>
        <charset val="128"/>
      </rPr>
      <t>指摘者</t>
    </r>
    <rPh sb="12" eb="14">
      <t>シテキ</t>
    </rPh>
    <rPh sb="14" eb="15">
      <t>シャ</t>
    </rPh>
    <phoneticPr fontId="5"/>
  </si>
  <si>
    <r>
      <t xml:space="preserve">Content classification
</t>
    </r>
    <r>
      <rPr>
        <sz val="10"/>
        <rFont val="メイリオ"/>
        <family val="3"/>
        <charset val="128"/>
      </rPr>
      <t>内容分類</t>
    </r>
    <rPh sb="23" eb="25">
      <t>ナイヨウ</t>
    </rPh>
    <rPh sb="25" eb="27">
      <t>ブンルイ</t>
    </rPh>
    <phoneticPr fontId="5"/>
  </si>
  <si>
    <r>
      <t xml:space="preserve">Contents of indication / contents of question and answer
</t>
    </r>
    <r>
      <rPr>
        <sz val="10"/>
        <rFont val="メイリオ"/>
        <family val="3"/>
        <charset val="128"/>
      </rPr>
      <t>指摘の内容</t>
    </r>
    <r>
      <rPr>
        <sz val="10"/>
        <rFont val="Arial"/>
        <family val="2"/>
      </rPr>
      <t>/</t>
    </r>
    <r>
      <rPr>
        <sz val="10"/>
        <rFont val="メイリオ"/>
        <family val="3"/>
        <charset val="128"/>
      </rPr>
      <t>質疑の内容</t>
    </r>
    <rPh sb="57" eb="59">
      <t>シテキ</t>
    </rPh>
    <rPh sb="60" eb="62">
      <t>ナイヨウ</t>
    </rPh>
    <rPh sb="63" eb="65">
      <t>シツギ</t>
    </rPh>
    <rPh sb="66" eb="68">
      <t>ナイヨウ</t>
    </rPh>
    <phoneticPr fontId="5"/>
  </si>
  <si>
    <r>
      <t xml:space="preserve">Issue classification
</t>
    </r>
    <r>
      <rPr>
        <sz val="10"/>
        <rFont val="メイリオ"/>
        <family val="3"/>
        <charset val="128"/>
      </rPr>
      <t>指摘分類</t>
    </r>
    <rPh sb="23" eb="25">
      <t>ブンルイ</t>
    </rPh>
    <phoneticPr fontId="5"/>
  </si>
  <si>
    <r>
      <t xml:space="preserve">Processed by
</t>
    </r>
    <r>
      <rPr>
        <sz val="10"/>
        <rFont val="メイリオ"/>
        <family val="3"/>
        <charset val="128"/>
      </rPr>
      <t>対応者</t>
    </r>
    <phoneticPr fontId="5"/>
  </si>
  <si>
    <r>
      <t xml:space="preserve">Deadline
</t>
    </r>
    <r>
      <rPr>
        <sz val="10"/>
        <rFont val="メイリオ"/>
        <family val="3"/>
        <charset val="128"/>
      </rPr>
      <t>対応期限</t>
    </r>
    <rPh sb="9" eb="11">
      <t>タイオウ</t>
    </rPh>
    <rPh sb="11" eb="13">
      <t>キゲン</t>
    </rPh>
    <phoneticPr fontId="5"/>
  </si>
  <si>
    <r>
      <t xml:space="preserve">Correspondence contents / response of question and answer
(In case of transfer, transfer destination and management number)
</t>
    </r>
    <r>
      <rPr>
        <sz val="10"/>
        <rFont val="メイリオ"/>
        <family val="3"/>
        <charset val="128"/>
      </rPr>
      <t>対応内容</t>
    </r>
    <r>
      <rPr>
        <sz val="10"/>
        <rFont val="Arial"/>
        <family val="2"/>
      </rPr>
      <t>/</t>
    </r>
    <r>
      <rPr>
        <sz val="10"/>
        <rFont val="メイリオ"/>
        <family val="3"/>
        <charset val="128"/>
      </rPr>
      <t>質疑の応答
（移管の場合は移管先と管理番号）</t>
    </r>
    <rPh sb="124" eb="126">
      <t>タイオウ</t>
    </rPh>
    <rPh sb="126" eb="128">
      <t>ナイヨウ</t>
    </rPh>
    <rPh sb="136" eb="138">
      <t>イカン</t>
    </rPh>
    <rPh sb="139" eb="141">
      <t>バアイ</t>
    </rPh>
    <rPh sb="142" eb="144">
      <t>イカン</t>
    </rPh>
    <rPh sb="144" eb="145">
      <t>サキ</t>
    </rPh>
    <rPh sb="146" eb="148">
      <t>カンリ</t>
    </rPh>
    <rPh sb="148" eb="150">
      <t>バンゴウ</t>
    </rPh>
    <phoneticPr fontId="5"/>
  </si>
  <si>
    <r>
      <t xml:space="preserve">Verified by
</t>
    </r>
    <r>
      <rPr>
        <sz val="10"/>
        <rFont val="メイリオ"/>
        <family val="3"/>
        <charset val="128"/>
      </rPr>
      <t>対応
確認者</t>
    </r>
    <rPh sb="12" eb="14">
      <t>タイオウ</t>
    </rPh>
    <rPh sb="15" eb="17">
      <t>カクニン</t>
    </rPh>
    <rPh sb="17" eb="18">
      <t>シャ</t>
    </rPh>
    <phoneticPr fontId="6"/>
  </si>
  <si>
    <r>
      <t xml:space="preserve">Verification date
</t>
    </r>
    <r>
      <rPr>
        <sz val="10"/>
        <rFont val="メイリオ"/>
        <family val="3"/>
        <charset val="128"/>
      </rPr>
      <t>対応
確認日</t>
    </r>
    <rPh sb="18" eb="20">
      <t>タイオウ</t>
    </rPh>
    <rPh sb="21" eb="23">
      <t>カクニン</t>
    </rPh>
    <rPh sb="23" eb="24">
      <t>ビ</t>
    </rPh>
    <phoneticPr fontId="6"/>
  </si>
  <si>
    <r>
      <t xml:space="preserve">Object 
ID
</t>
    </r>
    <r>
      <rPr>
        <sz val="10"/>
        <rFont val="メイリオ"/>
        <family val="3"/>
        <charset val="128"/>
      </rPr>
      <t xml:space="preserve">対象物
</t>
    </r>
    <r>
      <rPr>
        <sz val="10"/>
        <rFont val="Arial"/>
        <family val="2"/>
      </rPr>
      <t>ID</t>
    </r>
    <rPh sb="11" eb="13">
      <t>タイショウ</t>
    </rPh>
    <rPh sb="13" eb="14">
      <t>ブツ</t>
    </rPh>
    <phoneticPr fontId="5"/>
  </si>
  <si>
    <r>
      <t xml:space="preserve">Location
</t>
    </r>
    <r>
      <rPr>
        <sz val="10"/>
        <rFont val="メイリオ"/>
        <family val="3"/>
        <charset val="128"/>
      </rPr>
      <t>位置</t>
    </r>
    <rPh sb="9" eb="11">
      <t>イチ</t>
    </rPh>
    <phoneticPr fontId="5"/>
  </si>
  <si>
    <r>
      <t>Whether to conduct the review again/</t>
    </r>
    <r>
      <rPr>
        <sz val="10"/>
        <rFont val="メイリオ"/>
        <family val="3"/>
        <charset val="128"/>
      </rPr>
      <t>再レビュー実施判定</t>
    </r>
    <phoneticPr fontId="5"/>
  </si>
  <si>
    <r>
      <t xml:space="preserve">Result of the determination
</t>
    </r>
    <r>
      <rPr>
        <sz val="10"/>
        <rFont val="メイリオ"/>
        <family val="3"/>
        <charset val="128"/>
      </rPr>
      <t>判定</t>
    </r>
    <rPh sb="28" eb="30">
      <t>ハンテイ</t>
    </rPh>
    <phoneticPr fontId="5"/>
  </si>
  <si>
    <r>
      <t>Notes/</t>
    </r>
    <r>
      <rPr>
        <sz val="10"/>
        <rFont val="メイリオ"/>
        <family val="3"/>
        <charset val="128"/>
      </rPr>
      <t>備考</t>
    </r>
    <rPh sb="6" eb="8">
      <t>ビコウ</t>
    </rPh>
    <phoneticPr fontId="6"/>
  </si>
  <si>
    <t>-</t>
  </si>
  <si>
    <t>Guide</t>
  </si>
  <si>
    <r>
      <rPr>
        <sz val="10"/>
        <color theme="1"/>
        <rFont val="メイリオ"/>
        <family val="3"/>
        <charset val="128"/>
      </rPr>
      <t>列</t>
    </r>
    <r>
      <rPr>
        <sz val="10"/>
        <color theme="1"/>
        <rFont val="Arial"/>
        <family val="2"/>
      </rPr>
      <t>1</t>
    </r>
  </si>
  <si>
    <r>
      <rPr>
        <sz val="10"/>
        <color theme="1"/>
        <rFont val="メイリオ"/>
        <family val="3"/>
        <charset val="128"/>
      </rPr>
      <t>列</t>
    </r>
    <r>
      <rPr>
        <sz val="10"/>
        <color theme="1"/>
        <rFont val="Arial"/>
        <family val="2"/>
      </rPr>
      <t>2</t>
    </r>
  </si>
  <si>
    <r>
      <rPr>
        <sz val="10"/>
        <color theme="1"/>
        <rFont val="メイリオ"/>
        <family val="3"/>
        <charset val="128"/>
      </rPr>
      <t>列</t>
    </r>
    <r>
      <rPr>
        <sz val="10"/>
        <color theme="1"/>
        <rFont val="Arial"/>
        <family val="2"/>
      </rPr>
      <t>3</t>
    </r>
  </si>
  <si>
    <r>
      <rPr>
        <sz val="10"/>
        <color theme="1"/>
        <rFont val="メイリオ"/>
        <family val="3"/>
        <charset val="128"/>
      </rPr>
      <t>列</t>
    </r>
    <r>
      <rPr>
        <sz val="10"/>
        <color theme="1"/>
        <rFont val="Arial"/>
        <family val="2"/>
      </rPr>
      <t>4</t>
    </r>
  </si>
  <si>
    <r>
      <rPr>
        <sz val="10"/>
        <color theme="1"/>
        <rFont val="メイリオ"/>
        <family val="3"/>
        <charset val="128"/>
      </rPr>
      <t>列</t>
    </r>
    <r>
      <rPr>
        <sz val="10"/>
        <color theme="1"/>
        <rFont val="Arial"/>
        <family val="2"/>
      </rPr>
      <t>5</t>
    </r>
  </si>
  <si>
    <r>
      <rPr>
        <sz val="10"/>
        <color theme="1"/>
        <rFont val="メイリオ"/>
        <family val="3"/>
        <charset val="128"/>
      </rPr>
      <t>列</t>
    </r>
    <r>
      <rPr>
        <sz val="10"/>
        <color theme="1"/>
        <rFont val="Arial"/>
        <family val="2"/>
      </rPr>
      <t>6</t>
    </r>
  </si>
  <si>
    <r>
      <rPr>
        <sz val="10"/>
        <color theme="1"/>
        <rFont val="メイリオ"/>
        <family val="3"/>
        <charset val="128"/>
      </rPr>
      <t>列</t>
    </r>
    <r>
      <rPr>
        <sz val="10"/>
        <color theme="1"/>
        <rFont val="Arial"/>
        <family val="2"/>
      </rPr>
      <t>42</t>
    </r>
  </si>
  <si>
    <r>
      <rPr>
        <sz val="10"/>
        <color theme="1"/>
        <rFont val="メイリオ"/>
        <family val="3"/>
        <charset val="128"/>
      </rPr>
      <t>列</t>
    </r>
    <r>
      <rPr>
        <sz val="10"/>
        <color theme="1"/>
        <rFont val="Arial"/>
        <family val="2"/>
      </rPr>
      <t>52</t>
    </r>
  </si>
  <si>
    <r>
      <rPr>
        <sz val="10"/>
        <color theme="1"/>
        <rFont val="メイリオ"/>
        <family val="3"/>
        <charset val="128"/>
      </rPr>
      <t>列</t>
    </r>
    <r>
      <rPr>
        <sz val="10"/>
        <color theme="1"/>
        <rFont val="Arial"/>
        <family val="2"/>
      </rPr>
      <t>62</t>
    </r>
  </si>
  <si>
    <t>Guide_Off</t>
  </si>
  <si>
    <t>Pass-around</t>
  </si>
  <si>
    <t>Renesas Design Vietnam Co., Ltd. (RVC)</t>
  </si>
  <si>
    <t>1st review</t>
  </si>
  <si>
    <t>use department checklist</t>
  </si>
  <si>
    <r>
      <t xml:space="preserve">End date
</t>
    </r>
    <r>
      <rPr>
        <sz val="10"/>
        <rFont val="メイリオ"/>
        <family val="3"/>
        <charset val="128"/>
      </rPr>
      <t>終了日</t>
    </r>
  </si>
  <si>
    <r>
      <t xml:space="preserve">Participants
number
</t>
    </r>
    <r>
      <rPr>
        <sz val="10"/>
        <rFont val="メイリオ"/>
        <family val="3"/>
        <charset val="128"/>
      </rPr>
      <t>チェック
人数</t>
    </r>
  </si>
  <si>
    <r>
      <t xml:space="preserve">Total duration
</t>
    </r>
    <r>
      <rPr>
        <sz val="10"/>
        <rFont val="メイリオ"/>
        <family val="3"/>
        <charset val="128"/>
      </rPr>
      <t>チェック
時間合計</t>
    </r>
  </si>
  <si>
    <t>N/A</t>
  </si>
  <si>
    <t>Page</t>
  </si>
  <si>
    <r>
      <t xml:space="preserve">Recorder
</t>
    </r>
    <r>
      <rPr>
        <sz val="10"/>
        <rFont val="メイリオ"/>
        <family val="3"/>
        <charset val="128"/>
      </rPr>
      <t>記録係</t>
    </r>
  </si>
  <si>
    <r>
      <t xml:space="preserve">Presenter
</t>
    </r>
    <r>
      <rPr>
        <sz val="10"/>
        <rFont val="メイリオ"/>
        <family val="3"/>
        <charset val="128"/>
      </rPr>
      <t>説明者</t>
    </r>
  </si>
  <si>
    <r>
      <t xml:space="preserve">Author
</t>
    </r>
    <r>
      <rPr>
        <sz val="10"/>
        <rFont val="メイリオ"/>
        <family val="3"/>
        <charset val="128"/>
      </rPr>
      <t>作成者</t>
    </r>
  </si>
  <si>
    <r>
      <t xml:space="preserve">Start time
</t>
    </r>
    <r>
      <rPr>
        <sz val="10"/>
        <rFont val="メイリオ"/>
        <family val="3"/>
        <charset val="128"/>
      </rPr>
      <t>開始時刻</t>
    </r>
  </si>
  <si>
    <r>
      <t xml:space="preserve">End time
</t>
    </r>
    <r>
      <rPr>
        <sz val="10"/>
        <rFont val="メイリオ"/>
        <family val="3"/>
        <charset val="128"/>
      </rPr>
      <t>終了時刻</t>
    </r>
  </si>
  <si>
    <r>
      <t xml:space="preserve">Participants
number
</t>
    </r>
    <r>
      <rPr>
        <sz val="10"/>
        <rFont val="メイリオ"/>
        <family val="3"/>
        <charset val="128"/>
      </rPr>
      <t>ミーティング
人数</t>
    </r>
  </si>
  <si>
    <r>
      <t xml:space="preserve">Venue
</t>
    </r>
    <r>
      <rPr>
        <sz val="10"/>
        <rFont val="メイリオ"/>
        <family val="3"/>
        <charset val="128"/>
      </rPr>
      <t>実施
場所</t>
    </r>
  </si>
  <si>
    <t>Verification Specifications (VRF/VRF-01) Review Checklist</t>
  </si>
  <si>
    <t>This checklist is a collection of points requiring attention in review of  Verification Specifications (VRF/VRF-01).</t>
  </si>
  <si>
    <t>Priority</t>
  </si>
  <si>
    <t>Test Specification (VRF)</t>
  </si>
  <si>
    <t>Information of created day, created person's name, checked person's name, approved person's name are specified</t>
  </si>
  <si>
    <t>High</t>
  </si>
  <si>
    <t>Document name, version number of document must be confirmed</t>
  </si>
  <si>
    <t>New/Modified/Deleted content must be described in Revision History table</t>
  </si>
  <si>
    <t>Materials list used when creating test specifications is specified clearly</t>
  </si>
  <si>
    <t>Simulation mode (AT, LT) is specified</t>
  </si>
  <si>
    <t>Have test environment with version number</t>
  </si>
  <si>
    <t>11</t>
  </si>
  <si>
    <t>Should use link/cross-reference for Figure/Table number in Revision History</t>
  </si>
  <si>
    <t>12</t>
  </si>
  <si>
    <t>"Environment Structure" section should be described in common document, separate from model's VRF</t>
  </si>
  <si>
    <t>Low</t>
  </si>
  <si>
    <t>13</t>
  </si>
  <si>
    <t>Test Items Specification (VRF-01)</t>
  </si>
  <si>
    <t>Sheet names must be confirmed</t>
  </si>
  <si>
    <t>Model name, version number of document must be confirmed</t>
  </si>
  <si>
    <t>New/Modified/Deleted content must be highlight</t>
  </si>
  <si>
    <t>Have table to record cross checking between test pattern and section in Design Specification</t>
  </si>
  <si>
    <t>Have table to record cross checking between model features and other specifications such as Detail Requirement, Design Specification, Test Items Specification to ensure all model features must be implemented and tested</t>
  </si>
  <si>
    <t>Test plan (man-hour, period, digestion curve of the test items, plans for such as bug curve, etc.) is clearly defined</t>
  </si>
  <si>
    <t>Formula in all sheets must be confirmed</t>
  </si>
  <si>
    <t>Message table must matched with message table in the Design Specification</t>
  </si>
  <si>
    <t>Actual test pass date must be recored with reasonable date</t>
  </si>
  <si>
    <t>All items in "Check" column of INT sheet must be "O" or "-"</t>
  </si>
  <si>
    <t>Module name in all sheets (if exist) must be correct</t>
  </si>
  <si>
    <t>Detail information of bugs during test period must be described in the detail (all fields should be filled with correct info)</t>
  </si>
  <si>
    <t>"Message" sheet: each message should list corresonding TMs in which the message is output</t>
  </si>
  <si>
    <t>Check initialized value of all ports, registers at beginning of operation (after construction)</t>
  </si>
  <si>
    <t>Medium</t>
  </si>
  <si>
    <t>If model use or refer some extended payload, have test all extended payload which model use</t>
  </si>
  <si>
    <t>Test multicore if model is used by multicore
(For example, this case is that model use peid or spid.)</t>
  </si>
  <si>
    <t>Check any change in the previous design process for each design process.</t>
  </si>
  <si>
    <t>If model have counter register, test counter value in debug mode (read-debug access)</t>
  </si>
  <si>
    <t>Related Document Checklist</t>
  </si>
  <si>
    <t>Detail requirement (REQ)</t>
  </si>
  <si>
    <t>Verification specification (VRF)</t>
  </si>
  <si>
    <t>* "Pre-Check" and "Check" column: Enter Accepted/Not accepted/NA and no. of issues pointed out.</t>
  </si>
  <si>
    <t>Unit test process</t>
  </si>
  <si>
    <t>Verification Specs Checklist</t>
  </si>
  <si>
    <t>Accepted</t>
  </si>
  <si>
    <t>There is no recommended clock frequency mentioned in HWM</t>
  </si>
  <si>
    <t>There is no specific parameter in this model</t>
  </si>
  <si>
    <t>There is no counter register in this model.</t>
  </si>
  <si>
    <t>1. General checkpoints</t>
  </si>
  <si>
    <t>Test block diagram must be drawed, each component in this block diagram must be described in detail</t>
  </si>
  <si>
    <t>Test steps are specified clearly</t>
  </si>
  <si>
    <t>Test condition (machines, tools, libraries) must be confirmed with version number</t>
  </si>
  <si>
    <t>Test criteria (code coverage, function coverage, etc.) are specified</t>
  </si>
  <si>
    <t>There is no separated document for Environment Sructure, so it can put inside VRF.</t>
  </si>
  <si>
    <t>1</t>
  </si>
  <si>
    <t>2</t>
  </si>
  <si>
    <t>All source code files should be got coverage completely</t>
  </si>
  <si>
    <t>Have the required columns such as "No of category", "What to check", "How to check", "Expected result", "Test pattern name", "Num of items", "Checked by", "Checking plan date", "Confimred actual date", "Update history", "Related HWUM chapter", "Related INT chapter"</t>
  </si>
  <si>
    <t>All settings (bit, register, input ports,…) must be checked with min/max/abnormal values</t>
  </si>
  <si>
    <t>If the model has the operation which is different between normal access and debug acccess, test this operation by debug access.</t>
  </si>
  <si>
    <t>The fulfill of test category must be confirmed when the VRF-01 progress is 50%.</t>
  </si>
  <si>
    <t>2. Parameter checkpoints</t>
  </si>
  <si>
    <t>Create TMs to verify the min/max/abnormal values of all parameters (range of input’s value: e.g. range of API parameter, range of input ports' value, range of register bitfield's value, range of configuration parameter e.g. INTC1_CHANNEL_NUM, etc.)</t>
  </si>
  <si>
    <t>Create TMs to verify the functions which is affected by changing parameters</t>
  </si>
  <si>
    <t>Test configuration parameter if model use it</t>
  </si>
  <si>
    <t>Remove because of duplication 2.1.</t>
  </si>
  <si>
    <t>3. HWUM-related checkpoints</t>
  </si>
  <si>
    <t>Create TMs to verify descriptions of IP running in HWUM</t>
  </si>
  <si>
    <t>Added or corrected TMs as the updated part of HWUM</t>
  </si>
  <si>
    <t>If there are any example settings as the supplementary explanation in HW specification, Test patterns for the confirmation of the example settings at least</t>
  </si>
  <si>
    <t>4. Clock checkpoints</t>
  </si>
  <si>
    <t>Recommended clock frequency (mentioned in HWUM) should be checked</t>
  </si>
  <si>
    <t>If the model has more than 1 clock port, test not only their same value of frequency but also their different value (non-zero) of frequency</t>
  </si>
  <si>
    <r>
      <t xml:space="preserve">For each feature, </t>
    </r>
    <r>
      <rPr>
        <b/>
        <sz val="10"/>
        <rFont val="Arial"/>
        <family val="2"/>
      </rPr>
      <t>run feature partly/incompletely</t>
    </r>
    <r>
      <rPr>
        <sz val="10"/>
        <rFont val="Arial"/>
        <family val="2"/>
      </rPr>
      <t xml:space="preserve"> -&gt; set clock to zero -&gt; set clock to non-zero-&gt; </t>
    </r>
    <r>
      <rPr>
        <b/>
        <sz val="10"/>
        <rFont val="Arial"/>
        <family val="2"/>
      </rPr>
      <t>run feature partly/incompletely</t>
    </r>
  </si>
  <si>
    <r>
      <t xml:space="preserve">For each feature, </t>
    </r>
    <r>
      <rPr>
        <b/>
        <sz val="10"/>
        <rFont val="Arial"/>
        <family val="2"/>
      </rPr>
      <t>run feature partly/incompletely</t>
    </r>
    <r>
      <rPr>
        <sz val="10"/>
        <rFont val="Arial"/>
        <family val="2"/>
      </rPr>
      <t xml:space="preserve"> -&gt; set clock to zero -&gt; </t>
    </r>
    <r>
      <rPr>
        <b/>
        <sz val="10"/>
        <rFont val="Arial"/>
        <family val="2"/>
      </rPr>
      <t>retain feature check &amp; cannot run feature</t>
    </r>
    <r>
      <rPr>
        <sz val="10"/>
        <rFont val="Arial"/>
        <family val="2"/>
      </rPr>
      <t xml:space="preserve"> -&gt; set clock to non-zero -&gt; </t>
    </r>
    <r>
      <rPr>
        <b/>
        <sz val="10"/>
        <rFont val="Arial"/>
        <family val="2"/>
      </rPr>
      <t xml:space="preserve">run feature partly/incompletely
</t>
    </r>
    <r>
      <rPr>
        <u/>
        <sz val="10"/>
        <rFont val="Arial"/>
        <family val="2"/>
      </rPr>
      <t>Note:</t>
    </r>
    <r>
      <rPr>
        <b/>
        <sz val="10"/>
        <rFont val="Arial"/>
        <family val="2"/>
      </rPr>
      <t xml:space="preserve"> retain feature check: </t>
    </r>
    <r>
      <rPr>
        <sz val="10"/>
        <rFont val="Arial"/>
        <family val="2"/>
      </rPr>
      <t>check counter value is retained, interrupt port is retained, register is retained, etc.</t>
    </r>
  </si>
  <si>
    <t>5. Reset checkpoints</t>
  </si>
  <si>
    <t>Use and test member variable resetPort of BusBridgeModuleBase if the model inherits BusBridgeModuleBase</t>
  </si>
  <si>
    <r>
      <t xml:space="preserve">For each feature, </t>
    </r>
    <r>
      <rPr>
        <b/>
        <sz val="10"/>
        <rFont val="Arial"/>
        <family val="2"/>
      </rPr>
      <t>run feature partly/incompletely</t>
    </r>
    <r>
      <rPr>
        <sz val="10"/>
        <rFont val="Arial"/>
        <family val="2"/>
      </rPr>
      <t xml:space="preserve"> -&gt; assert reset -&gt; de-assert reset -&gt; </t>
    </r>
    <r>
      <rPr>
        <b/>
        <sz val="10"/>
        <rFont val="Arial"/>
        <family val="2"/>
      </rPr>
      <t>run feature partly/incompletely</t>
    </r>
  </si>
  <si>
    <r>
      <t xml:space="preserve">For each feature, </t>
    </r>
    <r>
      <rPr>
        <b/>
        <sz val="10"/>
        <rFont val="Arial"/>
        <family val="2"/>
      </rPr>
      <t xml:space="preserve">run feature partly/incompletely </t>
    </r>
    <r>
      <rPr>
        <sz val="10"/>
        <rFont val="Arial"/>
        <family val="2"/>
      </rPr>
      <t xml:space="preserve">-&gt; assert reset -&gt; </t>
    </r>
    <r>
      <rPr>
        <b/>
        <sz val="10"/>
        <rFont val="Arial"/>
        <family val="2"/>
      </rPr>
      <t>reset feature check &amp; cannot run feature</t>
    </r>
    <r>
      <rPr>
        <sz val="10"/>
        <rFont val="Arial"/>
        <family val="2"/>
      </rPr>
      <t xml:space="preserve"> -&gt; de-assert reset -&gt; </t>
    </r>
    <r>
      <rPr>
        <b/>
        <sz val="10"/>
        <rFont val="Arial"/>
        <family val="2"/>
      </rPr>
      <t xml:space="preserve">run feature partly/incompletely
</t>
    </r>
    <r>
      <rPr>
        <u/>
        <sz val="10"/>
        <rFont val="Arial"/>
        <family val="2"/>
      </rPr>
      <t>Note:</t>
    </r>
    <r>
      <rPr>
        <sz val="10"/>
        <rFont val="Arial"/>
        <family val="2"/>
      </rPr>
      <t xml:space="preserve"> </t>
    </r>
    <r>
      <rPr>
        <b/>
        <sz val="10"/>
        <rFont val="Arial"/>
        <family val="2"/>
      </rPr>
      <t>reset feature check:</t>
    </r>
    <r>
      <rPr>
        <sz val="10"/>
        <rFont val="Arial"/>
        <family val="2"/>
      </rPr>
      <t xml:space="preserve"> check counter value is initialized, interrupt port is de-asserted, register is initialized, etc.</t>
    </r>
  </si>
  <si>
    <t>6. Specific model checkpoints</t>
  </si>
  <si>
    <t>6.1. Counter model</t>
  </si>
  <si>
    <t>6.2. Communication model</t>
  </si>
  <si>
    <t>[RENESAS CONFIDEINTIAL]</t>
    <phoneticPr fontId="6"/>
  </si>
  <si>
    <t>WordAPP</t>
    <phoneticPr fontId="6"/>
  </si>
  <si>
    <t>HyperLink</t>
    <phoneticPr fontId="6"/>
  </si>
  <si>
    <t>REL-SEPG-PRM20190801</t>
    <phoneticPr fontId="8"/>
  </si>
  <si>
    <r>
      <rPr>
        <sz val="11"/>
        <color theme="1"/>
        <rFont val="メイリオ"/>
        <family val="3"/>
        <charset val="128"/>
      </rPr>
      <t>ピアレビュー議事録</t>
    </r>
  </si>
  <si>
    <t xml:space="preserve">.txt , .c , .h </t>
    <phoneticPr fontId="8"/>
  </si>
  <si>
    <t>.bmp , .jpg , .gif</t>
    <phoneticPr fontId="8"/>
  </si>
  <si>
    <r>
      <rPr>
        <b/>
        <sz val="11"/>
        <color theme="1"/>
        <rFont val="メイリオ"/>
        <family val="3"/>
        <charset val="128"/>
      </rPr>
      <t>【</t>
    </r>
    <r>
      <rPr>
        <b/>
        <sz val="11"/>
        <color theme="1"/>
        <rFont val="Arial"/>
        <family val="2"/>
      </rPr>
      <t>Revision history</t>
    </r>
    <r>
      <rPr>
        <b/>
        <sz val="11"/>
        <color theme="1"/>
        <rFont val="メイリオ"/>
        <family val="3"/>
        <charset val="128"/>
      </rPr>
      <t>】</t>
    </r>
  </si>
  <si>
    <t>The template revision history describes the change contents of the template itself.</t>
    <phoneticPr fontId="7"/>
  </si>
  <si>
    <t xml:space="preserve">     GuideCheck:20191101</t>
    <phoneticPr fontId="8"/>
  </si>
  <si>
    <t xml:space="preserve">
Revision
</t>
    <phoneticPr fontId="6"/>
  </si>
  <si>
    <t>Description of change</t>
    <phoneticPr fontId="6"/>
  </si>
  <si>
    <t>Approver</t>
    <phoneticPr fontId="6"/>
  </si>
  <si>
    <t>Author</t>
    <phoneticPr fontId="6"/>
  </si>
  <si>
    <t>REL-SEPG20180521</t>
    <phoneticPr fontId="7"/>
  </si>
  <si>
    <r>
      <rPr>
        <sz val="10"/>
        <color theme="1"/>
        <rFont val="メイリオ"/>
        <family val="3"/>
        <charset val="128"/>
      </rPr>
      <t xml:space="preserve">初版
</t>
    </r>
  </si>
  <si>
    <t>K. Takahashi
May 21, 2018</t>
    <phoneticPr fontId="11"/>
  </si>
  <si>
    <t>S. Masukawa
May 21, 2018</t>
    <phoneticPr fontId="11"/>
  </si>
  <si>
    <t>Initial release</t>
    <phoneticPr fontId="11"/>
  </si>
  <si>
    <t>REL-SEPG-PRM20180820</t>
    <phoneticPr fontId="11"/>
  </si>
  <si>
    <r>
      <t>- SEPG</t>
    </r>
    <r>
      <rPr>
        <sz val="10"/>
        <color theme="1"/>
        <rFont val="メイリオ"/>
        <family val="3"/>
        <charset val="128"/>
      </rPr>
      <t xml:space="preserve">作成の項目のセル色を変更した。
</t>
    </r>
    <r>
      <rPr>
        <sz val="10"/>
        <color theme="1"/>
        <rFont val="Arial"/>
        <family val="2"/>
      </rPr>
      <t xml:space="preserve">- </t>
    </r>
    <r>
      <rPr>
        <sz val="10"/>
        <color theme="1"/>
        <rFont val="メイリオ"/>
        <family val="3"/>
        <charset val="128"/>
      </rPr>
      <t xml:space="preserve">表紙にプロジェクト番号を追加した。
</t>
    </r>
    <r>
      <rPr>
        <sz val="10"/>
        <color theme="1"/>
        <rFont val="Arial"/>
        <family val="2"/>
      </rPr>
      <t xml:space="preserve">- </t>
    </r>
    <r>
      <rPr>
        <sz val="10"/>
        <color theme="1"/>
        <rFont val="メイリオ"/>
        <family val="3"/>
        <charset val="128"/>
      </rPr>
      <t>「</t>
    </r>
    <r>
      <rPr>
        <sz val="10"/>
        <color theme="1"/>
        <rFont val="Arial"/>
        <family val="2"/>
      </rPr>
      <t>RENESAS CONFIDENTIAL</t>
    </r>
    <r>
      <rPr>
        <sz val="10"/>
        <color theme="1"/>
        <rFont val="メイリオ"/>
        <family val="3"/>
        <charset val="128"/>
      </rPr>
      <t>」とリビジョンの表記を</t>
    </r>
    <r>
      <rPr>
        <sz val="10"/>
        <color theme="1"/>
        <rFont val="Arial"/>
        <family val="2"/>
      </rPr>
      <t>SEPG</t>
    </r>
    <r>
      <rPr>
        <sz val="10"/>
        <color theme="1"/>
        <rFont val="メイリオ"/>
        <family val="3"/>
        <charset val="128"/>
      </rPr>
      <t xml:space="preserve">様式の統一表記にした。
</t>
    </r>
    <r>
      <rPr>
        <sz val="10"/>
        <color theme="1"/>
        <rFont val="Arial"/>
        <family val="2"/>
      </rPr>
      <t xml:space="preserve">- </t>
    </r>
    <r>
      <rPr>
        <sz val="10"/>
        <color theme="1"/>
        <rFont val="メイリオ"/>
        <family val="3"/>
        <charset val="128"/>
      </rPr>
      <t xml:space="preserve">他のセルとリンクしている場合、セルコメントにどのシートのセルにリンクしているかを記載した。
</t>
    </r>
    <r>
      <rPr>
        <sz val="10"/>
        <color theme="1"/>
        <rFont val="Arial"/>
        <family val="2"/>
      </rPr>
      <t xml:space="preserve">- </t>
    </r>
    <r>
      <rPr>
        <sz val="10"/>
        <color theme="1"/>
        <rFont val="メイリオ"/>
        <family val="3"/>
        <charset val="128"/>
      </rPr>
      <t xml:space="preserve">日付の書式を統一した。
</t>
    </r>
    <r>
      <rPr>
        <sz val="10"/>
        <color theme="1"/>
        <rFont val="Arial"/>
        <family val="2"/>
      </rPr>
      <t xml:space="preserve">- </t>
    </r>
    <r>
      <rPr>
        <sz val="10"/>
        <color theme="1"/>
        <rFont val="メイリオ"/>
        <family val="3"/>
        <charset val="128"/>
      </rPr>
      <t xml:space="preserve">「使用チェックリスト」項目を「部門チェックリスト」と「本様式のチェックリスト」を選択できる方式に変更した。
</t>
    </r>
    <r>
      <rPr>
        <sz val="10"/>
        <color theme="1"/>
        <rFont val="Arial"/>
        <family val="2"/>
      </rPr>
      <t xml:space="preserve">- </t>
    </r>
    <r>
      <rPr>
        <sz val="10"/>
        <color theme="1"/>
        <rFont val="メイリオ"/>
        <family val="3"/>
        <charset val="128"/>
      </rPr>
      <t xml:space="preserve">「工程名」項目をリスト選択方式に変更した。
</t>
    </r>
    <r>
      <rPr>
        <sz val="10"/>
        <color theme="1"/>
        <rFont val="Arial"/>
        <family val="2"/>
      </rPr>
      <t xml:space="preserve">- </t>
    </r>
    <r>
      <rPr>
        <sz val="10"/>
        <color theme="1"/>
        <rFont val="メイリオ"/>
        <family val="3"/>
        <charset val="128"/>
      </rPr>
      <t xml:space="preserve">「指標値」項目を「指標値（計画値）」に変更した。
</t>
    </r>
    <r>
      <rPr>
        <sz val="10"/>
        <color theme="1"/>
        <rFont val="Arial"/>
        <family val="2"/>
      </rPr>
      <t xml:space="preserve">- </t>
    </r>
    <r>
      <rPr>
        <sz val="10"/>
        <color theme="1"/>
        <rFont val="メイリオ"/>
        <family val="3"/>
        <charset val="128"/>
      </rPr>
      <t xml:space="preserve">レビュー対象物の説明を修正した。
</t>
    </r>
    <r>
      <rPr>
        <sz val="10"/>
        <color theme="1"/>
        <rFont val="Arial"/>
        <family val="2"/>
      </rPr>
      <t xml:space="preserve">- </t>
    </r>
    <r>
      <rPr>
        <sz val="10"/>
        <color theme="1"/>
        <rFont val="メイリオ"/>
        <family val="3"/>
        <charset val="128"/>
      </rPr>
      <t>「指摘の内容</t>
    </r>
    <r>
      <rPr>
        <sz val="10"/>
        <color theme="1"/>
        <rFont val="Arial"/>
        <family val="2"/>
      </rPr>
      <t>/</t>
    </r>
    <r>
      <rPr>
        <sz val="10"/>
        <color theme="1"/>
        <rFont val="メイリオ"/>
        <family val="3"/>
        <charset val="128"/>
      </rPr>
      <t>質疑応答の内容」項目を「指摘の内容</t>
    </r>
    <r>
      <rPr>
        <sz val="10"/>
        <color theme="1"/>
        <rFont val="Arial"/>
        <family val="2"/>
      </rPr>
      <t>/</t>
    </r>
    <r>
      <rPr>
        <sz val="10"/>
        <color theme="1"/>
        <rFont val="メイリオ"/>
        <family val="3"/>
        <charset val="128"/>
      </rPr>
      <t xml:space="preserve">質疑の内容」に変更した。
</t>
    </r>
    <r>
      <rPr>
        <sz val="10"/>
        <color theme="1"/>
        <rFont val="Arial"/>
        <family val="2"/>
      </rPr>
      <t xml:space="preserve">- </t>
    </r>
    <r>
      <rPr>
        <sz val="10"/>
        <color theme="1"/>
        <rFont val="メイリオ"/>
        <family val="3"/>
        <charset val="128"/>
      </rPr>
      <t>「対応内容」項目を「対応の内容</t>
    </r>
    <r>
      <rPr>
        <sz val="10"/>
        <color theme="1"/>
        <rFont val="Arial"/>
        <family val="2"/>
      </rPr>
      <t>/</t>
    </r>
    <r>
      <rPr>
        <sz val="10"/>
        <color theme="1"/>
        <rFont val="メイリオ"/>
        <family val="3"/>
        <charset val="128"/>
      </rPr>
      <t xml:space="preserve">質疑の応答」に変更した。
</t>
    </r>
    <r>
      <rPr>
        <sz val="10"/>
        <color theme="1"/>
        <rFont val="Arial"/>
        <family val="2"/>
      </rPr>
      <t xml:space="preserve">- </t>
    </r>
    <r>
      <rPr>
        <sz val="10"/>
        <color theme="1"/>
        <rFont val="メイリオ"/>
        <family val="3"/>
        <charset val="128"/>
      </rPr>
      <t xml:space="preserve">指摘項目一覧のセルサイズを調整した。
</t>
    </r>
    <r>
      <rPr>
        <sz val="10"/>
        <color theme="1"/>
        <rFont val="Arial"/>
        <family val="2"/>
      </rPr>
      <t xml:space="preserve">- </t>
    </r>
    <r>
      <rPr>
        <sz val="10"/>
        <color theme="1"/>
        <rFont val="メイリオ"/>
        <family val="3"/>
        <charset val="128"/>
      </rPr>
      <t xml:space="preserve">「実施日時・参加者」の説明を修正した。
</t>
    </r>
    <r>
      <rPr>
        <sz val="10"/>
        <color theme="1"/>
        <rFont val="Arial"/>
        <family val="2"/>
      </rPr>
      <t xml:space="preserve">- </t>
    </r>
    <r>
      <rPr>
        <sz val="10"/>
        <color theme="1"/>
        <rFont val="メイリオ"/>
        <family val="3"/>
        <charset val="128"/>
      </rPr>
      <t xml:space="preserve">レビュー対象物の表に記載する「指摘件数」の実績値を自動計算に変更した。
</t>
    </r>
    <r>
      <rPr>
        <sz val="10"/>
        <color theme="1"/>
        <rFont val="Arial"/>
        <family val="2"/>
      </rPr>
      <t xml:space="preserve">- </t>
    </r>
    <r>
      <rPr>
        <sz val="10"/>
        <color theme="1"/>
        <rFont val="メイリオ"/>
        <family val="3"/>
        <charset val="128"/>
      </rPr>
      <t xml:space="preserve">レビュー指標の表に各指標の実績値を記載する欄を追加した。
</t>
    </r>
    <r>
      <rPr>
        <sz val="10"/>
        <color theme="1"/>
        <rFont val="Arial"/>
        <family val="2"/>
      </rPr>
      <t xml:space="preserve">- </t>
    </r>
    <r>
      <rPr>
        <sz val="10"/>
        <color theme="1"/>
        <rFont val="メイリオ"/>
        <family val="3"/>
        <charset val="128"/>
      </rPr>
      <t xml:space="preserve">レビュー対象物の表についての説明を修正した。
</t>
    </r>
    <r>
      <rPr>
        <sz val="10"/>
        <color theme="1"/>
        <rFont val="Arial"/>
        <family val="2"/>
      </rPr>
      <t xml:space="preserve">- </t>
    </r>
    <r>
      <rPr>
        <sz val="10"/>
        <color theme="1"/>
        <rFont val="メイリオ"/>
        <family val="3"/>
        <charset val="128"/>
      </rPr>
      <t xml:space="preserve">ピアレビューチェックリストの項目をレビューする工程に合わせて確認対象外を自動でグレー表示にするようにした。
</t>
    </r>
    <r>
      <rPr>
        <sz val="10"/>
        <color theme="1"/>
        <rFont val="Arial"/>
        <family val="2"/>
      </rPr>
      <t xml:space="preserve">- </t>
    </r>
    <r>
      <rPr>
        <sz val="10"/>
        <color theme="1"/>
        <rFont val="メイリオ"/>
        <family val="3"/>
        <charset val="128"/>
      </rPr>
      <t>「対応内容</t>
    </r>
    <r>
      <rPr>
        <sz val="10"/>
        <color theme="1"/>
        <rFont val="Arial"/>
        <family val="2"/>
      </rPr>
      <t>/</t>
    </r>
    <r>
      <rPr>
        <sz val="10"/>
        <color theme="1"/>
        <rFont val="メイリオ"/>
        <family val="3"/>
        <charset val="128"/>
      </rPr>
      <t>質疑の応答」のセル設定を「縮小表示」から「折り返して表示」に変更した。</t>
    </r>
  </si>
  <si>
    <t>K. Takahashi
Aug. 20, 2018</t>
    <phoneticPr fontId="11"/>
  </si>
  <si>
    <t>S. Masukawa
Aug. 20, 2018</t>
    <phoneticPr fontId="11"/>
  </si>
  <si>
    <t>- Changed the cell color of items created by SEPG.
- Project number added to cover page.
- The notation of "RENESAS CONFIDENTIAL" and the revision was made into a unified representation of SEPG templates style.
- When linking with another cell, it is described which sheet cell is linked to cell comment.
- Unified format of dates.
- Changed the "checklist to use" item to a method that allows you to select "department checklist" and "checklist of this template".
- Changed "process name" item to list selection method.
- The "index value" item was changed to "index value (planned value)".
- Modified the description of the review subject.
- "Contents of indication Contents of question-and-answer of contents" was changed to "Contents of indication/Contents of question and answer."
- Changed "correspondence contents" item to "content of correspondence/response of questioning".
- Adjusted the cell size of "pointed out item list".
- Revised the explanation of "implementation date/participant".
- The actual value of "Number of points to be pointed out" described in "Table of review subjects" was changed to automatic calculation.
- A column for describing the actual value of each indicator was added to the "table of review indicators".
- Revised the description of "Table of Review Objects".
- Items not checked according to the process of reviewing the items of the peer review checklist are automatically grayed out.
- Changed the cell setting of "Response / Q &amp; A response" from "Reduced display" to "Wrapped display".</t>
    <phoneticPr fontId="11"/>
  </si>
  <si>
    <t>REL-SEPG-PRM20181101</t>
    <phoneticPr fontId="8"/>
  </si>
  <si>
    <r>
      <t xml:space="preserve">- </t>
    </r>
    <r>
      <rPr>
        <sz val="10"/>
        <color theme="1"/>
        <rFont val="メイリオ"/>
        <family val="3"/>
        <charset val="128"/>
      </rPr>
      <t>英語表記を追加した。</t>
    </r>
  </si>
  <si>
    <t>T. Aoyagi
Oct. 30, 2018</t>
    <phoneticPr fontId="8"/>
  </si>
  <si>
    <t>M. Nakamura
K. Takahashi
Oct. 1, 2018</t>
    <phoneticPr fontId="8"/>
  </si>
  <si>
    <t>- English description added.</t>
    <phoneticPr fontId="8"/>
  </si>
  <si>
    <t>REL-SEPG-PRM20181113</t>
    <phoneticPr fontId="8"/>
  </si>
  <si>
    <r>
      <t xml:space="preserve">- </t>
    </r>
    <r>
      <rPr>
        <sz val="10"/>
        <color theme="1"/>
        <rFont val="メイリオ"/>
        <family val="3"/>
        <charset val="128"/>
      </rPr>
      <t>英文翻訳の間違いを修正した。</t>
    </r>
  </si>
  <si>
    <t>T. Aoyagi
Nov. 9, 2018</t>
    <phoneticPr fontId="8"/>
  </si>
  <si>
    <t>K. Takahashi
Nov. 9, 2018</t>
    <phoneticPr fontId="8"/>
  </si>
  <si>
    <t>- Fixed a mistake in English translation.</t>
    <phoneticPr fontId="8"/>
  </si>
  <si>
    <t>REL-SEPG-PRM20181204</t>
    <phoneticPr fontId="8"/>
  </si>
  <si>
    <r>
      <t xml:space="preserve">- </t>
    </r>
    <r>
      <rPr>
        <sz val="10"/>
        <color theme="1"/>
        <rFont val="メイリオ"/>
        <family val="3"/>
        <charset val="128"/>
      </rPr>
      <t>レビュー時間の予定を計算する式が間違っていたため修正した</t>
    </r>
  </si>
  <si>
    <t>T. Aoyagi
Dec. 4, 2018</t>
    <phoneticPr fontId="8"/>
  </si>
  <si>
    <t>K. Takahashi
Dec. 4, 2018</t>
    <phoneticPr fontId="8"/>
  </si>
  <si>
    <t>- Fixed because the formula to compute the review duration target value was wrong.</t>
    <phoneticPr fontId="8"/>
  </si>
  <si>
    <t>REL-SEPG-PRM20190228</t>
    <phoneticPr fontId="8"/>
  </si>
  <si>
    <r>
      <t>-</t>
    </r>
    <r>
      <rPr>
        <sz val="10"/>
        <color theme="1"/>
        <rFont val="メイリオ"/>
        <family val="3"/>
        <charset val="128"/>
      </rPr>
      <t>開発プロセス支援ガイド</t>
    </r>
    <r>
      <rPr>
        <sz val="10"/>
        <color theme="1"/>
        <rFont val="Arial"/>
        <family val="2"/>
      </rPr>
      <t>_</t>
    </r>
    <r>
      <rPr>
        <sz val="10"/>
        <color theme="1"/>
        <rFont val="メイリオ"/>
        <family val="3"/>
        <charset val="128"/>
      </rPr>
      <t>標準類作成</t>
    </r>
    <r>
      <rPr>
        <sz val="10"/>
        <color theme="1"/>
        <rFont val="Arial"/>
        <family val="2"/>
      </rPr>
      <t>FAQ</t>
    </r>
    <r>
      <rPr>
        <sz val="10"/>
        <color theme="1"/>
        <rFont val="メイリオ"/>
        <family val="3"/>
        <charset val="128"/>
      </rPr>
      <t>の情報及びマクロを追加</t>
    </r>
  </si>
  <si>
    <t>T. Aoyagi
Feb. 28, 2019</t>
    <phoneticPr fontId="8"/>
  </si>
  <si>
    <t>T. Hino
Feb. 28, 2019</t>
    <phoneticPr fontId="8"/>
  </si>
  <si>
    <t>-Added sheet and macro of  standard template item FAQ.</t>
    <phoneticPr fontId="8"/>
  </si>
  <si>
    <t>REL-SEPG-PRM20190507</t>
    <phoneticPr fontId="8"/>
  </si>
  <si>
    <r>
      <t xml:space="preserve">- </t>
    </r>
    <r>
      <rPr>
        <sz val="9"/>
        <rFont val="メイリオ"/>
        <family val="3"/>
        <charset val="128"/>
      </rPr>
      <t>様式内の説明を</t>
    </r>
    <r>
      <rPr>
        <sz val="9"/>
        <rFont val="Arial"/>
        <family val="2"/>
      </rPr>
      <t>HELP</t>
    </r>
    <r>
      <rPr>
        <sz val="9"/>
        <rFont val="メイリオ"/>
        <family val="3"/>
        <charset val="128"/>
      </rPr>
      <t>ウィンドウに統合、およびガイド内容の充実</t>
    </r>
    <r>
      <rPr>
        <sz val="9"/>
        <rFont val="Arial"/>
        <family val="3"/>
      </rPr>
      <t xml:space="preserve">
</t>
    </r>
    <r>
      <rPr>
        <sz val="9"/>
        <rFont val="Arial"/>
        <family val="2"/>
      </rPr>
      <t>- 1st</t>
    </r>
    <r>
      <rPr>
        <sz val="9"/>
        <rFont val="メイリオ"/>
        <family val="3"/>
        <charset val="128"/>
      </rPr>
      <t>レビューと再レビューの選択欄を追加</t>
    </r>
    <r>
      <rPr>
        <sz val="9"/>
        <rFont val="Arial"/>
        <family val="3"/>
      </rPr>
      <t xml:space="preserve">
</t>
    </r>
    <r>
      <rPr>
        <sz val="9"/>
        <rFont val="Arial"/>
        <family val="2"/>
      </rPr>
      <t xml:space="preserve">- </t>
    </r>
    <r>
      <rPr>
        <sz val="9"/>
        <rFont val="メイリオ"/>
        <family val="3"/>
        <charset val="128"/>
      </rPr>
      <t>レビュー種別でインスペクションまたはチームレビュー選択時に机上チェックの時間などが記入できるように変更</t>
    </r>
    <r>
      <rPr>
        <sz val="9"/>
        <rFont val="Arial"/>
        <family val="2"/>
      </rPr>
      <t xml:space="preserve">
- </t>
    </r>
    <r>
      <rPr>
        <sz val="9"/>
        <rFont val="メイリオ"/>
        <family val="3"/>
        <charset val="128"/>
      </rPr>
      <t>ピアレビューチェックリストの</t>
    </r>
    <r>
      <rPr>
        <sz val="9"/>
        <rFont val="Arial"/>
        <family val="2"/>
      </rPr>
      <t>PP, RD</t>
    </r>
    <r>
      <rPr>
        <sz val="9"/>
        <rFont val="メイリオ"/>
        <family val="3"/>
        <charset val="128"/>
      </rPr>
      <t>工程のチェック内容、および各工程のトレーサビリティチェック内容の見直し</t>
    </r>
  </si>
  <si>
    <t>T. Aoyagi
Apr. 26, 2019</t>
    <phoneticPr fontId="8"/>
  </si>
  <si>
    <t>T. Hino
Apr. 26, 2019</t>
    <phoneticPr fontId="8"/>
  </si>
  <si>
    <t>- Integrated the explanation in the template into the HELP window, and the guide content has been enriched.
- Added a selection field for 1st review or re-review.
- When selecting inspection or team in review type, changed it to be able to enter the time of desk check etc.
- In the Peer Review Checklist, changed the check contents of PP and RD processes and the check contents regarding traceability of each process.</t>
    <phoneticPr fontId="8"/>
  </si>
  <si>
    <t>-RCT-JB5001 Rev.8の様式に対応
-グローバル化のための工程名変更
-指摘件数合計欄とレビュー時間合計欄を追加
-拡張リンクモード機能（マクロ）を追加</t>
    <rPh sb="48" eb="49">
      <t>ラン</t>
    </rPh>
    <rPh sb="58" eb="59">
      <t>ラン</t>
    </rPh>
    <rPh sb="60" eb="62">
      <t>ツイカ</t>
    </rPh>
    <rPh sb="64" eb="66">
      <t>カクチョウ</t>
    </rPh>
    <rPh sb="72" eb="74">
      <t>キノウ</t>
    </rPh>
    <rPh sb="80" eb="82">
      <t>ツイカ</t>
    </rPh>
    <phoneticPr fontId="8"/>
  </si>
  <si>
    <t>T. Aoyagi
Jul. 31, 2019</t>
    <phoneticPr fontId="8"/>
  </si>
  <si>
    <t>T. Hino
Jul. 31, 2019</t>
    <phoneticPr fontId="8"/>
  </si>
  <si>
    <t>-Compatible with RCT-JB5001 Rev.8 form
-Process name changed
-Add field: Total mumber of review issues and total review duration by unit. 
-Add External Linkmode function (Excel macro).</t>
    <phoneticPr fontId="8"/>
  </si>
  <si>
    <t>REL-SEPG-PRM20190801
R1911</t>
    <phoneticPr fontId="8"/>
  </si>
  <si>
    <t>-拡張リンクモード機能（マクロ）の機能追加: Word excel powerpointファイルのコメント取込に対応</t>
    <rPh sb="1" eb="3">
      <t>カクチョウ</t>
    </rPh>
    <rPh sb="9" eb="11">
      <t>キノウ</t>
    </rPh>
    <rPh sb="17" eb="19">
      <t>キノウ</t>
    </rPh>
    <rPh sb="19" eb="21">
      <t>ツイカ</t>
    </rPh>
    <rPh sb="53" eb="55">
      <t>トリコミ</t>
    </rPh>
    <rPh sb="56" eb="58">
      <t>タイオウ</t>
    </rPh>
    <phoneticPr fontId="8"/>
  </si>
  <si>
    <t>T. Aoyagi
Oct. 31, 2019</t>
    <phoneticPr fontId="8"/>
  </si>
  <si>
    <t>T. Hino
Oct. 31, 2019</t>
    <phoneticPr fontId="8"/>
  </si>
  <si>
    <t>-Added function of external Link mode function(Excel macro): Import comment data of word ,excel and powerpoint file.</t>
    <phoneticPr fontId="8"/>
  </si>
  <si>
    <t>This is not communication type model</t>
  </si>
  <si>
    <t>tp03_*</t>
  </si>
  <si>
    <t>tp01_*</t>
  </si>
  <si>
    <t>Core Software</t>
  </si>
  <si>
    <t xml:space="preserve">Renesas Design Vietnam Co., Ltd.
Software Engineering Division
Core Software Department
Core Software 1 Section
RH850 Modeling Group
</t>
  </si>
  <si>
    <r>
      <t>Project number/</t>
    </r>
    <r>
      <rPr>
        <sz val="10"/>
        <rFont val="メイリオ"/>
        <family val="3"/>
        <charset val="128"/>
      </rPr>
      <t>プロジェクト番号</t>
    </r>
  </si>
  <si>
    <t xml:space="preserve">tp03_*, </t>
  </si>
  <si>
    <t>U2B</t>
  </si>
  <si>
    <r>
      <t>NO.
(20190902</t>
    </r>
    <r>
      <rPr>
        <u/>
        <sz val="10"/>
        <color theme="10"/>
        <rFont val="メイリオ"/>
        <family val="3"/>
        <charset val="128"/>
      </rPr>
      <t>版</t>
    </r>
    <r>
      <rPr>
        <u/>
        <sz val="10"/>
        <color theme="10"/>
        <rFont val="Arial"/>
        <family val="2"/>
      </rPr>
      <t>)</t>
    </r>
  </si>
  <si>
    <r>
      <rPr>
        <sz val="10"/>
        <color theme="1"/>
        <rFont val="メイリオ"/>
        <family val="3"/>
        <charset val="128"/>
      </rPr>
      <t>ワークシート名</t>
    </r>
  </si>
  <si>
    <r>
      <rPr>
        <sz val="10"/>
        <color theme="1"/>
        <rFont val="メイリオ"/>
        <family val="3"/>
        <charset val="128"/>
      </rPr>
      <t>位置</t>
    </r>
  </si>
  <si>
    <r>
      <rPr>
        <sz val="10"/>
        <color theme="1"/>
        <rFont val="メイリオ"/>
        <family val="3"/>
        <charset val="128"/>
      </rPr>
      <t>問題定義（指摘内容）</t>
    </r>
  </si>
  <si>
    <r>
      <rPr>
        <sz val="10"/>
        <color theme="1"/>
        <rFont val="メイリオ"/>
        <family val="3"/>
        <charset val="128"/>
      </rPr>
      <t>対処方法</t>
    </r>
  </si>
  <si>
    <r>
      <rPr>
        <sz val="10"/>
        <color theme="1"/>
        <rFont val="メイリオ"/>
        <family val="3"/>
        <charset val="128"/>
      </rPr>
      <t>関連先</t>
    </r>
  </si>
  <si>
    <r>
      <rPr>
        <sz val="10"/>
        <color theme="1"/>
        <rFont val="メイリオ"/>
        <family val="3"/>
        <charset val="128"/>
      </rPr>
      <t>問題定義（指摘内容）</t>
    </r>
    <r>
      <rPr>
        <sz val="10"/>
        <color theme="1"/>
        <rFont val="Arial"/>
        <family val="2"/>
      </rPr>
      <t>_</t>
    </r>
    <r>
      <rPr>
        <sz val="10"/>
        <color theme="1"/>
        <rFont val="メイリオ"/>
        <family val="3"/>
        <charset val="128"/>
      </rPr>
      <t>英語版</t>
    </r>
  </si>
  <si>
    <r>
      <rPr>
        <sz val="10"/>
        <color theme="1"/>
        <rFont val="メイリオ"/>
        <family val="3"/>
        <charset val="128"/>
      </rPr>
      <t>対処方法</t>
    </r>
    <r>
      <rPr>
        <sz val="10"/>
        <color theme="1"/>
        <rFont val="Arial"/>
        <family val="2"/>
      </rPr>
      <t>_</t>
    </r>
    <r>
      <rPr>
        <sz val="10"/>
        <color theme="1"/>
        <rFont val="メイリオ"/>
        <family val="3"/>
        <charset val="128"/>
      </rPr>
      <t>英語版</t>
    </r>
  </si>
  <si>
    <r>
      <rPr>
        <sz val="10"/>
        <color theme="1"/>
        <rFont val="メイリオ"/>
        <family val="3"/>
        <charset val="128"/>
      </rPr>
      <t>関連先</t>
    </r>
    <r>
      <rPr>
        <sz val="10"/>
        <color theme="1"/>
        <rFont val="Arial"/>
        <family val="2"/>
      </rPr>
      <t>_</t>
    </r>
    <r>
      <rPr>
        <sz val="10"/>
        <color theme="1"/>
        <rFont val="メイリオ"/>
        <family val="3"/>
        <charset val="128"/>
      </rPr>
      <t>英語版</t>
    </r>
  </si>
  <si>
    <t>Offset</t>
    <phoneticPr fontId="6"/>
  </si>
  <si>
    <t>C46</t>
    <phoneticPr fontId="6"/>
  </si>
  <si>
    <t>List of Issues/</t>
    <phoneticPr fontId="7"/>
  </si>
  <si>
    <r>
      <t>(</t>
    </r>
    <r>
      <rPr>
        <sz val="10"/>
        <color theme="1"/>
        <rFont val="メイリオ"/>
        <family val="3"/>
        <charset val="128"/>
      </rPr>
      <t>記入不要</t>
    </r>
    <r>
      <rPr>
        <sz val="10"/>
        <color theme="1"/>
        <rFont val="Arial"/>
        <family val="2"/>
      </rPr>
      <t>)</t>
    </r>
  </si>
  <si>
    <t>C100</t>
    <phoneticPr fontId="6"/>
  </si>
  <si>
    <t>Whether to conduct the review again/</t>
    <phoneticPr fontId="7"/>
  </si>
  <si>
    <t>C105</t>
    <phoneticPr fontId="6"/>
  </si>
  <si>
    <t>(FinalLine)</t>
    <phoneticPr fontId="6"/>
  </si>
  <si>
    <t>C180</t>
    <phoneticPr fontId="6"/>
  </si>
  <si>
    <t>C4</t>
    <phoneticPr fontId="6"/>
  </si>
  <si>
    <r>
      <rPr>
        <sz val="10"/>
        <rFont val="メイリオ"/>
        <family val="3"/>
        <charset val="128"/>
      </rPr>
      <t>本文書の発行を通知する宛先を記載する。
【例】</t>
    </r>
    <r>
      <rPr>
        <sz val="10"/>
        <rFont val="Arial"/>
        <family val="2"/>
      </rPr>
      <t xml:space="preserve">QAD/QSP/QDSC </t>
    </r>
    <r>
      <rPr>
        <sz val="10"/>
        <rFont val="メイリオ"/>
        <family val="3"/>
        <charset val="128"/>
      </rPr>
      <t>各位</t>
    </r>
  </si>
  <si>
    <t>The destination where this document should be informed to.
[Example] QAD/QSP/QDSC</t>
    <phoneticPr fontId="8"/>
  </si>
  <si>
    <t>G8</t>
    <phoneticPr fontId="8"/>
  </si>
  <si>
    <r>
      <rPr>
        <sz val="10"/>
        <rFont val="メイリオ"/>
        <family val="3"/>
        <charset val="128"/>
      </rPr>
      <t>ピアレビューの対象とする設計活動（工程）を記載する。
【例】ユニット設計、コーディング</t>
    </r>
  </si>
  <si>
    <r>
      <t xml:space="preserve">Fill in the design activities (processes) targeted for the peer review.
</t>
    </r>
    <r>
      <rPr>
        <sz val="10"/>
        <rFont val="メイリオ"/>
        <family val="3"/>
        <charset val="128"/>
      </rPr>
      <t>【</t>
    </r>
    <r>
      <rPr>
        <sz val="10"/>
        <rFont val="Arial"/>
        <family val="2"/>
      </rPr>
      <t>Example</t>
    </r>
    <r>
      <rPr>
        <sz val="10"/>
        <rFont val="メイリオ"/>
        <family val="3"/>
        <charset val="128"/>
      </rPr>
      <t>】</t>
    </r>
    <r>
      <rPr>
        <sz val="10"/>
        <rFont val="Arial"/>
        <family val="2"/>
      </rPr>
      <t xml:space="preserve"> Unit Design, Coding</t>
    </r>
  </si>
  <si>
    <t>G12</t>
    <phoneticPr fontId="8"/>
  </si>
  <si>
    <r>
      <rPr>
        <sz val="10"/>
        <rFont val="メイリオ"/>
        <family val="3"/>
        <charset val="128"/>
      </rPr>
      <t>プロジェクト名を記載する。
【例】</t>
    </r>
    <r>
      <rPr>
        <sz val="10"/>
        <rFont val="Arial"/>
        <family val="2"/>
      </rPr>
      <t>MCU</t>
    </r>
    <r>
      <rPr>
        <sz val="10"/>
        <rFont val="メイリオ"/>
        <family val="3"/>
        <charset val="128"/>
      </rPr>
      <t>用</t>
    </r>
    <r>
      <rPr>
        <sz val="10"/>
        <rFont val="Arial"/>
        <family val="2"/>
      </rPr>
      <t>FW</t>
    </r>
    <r>
      <rPr>
        <sz val="10"/>
        <rFont val="メイリオ"/>
        <family val="3"/>
        <charset val="128"/>
      </rPr>
      <t>開発</t>
    </r>
  </si>
  <si>
    <t>Name of the project.
[Example] FW development for MCU</t>
    <phoneticPr fontId="8"/>
  </si>
  <si>
    <t>L16</t>
    <phoneticPr fontId="8"/>
  </si>
  <si>
    <r>
      <rPr>
        <sz val="10"/>
        <rFont val="メイリオ"/>
        <family val="3"/>
        <charset val="128"/>
      </rPr>
      <t>プロジェクト番号を記載する。
【例】</t>
    </r>
    <r>
      <rPr>
        <sz val="10"/>
        <rFont val="Arial"/>
        <family val="2"/>
      </rPr>
      <t>PI-19001</t>
    </r>
  </si>
  <si>
    <t>Number of project.
[Example] PI-19001</t>
    <phoneticPr fontId="8"/>
  </si>
  <si>
    <t>U3</t>
    <phoneticPr fontId="8"/>
  </si>
  <si>
    <r>
      <rPr>
        <sz val="10"/>
        <rFont val="メイリオ"/>
        <family val="3"/>
        <charset val="128"/>
      </rPr>
      <t>部門で取り決めた文書番号を記載する。
部門で定義していない場合は、ハイフン記号</t>
    </r>
    <r>
      <rPr>
        <sz val="10"/>
        <rFont val="Arial"/>
        <family val="2"/>
      </rPr>
      <t>(-)</t>
    </r>
    <r>
      <rPr>
        <sz val="10"/>
        <rFont val="メイリオ"/>
        <family val="3"/>
        <charset val="128"/>
      </rPr>
      <t>を記載する。
【例】</t>
    </r>
    <r>
      <rPr>
        <sz val="10"/>
        <rFont val="Arial"/>
        <family val="2"/>
      </rPr>
      <t>SYS-14-0000001</t>
    </r>
  </si>
  <si>
    <r>
      <t>The document number defined by the department.
Insert hyphen "</t>
    </r>
    <r>
      <rPr>
        <sz val="10"/>
        <color theme="1"/>
        <rFont val="メイリオ"/>
        <family val="3"/>
        <charset val="128"/>
      </rPr>
      <t>－</t>
    </r>
    <r>
      <rPr>
        <sz val="10"/>
        <color theme="1"/>
        <rFont val="Arial"/>
        <family val="2"/>
      </rPr>
      <t>" if not defined by the department.
[Example] SYS-14-0000001</t>
    </r>
  </si>
  <si>
    <t>U5</t>
    <phoneticPr fontId="8"/>
  </si>
  <si>
    <r>
      <rPr>
        <sz val="10"/>
        <rFont val="メイリオ"/>
        <family val="3"/>
        <charset val="128"/>
      </rPr>
      <t>本文書の発行日を記載する。
【例】</t>
    </r>
    <r>
      <rPr>
        <sz val="10"/>
        <rFont val="Arial"/>
        <family val="2"/>
      </rPr>
      <t>2019/4/15</t>
    </r>
  </si>
  <si>
    <t>Describe the date the document is issued.
[Example] 15 Apr., 2019</t>
    <phoneticPr fontId="8"/>
  </si>
  <si>
    <t>U7-U9</t>
    <phoneticPr fontId="8"/>
  </si>
  <si>
    <r>
      <rPr>
        <sz val="10"/>
        <rFont val="メイリオ"/>
        <family val="3"/>
        <charset val="128"/>
      </rPr>
      <t>本文書を作成した会社名と部門名を記載する。
【会社名の例】</t>
    </r>
    <r>
      <rPr>
        <sz val="10"/>
        <rFont val="Arial"/>
        <family val="2"/>
      </rPr>
      <t xml:space="preserve">REL
</t>
    </r>
    <r>
      <rPr>
        <sz val="10"/>
        <rFont val="メイリオ"/>
        <family val="3"/>
        <charset val="128"/>
      </rPr>
      <t>【部門名の例】</t>
    </r>
    <r>
      <rPr>
        <sz val="10"/>
        <rFont val="Arial"/>
        <family val="2"/>
      </rPr>
      <t>ABU/SWBD/SWPL/SWPDT</t>
    </r>
  </si>
  <si>
    <t>Describe name of the company and department that created this document.
[Example for Company name] REL
[Example for Department name] ABU/SWBD/SWPL/SWPDT</t>
    <phoneticPr fontId="8"/>
  </si>
  <si>
    <t>U12</t>
    <phoneticPr fontId="8"/>
  </si>
  <si>
    <r>
      <rPr>
        <sz val="10"/>
        <rFont val="メイリオ"/>
        <family val="3"/>
        <charset val="128"/>
      </rPr>
      <t>承認者の名前と承認日を記載する。
【例】</t>
    </r>
    <r>
      <rPr>
        <sz val="10"/>
        <rFont val="Arial"/>
        <family val="2"/>
      </rPr>
      <t xml:space="preserve">2019/4/15
</t>
    </r>
    <r>
      <rPr>
        <sz val="10"/>
        <rFont val="メイリオ"/>
        <family val="3"/>
        <charset val="128"/>
      </rPr>
      <t>佐藤</t>
    </r>
    <r>
      <rPr>
        <sz val="10"/>
        <rFont val="Arial"/>
        <family val="2"/>
      </rPr>
      <t>K</t>
    </r>
  </si>
  <si>
    <t>Describe name of the person who approves the document and the approval date.
[Example] 15 Apr., 2019
Sato K</t>
    <phoneticPr fontId="8"/>
  </si>
  <si>
    <t>X12</t>
    <phoneticPr fontId="8"/>
  </si>
  <si>
    <r>
      <rPr>
        <sz val="10"/>
        <rFont val="メイリオ"/>
        <family val="3"/>
        <charset val="128"/>
      </rPr>
      <t>作成者の名前と作成日を記載する。
【例】</t>
    </r>
    <r>
      <rPr>
        <sz val="10"/>
        <rFont val="Arial"/>
        <family val="2"/>
      </rPr>
      <t xml:space="preserve">2019/4/15
</t>
    </r>
    <r>
      <rPr>
        <sz val="10"/>
        <rFont val="メイリオ"/>
        <family val="3"/>
        <charset val="128"/>
      </rPr>
      <t>高橋</t>
    </r>
    <r>
      <rPr>
        <sz val="10"/>
        <rFont val="Arial"/>
        <family val="2"/>
      </rPr>
      <t>SC</t>
    </r>
  </si>
  <si>
    <t>Describe name of the person who creates the document and the creation date.
[Example] 15 Apr., 2019
Takahashi SC.</t>
    <phoneticPr fontId="8"/>
  </si>
  <si>
    <t>G19</t>
    <phoneticPr fontId="8"/>
  </si>
  <si>
    <r>
      <rPr>
        <sz val="10"/>
        <rFont val="メイリオ"/>
        <family val="3"/>
        <charset val="128"/>
      </rPr>
      <t>ピアレビューの目的</t>
    </r>
    <r>
      <rPr>
        <sz val="10"/>
        <rFont val="Arial"/>
        <family val="2"/>
      </rPr>
      <t>(</t>
    </r>
    <r>
      <rPr>
        <sz val="10"/>
        <rFont val="メイリオ"/>
        <family val="3"/>
        <charset val="128"/>
      </rPr>
      <t>観点</t>
    </r>
    <r>
      <rPr>
        <sz val="10"/>
        <rFont val="Arial"/>
        <family val="2"/>
      </rPr>
      <t>)</t>
    </r>
    <r>
      <rPr>
        <sz val="10"/>
        <rFont val="メイリオ"/>
        <family val="3"/>
        <charset val="128"/>
      </rPr>
      <t xml:space="preserve">を記載する。
【例】以下の観点でユニット設計書の不具合を抽出する。
・ユニット設計書の記載
</t>
    </r>
    <r>
      <rPr>
        <sz val="10"/>
        <rFont val="Arial"/>
        <family val="2"/>
      </rPr>
      <t xml:space="preserve">  (1)</t>
    </r>
    <r>
      <rPr>
        <sz val="10"/>
        <rFont val="メイリオ"/>
        <family val="3"/>
        <charset val="128"/>
      </rPr>
      <t xml:space="preserve">アーキテクチャ設計書の正しい理解に基づいていること
</t>
    </r>
    <r>
      <rPr>
        <sz val="10"/>
        <rFont val="Arial"/>
        <family val="2"/>
      </rPr>
      <t xml:space="preserve">  (2)</t>
    </r>
    <r>
      <rPr>
        <sz val="10"/>
        <rFont val="メイリオ"/>
        <family val="3"/>
        <charset val="128"/>
      </rPr>
      <t xml:space="preserve">アーキテクチャ設計書に対して過不足がないこと
</t>
    </r>
    <r>
      <rPr>
        <sz val="10"/>
        <rFont val="Arial"/>
        <family val="2"/>
      </rPr>
      <t xml:space="preserve">  (3)</t>
    </r>
    <r>
      <rPr>
        <sz val="10"/>
        <rFont val="メイリオ"/>
        <family val="3"/>
        <charset val="128"/>
      </rPr>
      <t xml:space="preserve">粒度が十分詳細でソースコードを作成可能なこと
・アーキテクチャ設計書とのトレーサビリティ
</t>
    </r>
    <r>
      <rPr>
        <sz val="10"/>
        <rFont val="Arial"/>
        <family val="2"/>
      </rPr>
      <t xml:space="preserve">  (1)</t>
    </r>
    <r>
      <rPr>
        <sz val="10"/>
        <rFont val="メイリオ"/>
        <family val="3"/>
        <charset val="128"/>
      </rPr>
      <t xml:space="preserve">トレース漏れがないこと
</t>
    </r>
    <r>
      <rPr>
        <sz val="10"/>
        <rFont val="Arial"/>
        <family val="2"/>
      </rPr>
      <t xml:space="preserve">  (2)</t>
    </r>
    <r>
      <rPr>
        <sz val="10"/>
        <rFont val="メイリオ"/>
        <family val="3"/>
        <charset val="128"/>
      </rPr>
      <t>トレース先が正しいこと</t>
    </r>
  </si>
  <si>
    <r>
      <t>Purpose (viewpoints)
Describe the purpose (viewpoints) of peer review.
[Example]</t>
    </r>
    <r>
      <rPr>
        <sz val="10"/>
        <color theme="1"/>
        <rFont val="メイリオ"/>
        <family val="3"/>
        <charset val="128"/>
      </rPr>
      <t>　</t>
    </r>
    <r>
      <rPr>
        <sz val="10"/>
        <color theme="1"/>
        <rFont val="Arial"/>
        <family val="2"/>
      </rPr>
      <t xml:space="preserve">Find defects of unit design document with the following viewpoints.
  </t>
    </r>
    <r>
      <rPr>
        <sz val="10"/>
        <color theme="1"/>
        <rFont val="メイリオ"/>
        <family val="3"/>
        <charset val="128"/>
      </rPr>
      <t>・</t>
    </r>
    <r>
      <rPr>
        <sz val="10"/>
        <color theme="1"/>
        <rFont val="Arial"/>
        <family val="2"/>
      </rPr>
      <t xml:space="preserve">Description of  unit design document 
    (1)It is based on the correct understanding of the  architecture design document. 
    (2)No excess or deficiency with respect to the description of the architecture design document.
    (3)Sufficiently detailed that the source code can be created.
  </t>
    </r>
    <r>
      <rPr>
        <sz val="10"/>
        <color theme="1"/>
        <rFont val="メイリオ"/>
        <family val="3"/>
        <charset val="128"/>
      </rPr>
      <t>・</t>
    </r>
    <r>
      <rPr>
        <sz val="10"/>
        <color theme="1"/>
        <rFont val="Arial"/>
        <family val="2"/>
      </rPr>
      <t>Traceability to architecture design document
    (1)No trace omission
    (2)The trace destination is correct.</t>
    </r>
  </si>
  <si>
    <t>G20</t>
    <phoneticPr fontId="8"/>
  </si>
  <si>
    <r>
      <rPr>
        <sz val="10"/>
        <rFont val="メイリオ"/>
        <family val="3"/>
        <charset val="128"/>
      </rPr>
      <t>レビュー種類をリストから選択する。
なお、インスペクション実施前の確認は「事前チェック」であり、机上チェックとして時間、人数を記録する必要はありません。ただし、事前チェックもプロジェクトの判断で時間を計測し分析可能です。</t>
    </r>
  </si>
  <si>
    <t>Select the type of review from the dropdown menu. In addition, the confirmation before inspection execution is "pre-check", and it is not necessary to record the time and the number of people as a desk check. However, pre-checks can also be timed and analyzed at the project's discretion.</t>
    <phoneticPr fontId="8"/>
  </si>
  <si>
    <t>G21</t>
    <phoneticPr fontId="8"/>
  </si>
  <si>
    <r>
      <rPr>
        <sz val="10"/>
        <rFont val="メイリオ"/>
        <family val="3"/>
        <charset val="128"/>
      </rPr>
      <t>使用するチェックリストを選択する。
なお、部門のピアレビューチェックリストを使用する場合であっても、プロジェクト計画工程と要件開発工程、およびアーキテクチャ設計工程以降のトレーサビリティに関する項目のチェックは必須です。本様式のチェック項目または部門のチェックリストに含めてチェックしてください。</t>
    </r>
  </si>
  <si>
    <t>Select the checklist to use.
Even when using the department's peer review checklist, items related to project plan process and requirements development process and traceability after Architecture design process should be checked.Use this template to confirm, or include the same check items in the department checklist and then confirm.</t>
    <phoneticPr fontId="8"/>
  </si>
  <si>
    <t>N20</t>
    <phoneticPr fontId="8"/>
  </si>
  <si>
    <r>
      <rPr>
        <sz val="10"/>
        <rFont val="メイリオ"/>
        <family val="3"/>
        <charset val="128"/>
      </rPr>
      <t>レビュー対象物に対して、初回のレビューか、修正後の再レビューかを選択する。</t>
    </r>
  </si>
  <si>
    <t>Select the first review or the revised re-review for the subject of review.</t>
    <phoneticPr fontId="8"/>
  </si>
  <si>
    <t>N21</t>
    <phoneticPr fontId="8"/>
  </si>
  <si>
    <r>
      <rPr>
        <sz val="10"/>
        <rFont val="メイリオ"/>
        <family val="3"/>
        <charset val="128"/>
      </rPr>
      <t>部門チェックリストを使用する場合、チェックリスト名を記載する。</t>
    </r>
  </si>
  <si>
    <t>When using the department checklist, enter the checklist name.</t>
    <phoneticPr fontId="8"/>
  </si>
  <si>
    <t>I23,M23,
Q23,U23</t>
    <phoneticPr fontId="8"/>
  </si>
  <si>
    <r>
      <rPr>
        <sz val="10"/>
        <rFont val="メイリオ"/>
        <family val="3"/>
        <charset val="128"/>
      </rPr>
      <t>役割ごとに名前を記載する。
レビューア欄には全レビューア名を記載する。</t>
    </r>
  </si>
  <si>
    <t>Describe the name of participants according to _x000B_their roles.
Describe the all reviewers name in column _x000B_"Reviewer".</t>
    <phoneticPr fontId="8"/>
  </si>
  <si>
    <t>I24</t>
    <phoneticPr fontId="8"/>
  </si>
  <si>
    <r>
      <rPr>
        <sz val="10"/>
        <rFont val="メイリオ"/>
        <family val="3"/>
        <charset val="128"/>
      </rPr>
      <t>レビューア欄には全レビューア名を記載する</t>
    </r>
  </si>
  <si>
    <t>Describe the all reviewers name in column "Reviewer".</t>
    <phoneticPr fontId="8"/>
  </si>
  <si>
    <t>I25</t>
    <phoneticPr fontId="8"/>
  </si>
  <si>
    <r>
      <rPr>
        <sz val="10"/>
        <rFont val="メイリオ"/>
        <family val="3"/>
        <charset val="128"/>
      </rPr>
      <t>ミーティングの実施日を年月日で記載する。
【例】</t>
    </r>
    <r>
      <rPr>
        <sz val="10"/>
        <rFont val="Arial"/>
        <family val="2"/>
      </rPr>
      <t xml:space="preserve"> 2019/4/12</t>
    </r>
  </si>
  <si>
    <t>Describe meeting date.
[Example] 12 Apr., 2019</t>
    <phoneticPr fontId="8"/>
  </si>
  <si>
    <t>M25</t>
    <phoneticPr fontId="8"/>
  </si>
  <si>
    <r>
      <rPr>
        <sz val="10"/>
        <rFont val="メイリオ"/>
        <family val="3"/>
        <charset val="128"/>
      </rPr>
      <t>ミーティングの開始時刻を</t>
    </r>
    <r>
      <rPr>
        <sz val="10"/>
        <rFont val="Arial"/>
        <family val="2"/>
      </rPr>
      <t xml:space="preserve"> hh:mm </t>
    </r>
    <r>
      <rPr>
        <sz val="10"/>
        <rFont val="メイリオ"/>
        <family val="3"/>
        <charset val="128"/>
      </rPr>
      <t>形式で記載する。
【例】　</t>
    </r>
    <r>
      <rPr>
        <sz val="10"/>
        <rFont val="Arial"/>
        <family val="2"/>
      </rPr>
      <t>10:00</t>
    </r>
  </si>
  <si>
    <t>Describe the start time in hh:mm format.
[Example] 10:00</t>
    <phoneticPr fontId="8"/>
  </si>
  <si>
    <t>Q25</t>
    <phoneticPr fontId="8"/>
  </si>
  <si>
    <r>
      <rPr>
        <sz val="10"/>
        <rFont val="メイリオ"/>
        <family val="3"/>
        <charset val="128"/>
      </rPr>
      <t>ミーティングの終了時刻を</t>
    </r>
    <r>
      <rPr>
        <sz val="10"/>
        <rFont val="Arial"/>
        <family val="2"/>
      </rPr>
      <t xml:space="preserve"> hh:mm </t>
    </r>
    <r>
      <rPr>
        <sz val="10"/>
        <rFont val="メイリオ"/>
        <family val="3"/>
        <charset val="128"/>
      </rPr>
      <t>形式で記載する。
【例】　</t>
    </r>
    <r>
      <rPr>
        <sz val="10"/>
        <rFont val="Arial"/>
        <family val="2"/>
      </rPr>
      <t>12:00</t>
    </r>
  </si>
  <si>
    <t>Describe the end time in hh:mm format.
[Example] 12:00</t>
    <phoneticPr fontId="8"/>
  </si>
  <si>
    <t>U25</t>
    <phoneticPr fontId="8"/>
  </si>
  <si>
    <r>
      <rPr>
        <sz val="10"/>
        <rFont val="メイリオ"/>
        <family val="3"/>
        <charset val="128"/>
      </rPr>
      <t>ミーティングに参加した人数を記載する。</t>
    </r>
  </si>
  <si>
    <t>Describe the number of participants</t>
    <phoneticPr fontId="8"/>
  </si>
  <si>
    <t>X25</t>
    <phoneticPr fontId="8"/>
  </si>
  <si>
    <r>
      <rPr>
        <sz val="10"/>
        <rFont val="メイリオ"/>
        <family val="3"/>
        <charset val="128"/>
      </rPr>
      <t>ミーティングを行った場所を記載する。
【例】　第</t>
    </r>
    <r>
      <rPr>
        <sz val="10"/>
        <rFont val="Arial"/>
        <family val="2"/>
      </rPr>
      <t>1</t>
    </r>
    <r>
      <rPr>
        <sz val="10"/>
        <rFont val="メイリオ"/>
        <family val="3"/>
        <charset val="128"/>
      </rPr>
      <t>会議室</t>
    </r>
  </si>
  <si>
    <t>Describe the venue the meeting is to be held.
[Example] Meeting room no. 1</t>
    <phoneticPr fontId="8"/>
  </si>
  <si>
    <t>I26</t>
    <phoneticPr fontId="8"/>
  </si>
  <si>
    <r>
      <rPr>
        <sz val="10"/>
        <rFont val="メイリオ"/>
        <family val="3"/>
        <charset val="128"/>
      </rPr>
      <t>机上チェックの開始日を年月日で記載する。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2019/4/12</t>
    </r>
  </si>
  <si>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12 Apr., 2019</t>
    <phoneticPr fontId="8"/>
  </si>
  <si>
    <t>M26</t>
    <phoneticPr fontId="8"/>
  </si>
  <si>
    <r>
      <rPr>
        <sz val="10"/>
        <rFont val="メイリオ"/>
        <family val="3"/>
        <charset val="128"/>
      </rPr>
      <t>机上チェックの終了日を年月日で記載する。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2019/4/15</t>
    </r>
  </si>
  <si>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15 Apr., 2019</t>
    <phoneticPr fontId="8"/>
  </si>
  <si>
    <t>Q26</t>
    <phoneticPr fontId="8"/>
  </si>
  <si>
    <r>
      <rPr>
        <sz val="10"/>
        <rFont val="メイリオ"/>
        <family val="3"/>
        <charset val="128"/>
      </rPr>
      <t>机上チェックを実施した人数を記載する。
なお、インスペクション実施前の確認は「事前チェック」であり、机上チェックとして時間、人数を記録する必要はありません。ただし、事前チェックもプロジェクトの判断で時間を計測し分析可能です。</t>
    </r>
  </si>
  <si>
    <t>Describe the number of persons for desk check. In addition, the confirmation before inspection execution is "pre-check", and it is not necessary to record the time and the number of people as a desk check. However, pre-checks can also be timed and analyzed at the project's discretion.</t>
    <phoneticPr fontId="8"/>
  </si>
  <si>
    <t>U26</t>
    <phoneticPr fontId="8"/>
  </si>
  <si>
    <r>
      <rPr>
        <sz val="10"/>
        <rFont val="メイリオ"/>
        <family val="3"/>
        <charset val="128"/>
      </rPr>
      <t>机上チェックを実施した人のチェック実施時間の合計時間（単位</t>
    </r>
    <r>
      <rPr>
        <sz val="10"/>
        <rFont val="Arial"/>
        <family val="2"/>
      </rPr>
      <t xml:space="preserve"> hr</t>
    </r>
    <r>
      <rPr>
        <sz val="10"/>
        <rFont val="メイリオ"/>
        <family val="3"/>
        <charset val="128"/>
      </rPr>
      <t>）を</t>
    </r>
    <r>
      <rPr>
        <sz val="10"/>
        <rFont val="Arial"/>
        <family val="2"/>
      </rPr>
      <t>10</t>
    </r>
    <r>
      <rPr>
        <sz val="10"/>
        <rFont val="メイリオ"/>
        <family val="3"/>
        <charset val="128"/>
      </rPr>
      <t>進数値で記載する。
なお、インスペクション実施前の確認は「事前チェック」であり、机上チェックとして時間、人数を記録する必要はありません。ただし、事前チェックもプロジェクトの判断で時間を計測し分析可能です。
【例】　</t>
    </r>
    <r>
      <rPr>
        <sz val="10"/>
        <rFont val="Arial"/>
        <family val="2"/>
      </rPr>
      <t>4</t>
    </r>
    <r>
      <rPr>
        <sz val="10"/>
        <rFont val="メイリオ"/>
        <family val="3"/>
        <charset val="128"/>
      </rPr>
      <t>人の合計時間が</t>
    </r>
    <r>
      <rPr>
        <sz val="10"/>
        <rFont val="Arial"/>
        <family val="2"/>
      </rPr>
      <t>2</t>
    </r>
    <r>
      <rPr>
        <sz val="10"/>
        <rFont val="メイリオ"/>
        <family val="3"/>
        <charset val="128"/>
      </rPr>
      <t>時間半の場合、</t>
    </r>
    <r>
      <rPr>
        <sz val="10"/>
        <rFont val="Arial"/>
        <family val="2"/>
      </rPr>
      <t>”2.5”</t>
    </r>
    <r>
      <rPr>
        <sz val="10"/>
        <rFont val="メイリオ"/>
        <family val="3"/>
        <charset val="128"/>
      </rPr>
      <t>と記載。</t>
    </r>
  </si>
  <si>
    <t>Describe the total on-desk check duration in decimal value (Unit: hr). In addition, the confirmation before inspection execution is "pre-check", and it is not necessary to record the time and the number of people as a desk check. However, pre-checks can also be timed and analyzed at the project's discretion.
[Example] 2.5 * 2 hours 30 minutes</t>
    <phoneticPr fontId="8"/>
  </si>
  <si>
    <t>H30,J30,L30,H31,J31,L31</t>
    <phoneticPr fontId="8"/>
  </si>
  <si>
    <r>
      <t>REL_SEPG_Development_Management.xlsm</t>
    </r>
    <r>
      <rPr>
        <sz val="10"/>
        <rFont val="メイリオ"/>
        <family val="3"/>
        <charset val="128"/>
      </rPr>
      <t>の「</t>
    </r>
    <r>
      <rPr>
        <sz val="10"/>
        <rFont val="Arial"/>
        <family val="2"/>
      </rPr>
      <t>Analysis Item Table</t>
    </r>
    <r>
      <rPr>
        <sz val="10"/>
        <rFont val="メイリオ"/>
        <family val="3"/>
        <charset val="128"/>
      </rPr>
      <t>」に記載した、レビュー指摘密度の計画値、およびレビュー速度の計画値を転記する。
（実績値欄は自動計算される。）</t>
    </r>
  </si>
  <si>
    <t>Copy the planned value of the review issue density and the review speed described in "Analysis Items Table" of REL_SEPG_Development_Management.xlsm here.
(Actual value is automatically calculated.)</t>
    <phoneticPr fontId="8"/>
  </si>
  <si>
    <t>E35-V44</t>
    <phoneticPr fontId="8"/>
  </si>
  <si>
    <r>
      <rPr>
        <sz val="10"/>
        <rFont val="メイリオ"/>
        <family val="3"/>
        <charset val="128"/>
      </rPr>
      <t>レビュー対象である成果物の名称、ファイル名、バージョン、レビュー量を記載し、単位を選択する。
成果物の一部がレビュー対象となる場合は、実際のレビュー対象物の範囲（量）をレビュー量に記載する</t>
    </r>
  </si>
  <si>
    <t>Describe the title name, file name, version, target scale of work product, and select the unit.</t>
    <phoneticPr fontId="8"/>
  </si>
  <si>
    <t>Z35-Z44</t>
    <phoneticPr fontId="8"/>
  </si>
  <si>
    <r>
      <rPr>
        <sz val="10"/>
        <rFont val="メイリオ"/>
        <family val="3"/>
        <charset val="128"/>
      </rPr>
      <t>レビュー時間の実績値を記載する。
（予定欄および指摘件数の実績欄は自動計算される。）</t>
    </r>
  </si>
  <si>
    <t>Describe the performance value of "Review duration".
("Target value" columns are automatically calculated and displayed.)</t>
    <phoneticPr fontId="8"/>
  </si>
  <si>
    <t>D49-D98</t>
    <phoneticPr fontId="8"/>
  </si>
  <si>
    <r>
      <rPr>
        <sz val="10"/>
        <rFont val="メイリオ"/>
        <family val="3"/>
        <charset val="128"/>
      </rPr>
      <t>指摘のあったレビュー対象物の</t>
    </r>
    <r>
      <rPr>
        <sz val="10"/>
        <rFont val="Arial"/>
        <family val="2"/>
      </rPr>
      <t>ID</t>
    </r>
    <r>
      <rPr>
        <sz val="10"/>
        <rFont val="メイリオ"/>
        <family val="3"/>
        <charset val="128"/>
      </rPr>
      <t>を記載する。</t>
    </r>
  </si>
  <si>
    <t>Describe the ID of the object to be reviewed which contains issue.</t>
    <phoneticPr fontId="8"/>
  </si>
  <si>
    <t>E49-E98</t>
    <phoneticPr fontId="8"/>
  </si>
  <si>
    <r>
      <rPr>
        <sz val="10"/>
        <rFont val="メイリオ"/>
        <family val="3"/>
        <charset val="128"/>
      </rPr>
      <t>ページ番号、項番、行番号など、成果物内の指摘の位置情報を記載する。</t>
    </r>
  </si>
  <si>
    <t>Describe location information such as page number, item number, row number.</t>
    <phoneticPr fontId="8"/>
  </si>
  <si>
    <t>F49-F98</t>
    <phoneticPr fontId="8"/>
  </si>
  <si>
    <r>
      <rPr>
        <sz val="10"/>
        <rFont val="メイリオ"/>
        <family val="3"/>
        <charset val="128"/>
      </rPr>
      <t>指摘者名を記載する</t>
    </r>
  </si>
  <si>
    <t>Describe the person who detects the issue</t>
    <phoneticPr fontId="8"/>
  </si>
  <si>
    <t>G49-G98</t>
    <phoneticPr fontId="8"/>
  </si>
  <si>
    <r>
      <rPr>
        <sz val="10"/>
        <rFont val="メイリオ"/>
        <family val="3"/>
        <charset val="128"/>
      </rPr>
      <t>下記説明を参考にして、「</t>
    </r>
    <r>
      <rPr>
        <sz val="10"/>
        <rFont val="Arial"/>
        <family val="2"/>
      </rPr>
      <t>Issue(</t>
    </r>
    <r>
      <rPr>
        <sz val="10"/>
        <rFont val="メイリオ"/>
        <family val="3"/>
        <charset val="128"/>
      </rPr>
      <t>指摘</t>
    </r>
    <r>
      <rPr>
        <sz val="10"/>
        <rFont val="Arial"/>
        <family val="2"/>
      </rPr>
      <t>)</t>
    </r>
    <r>
      <rPr>
        <sz val="10"/>
        <rFont val="メイリオ"/>
        <family val="3"/>
        <charset val="128"/>
      </rPr>
      <t>」または「</t>
    </r>
    <r>
      <rPr>
        <sz val="10"/>
        <rFont val="Arial"/>
        <family val="2"/>
      </rPr>
      <t>Q&amp;A(</t>
    </r>
    <r>
      <rPr>
        <sz val="10"/>
        <rFont val="メイリオ"/>
        <family val="3"/>
        <charset val="128"/>
      </rPr>
      <t>質疑応答</t>
    </r>
    <r>
      <rPr>
        <sz val="10"/>
        <rFont val="Arial"/>
        <family val="2"/>
      </rPr>
      <t>)</t>
    </r>
    <r>
      <rPr>
        <sz val="10"/>
        <rFont val="メイリオ"/>
        <family val="3"/>
        <charset val="128"/>
      </rPr>
      <t>」を選択する。
①</t>
    </r>
    <r>
      <rPr>
        <sz val="10"/>
        <rFont val="Arial"/>
        <family val="2"/>
      </rPr>
      <t xml:space="preserve"> Issue
</t>
    </r>
    <r>
      <rPr>
        <sz val="10"/>
        <rFont val="メイリオ"/>
        <family val="3"/>
        <charset val="128"/>
      </rPr>
      <t>摘出された不具合、リスク、</t>
    </r>
    <r>
      <rPr>
        <sz val="10"/>
        <rFont val="Arial"/>
        <family val="2"/>
      </rPr>
      <t xml:space="preserve"> </t>
    </r>
    <r>
      <rPr>
        <sz val="10"/>
        <rFont val="メイリオ"/>
        <family val="3"/>
        <charset val="128"/>
      </rPr>
      <t>問題点、</t>
    </r>
    <r>
      <rPr>
        <sz val="10"/>
        <rFont val="Arial"/>
        <family val="2"/>
      </rPr>
      <t>AI</t>
    </r>
    <r>
      <rPr>
        <sz val="10"/>
        <rFont val="メイリオ"/>
        <family val="3"/>
        <charset val="128"/>
      </rPr>
      <t>。
②</t>
    </r>
    <r>
      <rPr>
        <sz val="10"/>
        <rFont val="Arial"/>
        <family val="2"/>
      </rPr>
      <t xml:space="preserve"> Q&amp;A
</t>
    </r>
    <r>
      <rPr>
        <sz val="10"/>
        <rFont val="メイリオ"/>
        <family val="3"/>
        <charset val="128"/>
      </rPr>
      <t>指摘にあたらない</t>
    </r>
    <r>
      <rPr>
        <sz val="10"/>
        <rFont val="Arial"/>
        <family val="2"/>
      </rPr>
      <t>Q&amp;A</t>
    </r>
    <r>
      <rPr>
        <sz val="10"/>
        <rFont val="メイリオ"/>
        <family val="3"/>
        <charset val="128"/>
      </rPr>
      <t>など。</t>
    </r>
  </si>
  <si>
    <r>
      <t xml:space="preserve">Select "Issue" or "Question" from the list by referring to the explanation below.
</t>
    </r>
    <r>
      <rPr>
        <sz val="10"/>
        <rFont val="メイリオ"/>
        <family val="3"/>
        <charset val="128"/>
      </rPr>
      <t>①</t>
    </r>
    <r>
      <rPr>
        <sz val="10"/>
        <rFont val="Arial"/>
        <family val="2"/>
      </rPr>
      <t xml:space="preserve">Issue
Issue is the general term for defects, risks, problems, AI,  etc. detected in peer review.
</t>
    </r>
    <r>
      <rPr>
        <sz val="10"/>
        <rFont val="メイリオ"/>
        <family val="3"/>
        <charset val="128"/>
      </rPr>
      <t>②</t>
    </r>
    <r>
      <rPr>
        <sz val="10"/>
        <rFont val="Arial"/>
        <family val="2"/>
      </rPr>
      <t xml:space="preserve">Question and Answer
the Question and Answer, other than issues.
</t>
    </r>
  </si>
  <si>
    <t>H49-H98</t>
    <phoneticPr fontId="8"/>
  </si>
  <si>
    <r>
      <rPr>
        <sz val="10"/>
        <rFont val="メイリオ"/>
        <family val="3"/>
        <charset val="128"/>
      </rPr>
      <t>指摘や質疑の内容を記載する。
【例】　リスク
新しく発行された業界規格に対応することを、顧客から求められる可能性がある。
【例】　問題点
テスト環境の構築が遅れているとの連絡が顧客からあり、テストの開始が計画より</t>
    </r>
    <r>
      <rPr>
        <sz val="10"/>
        <rFont val="Arial"/>
        <family val="2"/>
      </rPr>
      <t>3</t>
    </r>
    <r>
      <rPr>
        <sz val="10"/>
        <rFont val="メイリオ"/>
        <family val="3"/>
        <charset val="128"/>
      </rPr>
      <t>週間遅れることが決定。一方、最終ソフトウェアのリリース日程は当初計画のままとしたいとの顧客要求があった。</t>
    </r>
  </si>
  <si>
    <r>
      <t>Describe the content of the issue/question.
[Example]</t>
    </r>
    <r>
      <rPr>
        <sz val="10"/>
        <color theme="1"/>
        <rFont val="メイリオ"/>
        <family val="3"/>
        <charset val="128"/>
      </rPr>
      <t>　</t>
    </r>
    <r>
      <rPr>
        <sz val="10"/>
        <color theme="1"/>
        <rFont val="Arial"/>
        <family val="2"/>
      </rPr>
      <t>Risk
There is a possibility that the customer require us to comply a new standard which was issued a few months ago.
[Example]</t>
    </r>
    <r>
      <rPr>
        <sz val="10"/>
        <color theme="1"/>
        <rFont val="メイリオ"/>
        <family val="3"/>
        <charset val="128"/>
      </rPr>
      <t>　</t>
    </r>
    <r>
      <rPr>
        <sz val="10"/>
        <color theme="1"/>
        <rFont val="Arial"/>
        <family val="2"/>
      </rPr>
      <t>Problem
According to information from the customer, their setup of test environment ware delayed 3 weeks for some reason, which means starting our test must be delayed 3 weeks. However they also req</t>
    </r>
  </si>
  <si>
    <t>O49-O98</t>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</si>
  <si>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」の場合は、リストから最適な項目を選択する。
①</t>
    </r>
    <r>
      <rPr>
        <sz val="10"/>
        <rFont val="Arial"/>
        <family val="2"/>
      </rPr>
      <t xml:space="preserve"> Defect(</t>
    </r>
    <r>
      <rPr>
        <sz val="10"/>
        <rFont val="メイリオ"/>
        <family val="3"/>
        <charset val="128"/>
      </rPr>
      <t>不具合</t>
    </r>
    <r>
      <rPr>
        <sz val="10"/>
        <rFont val="Arial"/>
        <family val="2"/>
      </rPr>
      <t xml:space="preserve">)
</t>
    </r>
    <r>
      <rPr>
        <sz val="10"/>
        <rFont val="メイリオ"/>
        <family val="3"/>
        <charset val="128"/>
      </rPr>
      <t>②</t>
    </r>
    <r>
      <rPr>
        <sz val="10"/>
        <rFont val="Arial"/>
        <family val="2"/>
      </rPr>
      <t xml:space="preserve"> Risk(</t>
    </r>
    <r>
      <rPr>
        <sz val="10"/>
        <rFont val="メイリオ"/>
        <family val="3"/>
        <charset val="128"/>
      </rPr>
      <t>リスク</t>
    </r>
    <r>
      <rPr>
        <sz val="10"/>
        <rFont val="Arial"/>
        <family val="2"/>
      </rPr>
      <t xml:space="preserve">)
</t>
    </r>
    <r>
      <rPr>
        <sz val="10"/>
        <rFont val="メイリオ"/>
        <family val="3"/>
        <charset val="128"/>
      </rPr>
      <t>③</t>
    </r>
    <r>
      <rPr>
        <sz val="10"/>
        <rFont val="Arial"/>
        <family val="2"/>
      </rPr>
      <t xml:space="preserve"> Problem(</t>
    </r>
    <r>
      <rPr>
        <sz val="10"/>
        <rFont val="メイリオ"/>
        <family val="3"/>
        <charset val="128"/>
      </rPr>
      <t>問題</t>
    </r>
    <r>
      <rPr>
        <sz val="10"/>
        <rFont val="Arial"/>
        <family val="2"/>
      </rPr>
      <t xml:space="preserve">)
</t>
    </r>
    <r>
      <rPr>
        <sz val="10"/>
        <rFont val="メイリオ"/>
        <family val="3"/>
        <charset val="128"/>
      </rPr>
      <t>④</t>
    </r>
    <r>
      <rPr>
        <sz val="10"/>
        <rFont val="Arial"/>
        <family val="2"/>
      </rPr>
      <t xml:space="preserve"> AI</t>
    </r>
    <r>
      <rPr>
        <sz val="10"/>
        <rFont val="メイリオ"/>
        <family val="3"/>
        <charset val="128"/>
      </rPr>
      <t>（その他解決すべき事項）</t>
    </r>
  </si>
  <si>
    <r>
      <t xml:space="preserve">In case "Content classification" is "Issue", select Defect/Risk/Problem/AI from the list.
</t>
    </r>
    <r>
      <rPr>
        <sz val="10"/>
        <color theme="1"/>
        <rFont val="メイリオ"/>
        <family val="3"/>
        <charset val="128"/>
      </rPr>
      <t>①</t>
    </r>
    <r>
      <rPr>
        <sz val="10"/>
        <color theme="1"/>
        <rFont val="Arial"/>
        <family val="2"/>
      </rPr>
      <t xml:space="preserve">Defect
</t>
    </r>
    <r>
      <rPr>
        <sz val="10"/>
        <color theme="1"/>
        <rFont val="メイリオ"/>
        <family val="3"/>
        <charset val="128"/>
      </rPr>
      <t>②</t>
    </r>
    <r>
      <rPr>
        <sz val="10"/>
        <color theme="1"/>
        <rFont val="Arial"/>
        <family val="2"/>
      </rPr>
      <t xml:space="preserve">Risk
</t>
    </r>
    <r>
      <rPr>
        <sz val="10"/>
        <color theme="1"/>
        <rFont val="メイリオ"/>
        <family val="3"/>
        <charset val="128"/>
      </rPr>
      <t>③</t>
    </r>
    <r>
      <rPr>
        <sz val="10"/>
        <color theme="1"/>
        <rFont val="Arial"/>
        <family val="2"/>
      </rPr>
      <t xml:space="preserve">Problem
</t>
    </r>
    <r>
      <rPr>
        <sz val="10"/>
        <color theme="1"/>
        <rFont val="メイリオ"/>
        <family val="3"/>
        <charset val="128"/>
      </rPr>
      <t>④</t>
    </r>
    <r>
      <rPr>
        <sz val="10"/>
        <color theme="1"/>
        <rFont val="Arial"/>
        <family val="2"/>
      </rPr>
      <t>AI</t>
    </r>
    <r>
      <rPr>
        <sz val="10"/>
        <color theme="1"/>
        <rFont val="メイリオ"/>
        <family val="3"/>
        <charset val="128"/>
      </rPr>
      <t>（</t>
    </r>
    <r>
      <rPr>
        <sz val="10"/>
        <color theme="1"/>
        <rFont val="Arial"/>
        <family val="2"/>
      </rPr>
      <t xml:space="preserve">Matters other than </t>
    </r>
    <r>
      <rPr>
        <sz val="10"/>
        <color theme="1"/>
        <rFont val="メイリオ"/>
        <family val="3"/>
        <charset val="128"/>
      </rPr>
      <t>①</t>
    </r>
    <r>
      <rPr>
        <sz val="10"/>
        <color theme="1"/>
        <rFont val="Arial"/>
        <family val="2"/>
      </rPr>
      <t xml:space="preserve"> ~ </t>
    </r>
    <r>
      <rPr>
        <sz val="10"/>
        <color theme="1"/>
        <rFont val="メイリオ"/>
        <family val="3"/>
        <charset val="128"/>
      </rPr>
      <t>③</t>
    </r>
    <r>
      <rPr>
        <sz val="10"/>
        <color theme="1"/>
        <rFont val="Arial"/>
        <family val="2"/>
      </rPr>
      <t xml:space="preserve"> such as Action Item.</t>
    </r>
    <r>
      <rPr>
        <sz val="10"/>
        <color theme="1"/>
        <rFont val="メイリオ"/>
        <family val="3"/>
        <charset val="128"/>
      </rPr>
      <t>）</t>
    </r>
  </si>
  <si>
    <t>P49-P98</t>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</si>
  <si>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」の場合は、各管理表などに管理を移管する対応者名を記載する。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を実施した場合は、その実施者名を記載する。</t>
    </r>
  </si>
  <si>
    <t>In case "Content classification" is "Issue", describe the person in charge who transfer it to manage by management table, etc.
However if "Issue classification" is "AI" and the AI was done before this meeting minute is distributed, then describe the name of person who executed A.I.</t>
    <phoneticPr fontId="8"/>
  </si>
  <si>
    <t>Q49-Q98</t>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</si>
  <si>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」の場合は、各管理表などに管理を移管する期限を記載する。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を実施した場合は、その完了日を記載する。</t>
    </r>
  </si>
  <si>
    <t xml:space="preserve"> In case "Content classification" is "Issue", describe the deadline to transfer it to manage by management table, etc.
However if "Issue classification" is "AI" and the AI was done before this meeting minute is distributed, then describe completion date of AI execution.</t>
    <phoneticPr fontId="8"/>
  </si>
  <si>
    <t>S49-S98</t>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</si>
  <si>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」の場合は移管先（管理表名や管理ツール名）を記載する。併せて、移管先とのトレースが可能となるように管理番号を記載する。または質疑の応答内容を記載する。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を実施した場合は、その対応内容を記載する。
【例】　不具合
	・不具合管理表：</t>
    </r>
    <r>
      <rPr>
        <sz val="10"/>
        <rFont val="Arial"/>
        <family val="2"/>
      </rPr>
      <t xml:space="preserve">ID-003
</t>
    </r>
    <r>
      <rPr>
        <sz val="10"/>
        <rFont val="メイリオ"/>
        <family val="3"/>
        <charset val="128"/>
      </rPr>
      <t>【例】　問題
	・</t>
    </r>
    <r>
      <rPr>
        <sz val="10"/>
        <rFont val="Arial"/>
        <family val="2"/>
      </rPr>
      <t>JIRA</t>
    </r>
    <r>
      <rPr>
        <sz val="10"/>
        <rFont val="メイリオ"/>
        <family val="3"/>
        <charset val="128"/>
      </rPr>
      <t>：</t>
    </r>
    <r>
      <rPr>
        <sz val="10"/>
        <rFont val="Arial"/>
        <family val="2"/>
      </rPr>
      <t xml:space="preserve">#15609
</t>
    </r>
    <r>
      <rPr>
        <sz val="10"/>
        <rFont val="メイリオ"/>
        <family val="3"/>
        <charset val="128"/>
      </rPr>
      <t>【例】　リスク
	・リスク・問題管理表：</t>
    </r>
    <r>
      <rPr>
        <sz val="10"/>
        <rFont val="Arial"/>
        <family val="2"/>
      </rPr>
      <t xml:space="preserve">ID-002
</t>
    </r>
    <r>
      <rPr>
        <sz val="10"/>
        <rFont val="メイリオ"/>
        <family val="3"/>
        <charset val="128"/>
      </rPr>
      <t>【例】　</t>
    </r>
    <r>
      <rPr>
        <sz val="10"/>
        <rFont val="Arial"/>
        <family val="2"/>
      </rPr>
      <t xml:space="preserve">AI
	</t>
    </r>
    <r>
      <rPr>
        <sz val="10"/>
        <rFont val="メイリオ"/>
        <family val="3"/>
        <charset val="128"/>
      </rPr>
      <t>・</t>
    </r>
    <r>
      <rPr>
        <sz val="10"/>
        <rFont val="Arial"/>
        <family val="2"/>
      </rPr>
      <t>Redmine</t>
    </r>
    <r>
      <rPr>
        <sz val="10"/>
        <rFont val="メイリオ"/>
        <family val="3"/>
        <charset val="128"/>
      </rPr>
      <t>：</t>
    </r>
    <r>
      <rPr>
        <sz val="10"/>
        <rFont val="Arial"/>
        <family val="2"/>
      </rPr>
      <t>#145080</t>
    </r>
  </si>
  <si>
    <r>
      <t>If "Content classification" is "Issue", describe the transfer destination to manage it (name of management table or management tool). In addition, describe the management ID on the transfer destination for reliable tracing.
However if "Issue classification" is "AI" and the AI was done before this meeting minute is distributed, then describe the details of its execution.
[Example]</t>
    </r>
    <r>
      <rPr>
        <sz val="10"/>
        <color theme="1"/>
        <rFont val="メイリオ"/>
        <family val="3"/>
        <charset val="128"/>
      </rPr>
      <t>　</t>
    </r>
    <r>
      <rPr>
        <sz val="10"/>
        <color theme="1"/>
        <rFont val="Arial"/>
        <family val="2"/>
      </rPr>
      <t xml:space="preserve">Defect
</t>
    </r>
    <r>
      <rPr>
        <sz val="10"/>
        <color theme="1"/>
        <rFont val="メイリオ"/>
        <family val="3"/>
        <charset val="128"/>
      </rPr>
      <t>・</t>
    </r>
    <r>
      <rPr>
        <sz val="10"/>
        <color theme="1"/>
        <rFont val="Arial"/>
        <family val="2"/>
      </rPr>
      <t>Defect Management Table:ID-003
[Example]</t>
    </r>
    <r>
      <rPr>
        <sz val="10"/>
        <color theme="1"/>
        <rFont val="メイリオ"/>
        <family val="3"/>
        <charset val="128"/>
      </rPr>
      <t>　</t>
    </r>
    <r>
      <rPr>
        <sz val="10"/>
        <color theme="1"/>
        <rFont val="Arial"/>
        <family val="2"/>
      </rPr>
      <t xml:space="preserve">Problem
</t>
    </r>
    <r>
      <rPr>
        <sz val="10"/>
        <color theme="1"/>
        <rFont val="メイリオ"/>
        <family val="3"/>
        <charset val="128"/>
      </rPr>
      <t>・</t>
    </r>
    <r>
      <rPr>
        <sz val="10"/>
        <color theme="1"/>
        <rFont val="Arial"/>
        <family val="2"/>
      </rPr>
      <t>JIRA</t>
    </r>
    <r>
      <rPr>
        <sz val="10"/>
        <color theme="1"/>
        <rFont val="メイリオ"/>
        <family val="3"/>
        <charset val="128"/>
      </rPr>
      <t>：</t>
    </r>
    <r>
      <rPr>
        <sz val="10"/>
        <color theme="1"/>
        <rFont val="Arial"/>
        <family val="2"/>
      </rPr>
      <t>#15609
[Example]</t>
    </r>
    <r>
      <rPr>
        <sz val="10"/>
        <color theme="1"/>
        <rFont val="メイリオ"/>
        <family val="3"/>
        <charset val="128"/>
      </rPr>
      <t>　</t>
    </r>
    <r>
      <rPr>
        <sz val="10"/>
        <color theme="1"/>
        <rFont val="Arial"/>
        <family val="2"/>
      </rPr>
      <t xml:space="preserve">Risk
</t>
    </r>
    <r>
      <rPr>
        <sz val="10"/>
        <color theme="1"/>
        <rFont val="メイリオ"/>
        <family val="3"/>
        <charset val="128"/>
      </rPr>
      <t>・</t>
    </r>
    <r>
      <rPr>
        <sz val="10"/>
        <color theme="1"/>
        <rFont val="Arial"/>
        <family val="2"/>
      </rPr>
      <t>Risk and Problem Management Table:ID-002
[Example]</t>
    </r>
    <r>
      <rPr>
        <sz val="10"/>
        <color theme="1"/>
        <rFont val="メイリオ"/>
        <family val="3"/>
        <charset val="128"/>
      </rPr>
      <t>　</t>
    </r>
    <r>
      <rPr>
        <sz val="10"/>
        <color theme="1"/>
        <rFont val="Arial"/>
        <family val="2"/>
      </rPr>
      <t xml:space="preserve">AI
</t>
    </r>
    <r>
      <rPr>
        <sz val="10"/>
        <color theme="1"/>
        <rFont val="メイリオ"/>
        <family val="3"/>
        <charset val="128"/>
      </rPr>
      <t>・</t>
    </r>
    <r>
      <rPr>
        <sz val="10"/>
        <color theme="1"/>
        <rFont val="Arial"/>
        <family val="2"/>
      </rPr>
      <t>Redmine</t>
    </r>
    <r>
      <rPr>
        <sz val="10"/>
        <color theme="1"/>
        <rFont val="メイリオ"/>
        <family val="3"/>
        <charset val="128"/>
      </rPr>
      <t>：</t>
    </r>
    <r>
      <rPr>
        <sz val="10"/>
        <color theme="1"/>
        <rFont val="Arial"/>
        <family val="2"/>
      </rPr>
      <t>#145080</t>
    </r>
  </si>
  <si>
    <t>X49-X98</t>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</si>
  <si>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」の場合は、対応者が各管理表などへの移管を実施したことを確認する開発側の確認者名（プロジェクトメンバー）を記載する。
ただし、指摘分類が</t>
    </r>
    <r>
      <rPr>
        <sz val="10"/>
        <rFont val="Arial"/>
        <family val="2"/>
      </rPr>
      <t xml:space="preserve"> </t>
    </r>
    <r>
      <rPr>
        <sz val="10"/>
        <rFont val="メイリオ"/>
        <family val="3"/>
        <charset val="128"/>
      </rPr>
      <t>「</t>
    </r>
    <r>
      <rPr>
        <sz val="10"/>
        <rFont val="Arial"/>
        <family val="2"/>
      </rPr>
      <t>AI</t>
    </r>
    <r>
      <rPr>
        <sz val="10"/>
        <rFont val="メイリオ"/>
        <family val="3"/>
        <charset val="128"/>
      </rPr>
      <t>」</t>
    </r>
    <r>
      <rPr>
        <sz val="10"/>
        <rFont val="Arial"/>
        <family val="2"/>
      </rPr>
      <t xml:space="preserve"> </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への対応内容を確認した確認者名を記載する。</t>
    </r>
  </si>
  <si>
    <t>In case "Content classification" is "Issue", describe the name of verifier who confirm that issue is transferred to management table, etc by person in charge who transfer it.
However if "Issue classification" is "AI" and the AI was executed before this meeting minute is distributed, then describe the name of verifier who confirmed completion of A</t>
    <phoneticPr fontId="8"/>
  </si>
  <si>
    <t>Y49-Y98</t>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</si>
  <si>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」の場合は、各管理表などへ移管されていることを対応確認者が確認した日を記載する。
ただし、指摘分類が「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への対応結果を確認者が確認した日付を記載する。</t>
    </r>
  </si>
  <si>
    <t>In case "Content classification" is "Issue", describe the date that verifier confirmed the issue was transferred to management table, etc by person in charge who transfer it.
However if "Issue classification" is "AI" and the AI was executed before this meeting minute is distributed, then describe the verification date that the verifier confirmed the result of AI execution.</t>
    <phoneticPr fontId="8"/>
  </si>
  <si>
    <t>H101</t>
    <phoneticPr fontId="8"/>
  </si>
  <si>
    <r>
      <rPr>
        <sz val="10"/>
        <rFont val="メイリオ"/>
        <family val="3"/>
        <charset val="128"/>
      </rPr>
      <t>再レビューの要否を判定した結果を記載する。</t>
    </r>
  </si>
  <si>
    <t>Describe the determination result of whether to conduct the review again</t>
    <phoneticPr fontId="8"/>
  </si>
  <si>
    <t>C104</t>
    <phoneticPr fontId="8"/>
  </si>
  <si>
    <r>
      <rPr>
        <sz val="10"/>
        <rFont val="メイリオ"/>
        <family val="3"/>
        <charset val="128"/>
      </rPr>
      <t>測定と分析に関わることなど、指摘や質疑応答以外の内容を記載する。</t>
    </r>
  </si>
  <si>
    <t>Describe any comments other than issues or Q&amp;A such as comments related to measurement and analysis, etc..</t>
    <phoneticPr fontId="8"/>
  </si>
  <si>
    <t>D13-F18</t>
    <phoneticPr fontId="8"/>
  </si>
  <si>
    <r>
      <rPr>
        <sz val="10"/>
        <rFont val="メイリオ"/>
        <family val="3"/>
        <charset val="128"/>
      </rPr>
      <t>一部の確認項目が非該当となり問題ない場合、</t>
    </r>
    <r>
      <rPr>
        <sz val="10"/>
        <rFont val="Arial"/>
        <family val="2"/>
      </rPr>
      <t>OK</t>
    </r>
    <r>
      <rPr>
        <sz val="10"/>
        <rFont val="メイリオ"/>
        <family val="3"/>
        <charset val="128"/>
      </rPr>
      <t>を選択し、非該当項目と問題ないと判断した理由を補足説明欄に記入する。</t>
    </r>
  </si>
  <si>
    <t>If there is no problem because some of the confirmation items are not applicable, select OK, and enter the reasons for judging that there is no problem with the not applicable items in the Additional Description column.</t>
    <phoneticPr fontId="8"/>
  </si>
  <si>
    <t>E93</t>
    <phoneticPr fontId="8"/>
  </si>
  <si>
    <r>
      <rPr>
        <sz val="10"/>
        <rFont val="メイリオ"/>
        <family val="3"/>
        <charset val="128"/>
      </rPr>
      <t xml:space="preserve">確認結果を選択します。
</t>
    </r>
    <r>
      <rPr>
        <sz val="10"/>
        <rFont val="Arial"/>
        <family val="2"/>
      </rPr>
      <t xml:space="preserve">  OK --- </t>
    </r>
    <r>
      <rPr>
        <sz val="10"/>
        <rFont val="メイリオ"/>
        <family val="3"/>
        <charset val="128"/>
      </rPr>
      <t xml:space="preserve">評価結果とその根拠が存在する。
</t>
    </r>
    <r>
      <rPr>
        <sz val="10"/>
        <rFont val="Arial"/>
        <family val="2"/>
      </rPr>
      <t xml:space="preserve">  NG --- </t>
    </r>
    <r>
      <rPr>
        <sz val="10"/>
        <rFont val="メイリオ"/>
        <family val="3"/>
        <charset val="128"/>
      </rPr>
      <t xml:space="preserve">評価結果やその根拠が存在しない。
</t>
    </r>
    <r>
      <rPr>
        <sz val="10"/>
        <rFont val="Arial"/>
        <family val="2"/>
      </rPr>
      <t xml:space="preserve">  N/A --- </t>
    </r>
    <r>
      <rPr>
        <sz val="10"/>
        <rFont val="メイリオ"/>
        <family val="3"/>
        <charset val="128"/>
      </rPr>
      <t>設計手法を選択する必要がなく、非該当。</t>
    </r>
  </si>
  <si>
    <t>Select the result
  OK --- Evaluation results exist.
  NG --- There is no evaluation result.
  N/A --- Not applicable because there is 
              no need to select a design method.</t>
    <phoneticPr fontId="8"/>
  </si>
  <si>
    <r>
      <rPr>
        <sz val="10"/>
        <color theme="1"/>
        <rFont val="メイリオ"/>
        <family val="3"/>
        <charset val="128"/>
      </rPr>
      <t>通知先が未記入の場合があります</t>
    </r>
  </si>
  <si>
    <r>
      <rPr>
        <sz val="10"/>
        <color theme="1"/>
        <rFont val="メイリオ"/>
        <family val="3"/>
        <charset val="128"/>
      </rPr>
      <t>標準開発手順管理表に記載の各ピアレビューの利害関係者、参加者を参考に通知先を決定し、記入したください</t>
    </r>
  </si>
  <si>
    <r>
      <rPr>
        <u/>
        <sz val="10"/>
        <color theme="10"/>
        <rFont val="メイリオ"/>
        <family val="3"/>
        <charset val="128"/>
      </rPr>
      <t>標準開発手順管理表</t>
    </r>
    <r>
      <rPr>
        <u/>
        <sz val="10"/>
        <color theme="10"/>
        <rFont val="Arial"/>
        <family val="2"/>
      </rPr>
      <t>[</t>
    </r>
    <r>
      <rPr>
        <u/>
        <sz val="10"/>
        <color theme="10"/>
        <rFont val="メイリオ"/>
        <family val="3"/>
        <charset val="128"/>
      </rPr>
      <t>標準開発手順管理表</t>
    </r>
    <r>
      <rPr>
        <u/>
        <sz val="10"/>
        <color theme="10"/>
        <rFont val="Arial"/>
        <family val="2"/>
      </rPr>
      <t>]J12</t>
    </r>
  </si>
  <si>
    <t>No description in "Inform to".</t>
    <phoneticPr fontId="6"/>
  </si>
  <si>
    <t>Please select the "Inform to" referring to each peer review stakeholders described in the Standard Development Procedure Management Table, and describe.</t>
    <phoneticPr fontId="6"/>
  </si>
  <si>
    <t>Standard Development Procedure Management Table[SDP Management Table]J12</t>
    <phoneticPr fontId="6"/>
  </si>
  <si>
    <r>
      <rPr>
        <sz val="10"/>
        <color theme="1"/>
        <rFont val="メイリオ"/>
        <family val="3"/>
        <charset val="128"/>
      </rPr>
      <t>通知先記載の担当者の所属部門名、役職が最新でない場合があります</t>
    </r>
  </si>
  <si>
    <r>
      <rPr>
        <sz val="10"/>
        <color theme="1"/>
        <rFont val="メイリオ"/>
        <family val="3"/>
        <charset val="128"/>
      </rPr>
      <t>電子電話帳で最新情報を確認してください</t>
    </r>
  </si>
  <si>
    <t xml:space="preserve">Division name and/or title of person in change noted in "Inform to" are not updated one. </t>
    <phoneticPr fontId="6"/>
  </si>
  <si>
    <t>Please confirm update information by Telephone directory</t>
    <phoneticPr fontId="6"/>
  </si>
  <si>
    <t>G12</t>
    <phoneticPr fontId="6"/>
  </si>
  <si>
    <r>
      <rPr>
        <sz val="10"/>
        <color theme="1"/>
        <rFont val="メイリオ"/>
        <family val="3"/>
        <charset val="128"/>
      </rPr>
      <t>プロジェクト名がプロジェクト計画書に記載のものと異なる場合があります　</t>
    </r>
    <r>
      <rPr>
        <sz val="10"/>
        <color theme="1"/>
        <rFont val="Arial"/>
        <family val="2"/>
      </rPr>
      <t>("/"</t>
    </r>
    <r>
      <rPr>
        <sz val="10"/>
        <color theme="1"/>
        <rFont val="メイリオ"/>
        <family val="3"/>
        <charset val="128"/>
      </rPr>
      <t>が抜けている、全角半角など</t>
    </r>
    <r>
      <rPr>
        <sz val="10"/>
        <color theme="1"/>
        <rFont val="Arial"/>
        <family val="2"/>
      </rPr>
      <t>)</t>
    </r>
  </si>
  <si>
    <r>
      <rPr>
        <sz val="10"/>
        <color theme="1"/>
        <rFont val="メイリオ"/>
        <family val="3"/>
        <charset val="128"/>
      </rPr>
      <t>プロジェクト計画書に記載のプロジェクト名をコピーペーストするようにしてください</t>
    </r>
  </si>
  <si>
    <r>
      <rPr>
        <u/>
        <sz val="10"/>
        <color theme="10"/>
        <rFont val="メイリオ"/>
        <family val="3"/>
        <charset val="128"/>
      </rPr>
      <t>プロジェクト計画書</t>
    </r>
    <r>
      <rPr>
        <u/>
        <sz val="10"/>
        <color theme="10"/>
        <rFont val="Arial"/>
        <family val="2"/>
      </rPr>
      <t>[Project Plan]E7</t>
    </r>
  </si>
  <si>
    <t>Project name is different from the one described in Project plan. ("/" is missing, zenkaku/hankaku, etc.)</t>
    <phoneticPr fontId="6"/>
  </si>
  <si>
    <t>Please copy past the Project name described in the Project plan.</t>
    <phoneticPr fontId="6"/>
  </si>
  <si>
    <t>Project plan[Project Plan]E7</t>
    <phoneticPr fontId="6"/>
  </si>
  <si>
    <r>
      <rPr>
        <sz val="10"/>
        <color theme="1"/>
        <rFont val="メイリオ"/>
        <family val="3"/>
        <charset val="128"/>
      </rPr>
      <t>チェックリストの使用は必須です</t>
    </r>
  </si>
  <si>
    <r>
      <rPr>
        <sz val="10"/>
        <color theme="1"/>
        <rFont val="メイリオ"/>
        <family val="3"/>
        <charset val="128"/>
      </rPr>
      <t>「本様式のチェックリスト」または「部門のチェックリスト」の何れを使用するのかの種別を選択し、右側のセルにチェックリスト名に記入してください</t>
    </r>
  </si>
  <si>
    <t>Using checklist is mandatory.</t>
    <phoneticPr fontId="6"/>
  </si>
  <si>
    <t>Please choose whether to use "This template checklist" or "Department checklist" and enter the checklist name in the cell on the right.</t>
    <phoneticPr fontId="6"/>
  </si>
  <si>
    <t>E35-E44</t>
    <phoneticPr fontId="6"/>
  </si>
  <si>
    <r>
      <rPr>
        <sz val="10"/>
        <color theme="1"/>
        <rFont val="メイリオ"/>
        <family val="3"/>
        <charset val="128"/>
      </rPr>
      <t>標準開発手順管理表に記載のドキュメントがレビュー対象になっていない場合があります</t>
    </r>
  </si>
  <si>
    <r>
      <rPr>
        <sz val="10"/>
        <color theme="1"/>
        <rFont val="メイリオ"/>
        <family val="3"/>
        <charset val="128"/>
      </rPr>
      <t>標準開発手順管理表の当該工程に記載のドキュメントがレビュー対象になっているか確認してください</t>
    </r>
  </si>
  <si>
    <r>
      <rPr>
        <u/>
        <sz val="10"/>
        <color theme="10"/>
        <rFont val="メイリオ"/>
        <family val="3"/>
        <charset val="128"/>
      </rPr>
      <t>標準開発手順管理表</t>
    </r>
    <r>
      <rPr>
        <u/>
        <sz val="10"/>
        <color theme="10"/>
        <rFont val="Arial"/>
        <family val="2"/>
      </rPr>
      <t>[</t>
    </r>
    <r>
      <rPr>
        <u/>
        <sz val="10"/>
        <color theme="10"/>
        <rFont val="メイリオ"/>
        <family val="3"/>
        <charset val="128"/>
      </rPr>
      <t>標準開発手順管理表</t>
    </r>
    <r>
      <rPr>
        <u/>
        <sz val="10"/>
        <color theme="10"/>
        <rFont val="Arial"/>
        <family val="2"/>
      </rPr>
      <t>]G12</t>
    </r>
  </si>
  <si>
    <t xml:space="preserve">Documents described in Standard Development Procedure Management Table do not match with the Review objects. </t>
    <phoneticPr fontId="6"/>
  </si>
  <si>
    <t xml:space="preserve">Please confirm if the documents described in Standard Development Procedure Management Table match with the Review objects. </t>
    <phoneticPr fontId="6"/>
  </si>
  <si>
    <t>Standard Development Procedure Management Table[SDP Management Table]G12</t>
    <phoneticPr fontId="6"/>
  </si>
  <si>
    <t>Q35-Q44</t>
    <phoneticPr fontId="6"/>
  </si>
  <si>
    <r>
      <rPr>
        <sz val="10"/>
        <color theme="1"/>
        <rFont val="メイリオ"/>
        <family val="3"/>
        <charset val="128"/>
      </rPr>
      <t>バージョン管理が必要なドキュメントに対して、バージョンの記入漏れがあります</t>
    </r>
  </si>
  <si>
    <r>
      <rPr>
        <sz val="10"/>
        <color theme="1"/>
        <rFont val="メイリオ"/>
        <family val="3"/>
        <charset val="128"/>
      </rPr>
      <t>対象ドキュメントのバージョンを確認し、バージョン番号を記入してください</t>
    </r>
  </si>
  <si>
    <t xml:space="preserve">Version is not described even though the document requires version control.  </t>
    <phoneticPr fontId="6"/>
  </si>
  <si>
    <t xml:space="preserve">Please confirm the version of subject document and fill in the version number. </t>
    <phoneticPr fontId="6"/>
  </si>
  <si>
    <t>T35-V44</t>
    <phoneticPr fontId="6"/>
  </si>
  <si>
    <r>
      <rPr>
        <sz val="10"/>
        <color theme="1"/>
        <rFont val="メイリオ"/>
        <family val="3"/>
        <charset val="128"/>
      </rPr>
      <t>対象規模および単位が未記入の場合があります</t>
    </r>
  </si>
  <si>
    <r>
      <rPr>
        <sz val="10"/>
        <color theme="1"/>
        <rFont val="メイリオ"/>
        <family val="3"/>
        <charset val="128"/>
      </rPr>
      <t>対象規模、単位を記入してください
また、レビュー対象物の一部をレビューする場合は、対象規模は、実際にレビュー対象とした規模を記入してください</t>
    </r>
  </si>
  <si>
    <t>Target scale and its Unit are not described.</t>
    <phoneticPr fontId="6"/>
  </si>
  <si>
    <t>Please fill in the target scale and unit.
Also, in case the part of Review objects are reviewed, please fill in the scale of actually reviewed objects.</t>
    <phoneticPr fontId="6"/>
  </si>
  <si>
    <t>H101</t>
    <phoneticPr fontId="6"/>
  </si>
  <si>
    <r>
      <t>”</t>
    </r>
    <r>
      <rPr>
        <sz val="10"/>
        <color theme="1"/>
        <rFont val="メイリオ"/>
        <family val="3"/>
        <charset val="128"/>
      </rPr>
      <t>再レビュー実施判定</t>
    </r>
    <r>
      <rPr>
        <sz val="10"/>
        <color theme="1"/>
        <rFont val="Arial"/>
        <family val="2"/>
      </rPr>
      <t>”</t>
    </r>
    <r>
      <rPr>
        <sz val="10"/>
        <color theme="1"/>
        <rFont val="メイリオ"/>
        <family val="3"/>
        <charset val="128"/>
      </rPr>
      <t>が未記入の場合があります</t>
    </r>
  </si>
  <si>
    <r>
      <rPr>
        <sz val="10"/>
        <color theme="1"/>
        <rFont val="メイリオ"/>
        <family val="3"/>
        <charset val="128"/>
      </rPr>
      <t>再レビューの要否を判定した結果を忘れずに記入してください</t>
    </r>
  </si>
  <si>
    <t>Result of determination of whether to conduct review again is not described.</t>
    <phoneticPr fontId="6"/>
  </si>
  <si>
    <t>Please make sure to describe the result of determination if re-review is required or not.</t>
    <phoneticPr fontId="6"/>
  </si>
  <si>
    <t>Peer Review Minutes</t>
    <phoneticPr fontId="6"/>
  </si>
  <si>
    <t>C104</t>
    <phoneticPr fontId="6"/>
  </si>
  <si>
    <r>
      <rPr>
        <sz val="10"/>
        <color theme="1"/>
        <rFont val="メイリオ"/>
        <family val="3"/>
        <charset val="128"/>
      </rPr>
      <t>未記入の場合があります。</t>
    </r>
  </si>
  <si>
    <r>
      <rPr>
        <sz val="10"/>
        <color theme="1"/>
        <rFont val="メイリオ"/>
        <family val="3"/>
        <charset val="128"/>
      </rPr>
      <t>進捗確認会議で分析項目を分析した場合は、本様式の備考欄または測定と分析項目表に分析結果を記入してください</t>
    </r>
  </si>
  <si>
    <r>
      <t xml:space="preserve">RCT-JB5001 14. </t>
    </r>
    <r>
      <rPr>
        <u/>
        <sz val="11"/>
        <color theme="10"/>
        <rFont val="メイリオ"/>
        <family val="3"/>
        <charset val="128"/>
      </rPr>
      <t>測定と分析</t>
    </r>
    <r>
      <rPr>
        <u/>
        <sz val="11"/>
        <color theme="10"/>
        <rFont val="Arial"/>
        <family val="2"/>
      </rPr>
      <t>[P.13]</t>
    </r>
  </si>
  <si>
    <t>No description in "Notes".</t>
    <phoneticPr fontId="6"/>
  </si>
  <si>
    <t xml:space="preserve">When analysis items are analyzed in the progress confirmation meeting, please describe the result of analysis in this format "Remarks" or Measurement and Analysis items.  </t>
    <phoneticPr fontId="6"/>
  </si>
  <si>
    <t>RCT-JB5001 14.	Measurement and Analysis[P.14]</t>
    <phoneticPr fontId="6"/>
  </si>
  <si>
    <t>E35-T44</t>
    <phoneticPr fontId="8"/>
  </si>
  <si>
    <r>
      <rPr>
        <sz val="10"/>
        <rFont val="メイリオ"/>
        <family val="3"/>
        <charset val="128"/>
      </rPr>
      <t>ソースコードの記述単位について</t>
    </r>
  </si>
  <si>
    <r>
      <rPr>
        <sz val="10"/>
        <rFont val="メイリオ"/>
        <family val="3"/>
        <charset val="128"/>
      </rPr>
      <t>ソースコードの場合は、ファイル単位ではなく、</t>
    </r>
    <r>
      <rPr>
        <sz val="10"/>
        <rFont val="Arial"/>
        <family val="2"/>
      </rPr>
      <t>SW</t>
    </r>
    <r>
      <rPr>
        <sz val="10"/>
        <rFont val="メイリオ"/>
        <family val="3"/>
        <charset val="128"/>
      </rPr>
      <t>処理構造の単位で分割するなどレビュー指標を用いて分析する単位にまとめて良い。
（特に分割して分析不要であるならばソースコード全てをまとめても良い）</t>
    </r>
  </si>
  <si>
    <t>About source code description unit</t>
    <phoneticPr fontId="8"/>
  </si>
  <si>
    <t>In the case of source code, it may be organized into a unit to be analyzed using a review index such as division by a unit of SW processing structure instead of a file unit. (You can put together all the source code, especially if you don't need to do separate analysis.)</t>
    <phoneticPr fontId="8"/>
  </si>
  <si>
    <t>Peer Review Minutes</t>
    <phoneticPr fontId="8"/>
  </si>
  <si>
    <r>
      <rPr>
        <sz val="10"/>
        <rFont val="メイリオ"/>
        <family val="3"/>
        <charset val="128"/>
      </rPr>
      <t>パスアラウンドのレビュー時間について</t>
    </r>
  </si>
  <si>
    <r>
      <rPr>
        <sz val="10"/>
        <rFont val="メイリオ"/>
        <family val="3"/>
        <charset val="128"/>
      </rPr>
      <t>パスアラウンドの場合は、その対象物に対するレビューア</t>
    </r>
    <r>
      <rPr>
        <sz val="10"/>
        <rFont val="Arial"/>
        <family val="2"/>
      </rPr>
      <t>1</t>
    </r>
    <r>
      <rPr>
        <sz val="10"/>
        <rFont val="メイリオ"/>
        <family val="3"/>
        <charset val="128"/>
      </rPr>
      <t>名あたりの平均時間を記載する。
【例】　パスアラウンド方式で、</t>
    </r>
    <r>
      <rPr>
        <sz val="10"/>
        <rFont val="Arial"/>
        <family val="2"/>
      </rPr>
      <t>4</t>
    </r>
    <r>
      <rPr>
        <sz val="10"/>
        <rFont val="メイリオ"/>
        <family val="3"/>
        <charset val="128"/>
      </rPr>
      <t>名の合計時間が</t>
    </r>
    <r>
      <rPr>
        <sz val="10"/>
        <rFont val="Arial"/>
        <family val="2"/>
      </rPr>
      <t>8.0</t>
    </r>
    <r>
      <rPr>
        <sz val="10"/>
        <rFont val="メイリオ"/>
        <family val="3"/>
        <charset val="128"/>
      </rPr>
      <t>時間の場合は、</t>
    </r>
    <r>
      <rPr>
        <sz val="10"/>
        <rFont val="Arial"/>
        <family val="2"/>
      </rPr>
      <t>2.00</t>
    </r>
    <r>
      <rPr>
        <sz val="10"/>
        <rFont val="メイリオ"/>
        <family val="3"/>
        <charset val="128"/>
      </rPr>
      <t>と記載。</t>
    </r>
  </si>
  <si>
    <t>In case of pass-around</t>
    <phoneticPr fontId="8"/>
  </si>
  <si>
    <r>
      <t>In case of pass-around, describe average of review time for the Peer Review Target.
[Example]</t>
    </r>
    <r>
      <rPr>
        <sz val="10"/>
        <rFont val="メイリオ"/>
        <family val="3"/>
        <charset val="128"/>
      </rPr>
      <t>　</t>
    </r>
    <r>
      <rPr>
        <sz val="10"/>
        <rFont val="Arial"/>
        <family val="2"/>
      </rPr>
      <t>If total duration of review for the Peer Review Target was 8.0hr by 4 persons using pass-around, then it should be described "2.0hr".</t>
    </r>
  </si>
  <si>
    <t>D6-F6</t>
    <phoneticPr fontId="8"/>
  </si>
  <si>
    <t>-</t>
    <phoneticPr fontId="8"/>
  </si>
  <si>
    <r>
      <t xml:space="preserve">RCT-JB5001 8.1.(1) </t>
    </r>
    <r>
      <rPr>
        <u/>
        <sz val="11"/>
        <color theme="10"/>
        <rFont val="メイリオ"/>
        <family val="3"/>
        <charset val="128"/>
      </rPr>
      <t>開発着手審議</t>
    </r>
    <r>
      <rPr>
        <u/>
        <sz val="11"/>
        <color theme="10"/>
        <rFont val="Arial"/>
        <family val="2"/>
      </rPr>
      <t>[P.4]</t>
    </r>
  </si>
  <si>
    <t>RCT-JB5001 8.1.(1) Development Start DCP[P.4]</t>
    <phoneticPr fontId="6"/>
  </si>
  <si>
    <t>D7-F7</t>
    <phoneticPr fontId="8"/>
  </si>
  <si>
    <t>D8-F8</t>
    <phoneticPr fontId="8"/>
  </si>
  <si>
    <r>
      <t xml:space="preserve">RCT-JB5001 16.9 </t>
    </r>
    <r>
      <rPr>
        <u/>
        <sz val="11"/>
        <color theme="10"/>
        <rFont val="メイリオ"/>
        <family val="3"/>
        <charset val="128"/>
      </rPr>
      <t>トレーニング計画</t>
    </r>
    <r>
      <rPr>
        <u/>
        <sz val="11"/>
        <color theme="10"/>
        <rFont val="Arial"/>
        <family val="2"/>
      </rPr>
      <t>[P.17]</t>
    </r>
  </si>
  <si>
    <t>RCT-JB5001 16.9 Creation of the Training Plan[P.20]</t>
    <phoneticPr fontId="8"/>
  </si>
  <si>
    <t>D9-F9</t>
    <phoneticPr fontId="8"/>
  </si>
  <si>
    <r>
      <t xml:space="preserve">RCT-JB5001 8.1.(3) </t>
    </r>
    <r>
      <rPr>
        <u/>
        <sz val="11"/>
        <color theme="10"/>
        <rFont val="メイリオ"/>
        <family val="3"/>
        <charset val="128"/>
      </rPr>
      <t>計画</t>
    </r>
    <r>
      <rPr>
        <u/>
        <sz val="11"/>
        <color theme="10"/>
        <rFont val="Arial"/>
        <family val="2"/>
      </rPr>
      <t>DR[P.5]</t>
    </r>
  </si>
  <si>
    <t>RCT-JB5001 8.1.(3) Planning DR[P.5]</t>
    <phoneticPr fontId="6"/>
  </si>
  <si>
    <t>D13-F14</t>
    <phoneticPr fontId="8"/>
  </si>
  <si>
    <r>
      <t xml:space="preserve">RCT-JB5001-003 6.1. </t>
    </r>
    <r>
      <rPr>
        <u/>
        <sz val="11"/>
        <color theme="10"/>
        <rFont val="メイリオ"/>
        <family val="3"/>
        <charset val="128"/>
      </rPr>
      <t>要求の入手</t>
    </r>
    <r>
      <rPr>
        <u/>
        <sz val="11"/>
        <color theme="10"/>
        <rFont val="Arial"/>
        <family val="2"/>
      </rPr>
      <t>[P.32]</t>
    </r>
  </si>
  <si>
    <t>RCT-JB5001-003 6.1. Acquiring Requests[P.36]</t>
    <phoneticPr fontId="6"/>
  </si>
  <si>
    <t>D15-F16</t>
    <phoneticPr fontId="8"/>
  </si>
  <si>
    <r>
      <t xml:space="preserve">RCT-JB5001-003 6.2. </t>
    </r>
    <r>
      <rPr>
        <u/>
        <sz val="11"/>
        <color theme="10"/>
        <rFont val="メイリオ"/>
        <family val="3"/>
        <charset val="128"/>
      </rPr>
      <t>要求の実現可否判断</t>
    </r>
    <r>
      <rPr>
        <u/>
        <sz val="11"/>
        <color theme="10"/>
        <rFont val="Arial"/>
        <family val="2"/>
      </rPr>
      <t>[P.33]</t>
    </r>
  </si>
  <si>
    <t>RCT-JB5001-003 6.2. Determining Request Feasibility[P.37]</t>
    <phoneticPr fontId="6"/>
  </si>
  <si>
    <t>D17-F18</t>
    <phoneticPr fontId="8"/>
  </si>
  <si>
    <r>
      <t xml:space="preserve">RCT-JB5001-003 6.3. </t>
    </r>
    <r>
      <rPr>
        <u/>
        <sz val="11"/>
        <color theme="10"/>
        <rFont val="メイリオ"/>
        <family val="3"/>
        <charset val="128"/>
      </rPr>
      <t>要求への変換</t>
    </r>
    <r>
      <rPr>
        <u/>
        <sz val="11"/>
        <color theme="10"/>
        <rFont val="Arial"/>
        <family val="2"/>
      </rPr>
      <t>[P.33]</t>
    </r>
  </si>
  <si>
    <t>RCT-JB5001-003 6.3. Converting Requests into Requirements[P.37]</t>
    <phoneticPr fontId="6"/>
  </si>
  <si>
    <t>D19-F19</t>
    <phoneticPr fontId="8"/>
  </si>
  <si>
    <r>
      <t xml:space="preserve">RCT-JB5001-003 6.4. </t>
    </r>
    <r>
      <rPr>
        <u/>
        <sz val="11"/>
        <color theme="10"/>
        <rFont val="メイリオ"/>
        <family val="3"/>
        <charset val="128"/>
      </rPr>
      <t>トレーサビリティの確保</t>
    </r>
    <r>
      <rPr>
        <u/>
        <sz val="11"/>
        <color theme="10"/>
        <rFont val="Arial"/>
        <family val="2"/>
      </rPr>
      <t>[P.34]</t>
    </r>
  </si>
  <si>
    <t>RCT-JB5001-003 6.4. Ensuring Traceability[P.38]</t>
    <phoneticPr fontId="6"/>
  </si>
  <si>
    <r>
      <rPr>
        <sz val="10"/>
        <color theme="1"/>
        <rFont val="メイリオ"/>
        <family val="3"/>
        <charset val="128"/>
      </rPr>
      <t>以下、余白</t>
    </r>
  </si>
  <si>
    <t>proceedings</t>
  </si>
  <si>
    <t>By using reqtify tool, I checked binding requirements with reference, they are binding correct</t>
  </si>
  <si>
    <t>By using reqtify tool, I checked coverage rate, UT phase cover 100% DD phase.</t>
  </si>
  <si>
    <t>ver1.26</t>
  </si>
  <si>
    <t>Project Name</t>
    <phoneticPr fontId="4"/>
  </si>
  <si>
    <t>Review date &amp; time</t>
    <phoneticPr fontId="4"/>
  </si>
  <si>
    <t>Product part name</t>
    <phoneticPr fontId="4"/>
  </si>
  <si>
    <t>Review member</t>
    <phoneticPr fontId="4"/>
  </si>
  <si>
    <t>Target revision</t>
    <phoneticPr fontId="4"/>
  </si>
  <si>
    <t>Item 
no.</t>
    <phoneticPr fontId="4"/>
  </si>
  <si>
    <t>Description</t>
    <phoneticPr fontId="4"/>
  </si>
  <si>
    <t>Pre-check</t>
    <phoneticPr fontId="4"/>
  </si>
  <si>
    <t>Check date</t>
    <phoneticPr fontId="4"/>
  </si>
  <si>
    <t>Checked by</t>
    <phoneticPr fontId="4"/>
  </si>
  <si>
    <t>Check</t>
    <phoneticPr fontId="4"/>
  </si>
  <si>
    <t>Remarks</t>
    <phoneticPr fontId="4"/>
  </si>
  <si>
    <t>Background</t>
  </si>
  <si>
    <t>All fields (Table of Contents, Index of Figures, Index of Tables, table index, figure index) must be updated before being saved.</t>
  </si>
  <si>
    <t>Refer #122089 for more detail.</t>
  </si>
  <si>
    <t>Test Environment</t>
  </si>
  <si>
    <t>1. Environment checkpoints</t>
  </si>
  <si>
    <t>Connection in test environment must be matched with block diagram from VRF</t>
  </si>
  <si>
    <t>3</t>
  </si>
  <si>
    <r>
      <t xml:space="preserve">Check for all Verification Conditions in VRF:
- All lib versions (SystemC, VLAB, Python,…) in </t>
    </r>
    <r>
      <rPr>
        <b/>
        <sz val="10"/>
        <rFont val="Arial"/>
        <family val="2"/>
      </rPr>
      <t>setup_osci/usk.csh/bat</t>
    </r>
    <r>
      <rPr>
        <sz val="10"/>
        <rFont val="Arial"/>
        <family val="2"/>
      </rPr>
      <t xml:space="preserve"> file must be matched with VRF
- All tool versions (1Team, Gen_RegIF,…) must be matched with VRF
- Environment version must be match with VRF
- ...</t>
    </r>
  </si>
  <si>
    <t>See email [rvc-mcs17174] for background</t>
  </si>
  <si>
    <t>In unit test, the base address should be correct and sufficient as those defined in HWUM (if any). Test scheme:
- For 1 specific base address, test all (e.g. register, operation, Python).
- For other base addresses, test full address range assigned for that instance (all registers, all reserved areas).</t>
  </si>
  <si>
    <t>Refer to #112867 (#74) for more detail</t>
  </si>
  <si>
    <t>If model is communication type, it is a must to have at least 1 test case for continuous repeat transmission/reception.</t>
  </si>
  <si>
    <t>Refer to #119915 for more detail.</t>
  </si>
  <si>
    <t>If model is communication type, it is a must to have at least 1 test case for master/slave test.</t>
  </si>
  <si>
    <t>Master/slave test in communication models</t>
  </si>
  <si>
    <t>Item 
No.</t>
    <phoneticPr fontId="4"/>
  </si>
  <si>
    <t>Available or not</t>
    <phoneticPr fontId="4"/>
  </si>
  <si>
    <t>Reason if not available</t>
    <phoneticPr fontId="4"/>
  </si>
  <si>
    <t>[Notes]</t>
    <phoneticPr fontId="4"/>
  </si>
  <si>
    <t>Available</t>
  </si>
  <si>
    <t>MCU_model (RH850_U2B)
Development for SPIDCTL model</t>
  </si>
  <si>
    <t>Review the verification checklist VRF-01 
Check VRF, VRF-01 is cover 100% INT or not.
Check UD is cover 100% requirements from AD phase or not.
Check setting Reqtify ID in VRF is correctly or not with INT file.</t>
  </si>
  <si>
    <t>Nov/12/2021</t>
  </si>
  <si>
    <t>Duong Phan
Nov/12/2021</t>
  </si>
  <si>
    <t>Duong Phan</t>
  </si>
  <si>
    <t>Verification checklist of SPIDCTL model</t>
  </si>
  <si>
    <t>Verification specification of SPIDCTL model</t>
  </si>
  <si>
    <t>Requirements of SPIDCTL model</t>
  </si>
  <si>
    <t>Internal specification of SPIDCTL model</t>
  </si>
  <si>
    <t>Reqtify data</t>
  </si>
  <si>
    <t>VRF-MCS-20001-01_SPIDCTL.xls</t>
  </si>
  <si>
    <t>VRF-MCS-20001_SPIDCTL.docx</t>
  </si>
  <si>
    <t>REQ-MCS-20001_SPIDCTL.xlsx</t>
  </si>
  <si>
    <t>INT-MCS-20001_SPIDCTL.doc</t>
  </si>
  <si>
    <t>Requirements from AD which cannot be covered by INT, but they can be covered by UT</t>
  </si>
  <si>
    <t>20001_SPIDCTL_UD_ATT2.xlsx</t>
  </si>
  <si>
    <t>1.2</t>
  </si>
  <si>
    <t>1.1</t>
  </si>
  <si>
    <t>SPIDCTL</t>
  </si>
  <si>
    <t>tp03_01_001</t>
  </si>
  <si>
    <t>tp03_04_001</t>
  </si>
  <si>
    <t>Model has only 1 clock port</t>
  </si>
  <si>
    <t>This model does not inherit BusBridgeModuleBase</t>
  </si>
  <si>
    <t>tp03_03_001</t>
  </si>
  <si>
    <t>Operation</t>
  </si>
  <si>
    <t>Q&amp;A</t>
  </si>
  <si>
    <t>Bac Huynh</t>
  </si>
  <si>
    <t>According to HWUM, SPIDKCPROT.KCE = 1, enable writing to protected registers. So do we have checkpoint to check it is 1 when write 0xA5A5A501 to unlock/lock?</t>
  </si>
  <si>
    <t>Issue</t>
  </si>
  <si>
    <t>AI</t>
  </si>
  <si>
    <t>"Not allow any SPIDs - Test operation when mask is protected / locked" but in P48 descripbed as "Allow all SPIDs"</t>
  </si>
  <si>
    <t>"Mask register can not be written when locked" without read anc check register value. How can we know MASK register is not update when MASK LOCK is enable?</t>
  </si>
  <si>
    <t>Nov/16/2021</t>
  </si>
  <si>
    <t>21038_U2B_SPIDCTL.7z</t>
  </si>
  <si>
    <t>I added a check point in TM tp03_01_001 to read the KCE bit</t>
  </si>
  <si>
    <t>It is checked in the next step by read the SPIDtp01_01_04_02_3OUT ports "Old mask register still in effect". Besides, the MASK LOCK logic is checked in Register sheet, for example TM  tp01_01_04_02_3</t>
  </si>
  <si>
    <t>I corrected the text</t>
  </si>
  <si>
    <t>Use reqtify to check the traceability</t>
  </si>
  <si>
    <t>Nov/17/2021</t>
  </si>
  <si>
    <t>Not used by multicore</t>
  </si>
  <si>
    <t>Version</t>
  </si>
  <si>
    <t>Bug_record v1.1</t>
  </si>
  <si>
    <t>Change copyright to:  Copyright(c) 2021</t>
  </si>
  <si>
    <t xml:space="preserve">Update copyright to:  Copyright(c) 2020-2021 </t>
  </si>
  <si>
    <t xml:space="preserve">I updated copyright to: Copyright(c) 2020-2021 </t>
  </si>
  <si>
    <t xml:space="preserve">I updated copyright to: Copyright(c) 2021 </t>
  </si>
  <si>
    <t>Threadhold is 30% for Review issue density and Review speed, so:
- Review issue density = 0.0952 in range 0.1110 +/- 30% (from 0.0777 to 0.1443)
- Review speed = 52.5 in range 44.25 +/- 30% (from 30.975 to 57.525)</t>
  </si>
  <si>
    <t>I approved VRF-01 because:
- All issues are fixed.
- Review speed in range.
- Review issue density is in range.</t>
  </si>
  <si>
    <t>Chuong Le
Nov/17/2021</t>
  </si>
  <si>
    <t>tp01_04_01, tp01_02_*</t>
  </si>
  <si>
    <t>Only TlmG3mExtension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</si>
</sst>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h:mm;@"/>
    <numFmt numFmtId="165" formatCode="0.00_);[Red]\(0.00\)"/>
    <numFmt numFmtId="166" formatCode="0.0000_);[Red]\(0.0000\)"/>
    <numFmt numFmtId="167" formatCode="0_);[Red]\(0\)"/>
    <numFmt numFmtId="168" formatCode="0.0"/>
    <numFmt numFmtId="169" formatCode="yy/mm/dd"/>
    <numFmt numFmtId="170" formatCode="dd/mm/yyyy"/>
  </numFmts>
  <fonts count="48">
    <font>
      <sz val="11"/>
      <color theme="1"/>
      <name val="メイリオ"/>
      <family val="2"/>
      <charset val="128"/>
    </font>
    <font>
      <sz val="11"/>
      <color theme="1"/>
      <name val="Calibri"/>
      <family val="2"/>
      <charset val="128"/>
      <scheme val="minor"/>
    </font>
    <font>
      <sz val="11"/>
      <color theme="1"/>
      <name val="Calibri"/>
      <family val="2"/>
      <charset val="128"/>
      <scheme val="minor"/>
    </font>
    <font>
      <sz val="11"/>
      <name val="ＭＳ Ｐゴシック"/>
      <family val="3"/>
      <charset val="128"/>
    </font>
    <font>
      <sz val="6"/>
      <name val="Calibri"/>
      <family val="2"/>
      <charset val="128"/>
      <scheme val="minor"/>
    </font>
    <font>
      <sz val="6"/>
      <name val="ＭＳ Ｐゴシック"/>
      <family val="3"/>
      <charset val="128"/>
    </font>
    <font>
      <sz val="6"/>
      <name val="メイリオ"/>
      <family val="2"/>
      <charset val="128"/>
    </font>
    <font>
      <sz val="11"/>
      <color theme="1"/>
      <name val="Calibri"/>
      <family val="3"/>
      <charset val="128"/>
      <scheme val="minor"/>
    </font>
    <font>
      <sz val="9"/>
      <color indexed="10"/>
      <name val="游ゴシック"/>
      <family val="3"/>
      <charset val="128"/>
    </font>
    <font>
      <sz val="11"/>
      <color theme="1"/>
      <name val="Calibri"/>
      <family val="2"/>
      <charset val="128"/>
      <scheme val="minor"/>
    </font>
    <font>
      <b/>
      <sz val="8"/>
      <color indexed="81"/>
      <name val="MS P ゴシック"/>
      <family val="3"/>
      <charset val="128"/>
    </font>
    <font>
      <b/>
      <sz val="10"/>
      <color indexed="81"/>
      <name val="MS P ゴシック"/>
      <family val="3"/>
      <charset val="128"/>
    </font>
    <font>
      <u/>
      <sz val="11"/>
      <color theme="10"/>
      <name val="Calibri"/>
      <family val="2"/>
      <charset val="128"/>
      <scheme val="minor"/>
    </font>
    <font>
      <sz val="11"/>
      <color theme="1"/>
      <name val="メイリオ"/>
      <family val="3"/>
      <charset val="128"/>
    </font>
    <font>
      <u/>
      <sz val="11"/>
      <color theme="10"/>
      <name val="メイリオ"/>
      <family val="2"/>
      <charset val="128"/>
    </font>
    <font>
      <sz val="9"/>
      <color indexed="81"/>
      <name val="MS P ゴシック"/>
      <family val="3"/>
      <charset val="128"/>
    </font>
    <font>
      <sz val="11"/>
      <color rgb="FF9C0006"/>
      <name val="メイリオ"/>
      <family val="2"/>
      <charset val="128"/>
    </font>
    <font>
      <sz val="10"/>
      <name val="メイリオ"/>
      <family val="3"/>
      <charset val="128"/>
    </font>
    <font>
      <sz val="8"/>
      <color rgb="FFFF0000"/>
      <name val="メイリオ"/>
      <family val="3"/>
      <charset val="128"/>
    </font>
    <font>
      <sz val="10"/>
      <color theme="1"/>
      <name val="メイリオ"/>
      <family val="3"/>
      <charset val="128"/>
    </font>
    <font>
      <b/>
      <sz val="16"/>
      <name val="メイリオ"/>
      <family val="3"/>
      <charset val="128"/>
    </font>
    <font>
      <sz val="10"/>
      <name val="Arial"/>
      <family val="2"/>
    </font>
    <font>
      <sz val="10"/>
      <color rgb="FFFF0000"/>
      <name val="Arial"/>
      <family val="2"/>
    </font>
    <font>
      <sz val="8"/>
      <color rgb="FFFF0000"/>
      <name val="Arial"/>
      <family val="2"/>
    </font>
    <font>
      <sz val="11"/>
      <color theme="1"/>
      <name val="Arial"/>
      <family val="2"/>
    </font>
    <font>
      <sz val="10"/>
      <color theme="1"/>
      <name val="Arial"/>
      <family val="2"/>
    </font>
    <font>
      <b/>
      <sz val="16"/>
      <name val="Arial"/>
      <family val="2"/>
    </font>
    <font>
      <sz val="16"/>
      <name val="Arial"/>
      <family val="2"/>
    </font>
    <font>
      <sz val="10"/>
      <color theme="0" tint="-0.34998626667073579"/>
      <name val="Arial"/>
      <family val="2"/>
    </font>
    <font>
      <b/>
      <sz val="11"/>
      <color theme="1"/>
      <name val="メイリオ"/>
      <family val="3"/>
      <charset val="128"/>
    </font>
    <font>
      <b/>
      <sz val="11"/>
      <color theme="1"/>
      <name val="Arial"/>
      <family val="2"/>
    </font>
    <font>
      <b/>
      <sz val="11"/>
      <color rgb="FFFF0000"/>
      <name val="Arial"/>
      <family val="2"/>
    </font>
    <font>
      <u/>
      <sz val="10"/>
      <color theme="10"/>
      <name val="Arial"/>
      <family val="2"/>
    </font>
    <font>
      <u/>
      <sz val="10"/>
      <color theme="10"/>
      <name val="メイリオ"/>
      <family val="3"/>
      <charset val="128"/>
    </font>
    <font>
      <sz val="10"/>
      <color rgb="FF0000FF"/>
      <name val="Arial"/>
      <family val="2"/>
    </font>
    <font>
      <sz val="9"/>
      <name val="Arial"/>
      <family val="2"/>
    </font>
    <font>
      <sz val="9"/>
      <name val="メイリオ"/>
      <family val="3"/>
      <charset val="128"/>
    </font>
    <font>
      <b/>
      <sz val="14"/>
      <name val="Arial"/>
      <family val="2"/>
    </font>
    <font>
      <b/>
      <sz val="10"/>
      <name val="Arial"/>
      <family val="2"/>
    </font>
    <font>
      <b/>
      <sz val="9"/>
      <color indexed="81"/>
      <name val="Tahoma"/>
      <family val="2"/>
    </font>
    <font>
      <sz val="9"/>
      <color indexed="81"/>
      <name val="Tahoma"/>
      <family val="2"/>
    </font>
    <font>
      <sz val="10"/>
      <name val="Times New Roman"/>
      <family val="1"/>
    </font>
    <font>
      <u/>
      <sz val="10"/>
      <name val="Arial"/>
      <family val="2"/>
    </font>
    <font>
      <sz val="9"/>
      <name val="Arial"/>
      <family val="3"/>
    </font>
    <font>
      <u/>
      <sz val="11"/>
      <color theme="10"/>
      <name val="Arial"/>
      <family val="2"/>
    </font>
    <font>
      <u/>
      <sz val="11"/>
      <color theme="10"/>
      <name val="メイリオ"/>
      <family val="3"/>
      <charset val="128"/>
    </font>
    <font>
      <u/>
      <sz val="8.25"/>
      <color indexed="12"/>
      <name val="ＭＳ Ｐゴシック"/>
      <family val="3"/>
      <charset val="128"/>
    </font>
    <font>
      <u/>
      <sz val="10"/>
      <color indexed="12"/>
      <name val="Arial"/>
      <family val="2"/>
    </font>
  </fonts>
  <fills count="20">
    <fill>
      <patternFill patternType="none"/>
    </fill>
    <fill>
      <patternFill patternType="gray125"/>
    </fill>
    <fill>
      <patternFill patternType="solid">
        <fgColor theme="4" tint="0.7999816888943144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CCFF"/>
        <bgColor indexed="64"/>
      </patternFill>
    </fill>
    <fill>
      <patternFill patternType="solid">
        <fgColor rgb="FFFFFFCC"/>
        <bgColor indexed="64"/>
      </patternFill>
    </fill>
    <fill>
      <patternFill patternType="solid">
        <fgColor rgb="FFFFFF00"/>
        <bgColor indexed="64"/>
      </patternFill>
    </fill>
    <fill>
      <patternFill patternType="solid">
        <fgColor rgb="FFF0F0F0"/>
        <bgColor indexed="64"/>
      </patternFill>
    </fill>
    <fill>
      <patternFill patternType="solid">
        <fgColor indexed="13"/>
        <bgColor indexed="64"/>
      </patternFill>
    </fill>
    <fill>
      <patternFill patternType="solid">
        <fgColor rgb="FFFFC7CE"/>
      </patternFill>
    </fill>
    <fill>
      <patternFill patternType="solid">
        <fgColor indexed="43"/>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theme="0" tint="-4.9989318521683403E-2"/>
        <bgColor indexed="64"/>
      </patternFill>
    </fill>
    <fill>
      <patternFill patternType="solid">
        <fgColor theme="0" tint="-0.24994659260841701"/>
        <bgColor indexed="64"/>
      </patternFill>
    </fill>
    <fill>
      <patternFill patternType="solid">
        <fgColor rgb="FF66FFFF"/>
        <bgColor indexed="64"/>
      </patternFill>
    </fill>
    <fill>
      <patternFill patternType="solid">
        <fgColor rgb="FFC0C0C0"/>
        <bgColor indexed="64"/>
      </patternFill>
    </fill>
  </fills>
  <borders count="55">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s>
  <cellStyleXfs count="24">
    <xf numFmtId="0" fontId="0" fillId="0" borderId="0">
      <alignment vertical="center"/>
    </xf>
    <xf numFmtId="0" fontId="3" fillId="0" borderId="0"/>
    <xf numFmtId="0" fontId="3" fillId="0" borderId="0">
      <alignment vertical="center"/>
    </xf>
    <xf numFmtId="0" fontId="7" fillId="0" borderId="0">
      <alignment vertical="center"/>
    </xf>
    <xf numFmtId="0" fontId="3" fillId="0" borderId="0">
      <alignment vertical="center"/>
    </xf>
    <xf numFmtId="0" fontId="3" fillId="0" borderId="0"/>
    <xf numFmtId="0" fontId="3" fillId="0" borderId="0"/>
    <xf numFmtId="0" fontId="9" fillId="0" borderId="0">
      <alignment vertical="center"/>
    </xf>
    <xf numFmtId="0" fontId="9" fillId="0" borderId="0">
      <alignment vertical="center"/>
    </xf>
    <xf numFmtId="0" fontId="12" fillId="0" borderId="0" applyNumberFormat="0" applyFill="0" applyBorder="0" applyAlignment="0" applyProtection="0">
      <alignment vertical="center"/>
    </xf>
    <xf numFmtId="0" fontId="2" fillId="0" borderId="0">
      <alignment vertical="center"/>
    </xf>
    <xf numFmtId="0" fontId="2" fillId="0" borderId="0">
      <alignment vertical="center"/>
    </xf>
    <xf numFmtId="0" fontId="1" fillId="0" borderId="0">
      <alignment vertical="center"/>
    </xf>
    <xf numFmtId="0" fontId="1" fillId="0" borderId="0">
      <alignment vertical="center"/>
    </xf>
    <xf numFmtId="0" fontId="3" fillId="0" borderId="0">
      <alignment vertical="center"/>
    </xf>
    <xf numFmtId="0" fontId="3" fillId="0" borderId="0">
      <alignment vertical="center"/>
    </xf>
    <xf numFmtId="0" fontId="3"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6" fillId="11" borderId="0" applyNumberFormat="0" applyBorder="0" applyAlignment="0" applyProtection="0">
      <alignment vertical="center"/>
    </xf>
    <xf numFmtId="0" fontId="14" fillId="0" borderId="0" applyNumberFormat="0" applyFill="0" applyBorder="0" applyAlignment="0" applyProtection="0">
      <alignment vertical="center"/>
    </xf>
    <xf numFmtId="0" fontId="46" fillId="0" borderId="0" applyNumberFormat="0" applyFill="0" applyBorder="0" applyAlignment="0" applyProtection="0">
      <alignment vertical="top"/>
      <protection locked="0"/>
    </xf>
  </cellStyleXfs>
  <cellXfs count="434">
    <xf numFmtId="0" fontId="0" fillId="0" borderId="0" xfId="0">
      <alignment vertical="center"/>
    </xf>
    <xf numFmtId="0" fontId="21" fillId="0" borderId="0" xfId="1" applyFont="1" applyAlignment="1">
      <alignment horizontal="left" vertical="top"/>
    </xf>
    <xf numFmtId="0" fontId="22" fillId="0" borderId="0" xfId="1" applyFont="1" applyAlignment="1">
      <alignment vertical="top"/>
    </xf>
    <xf numFmtId="0" fontId="21" fillId="0" borderId="0" xfId="1" applyFont="1" applyAlignment="1">
      <alignment vertical="top"/>
    </xf>
    <xf numFmtId="0" fontId="23" fillId="0" borderId="0" xfId="1" applyFont="1" applyAlignment="1">
      <alignment horizontal="left" vertical="top"/>
    </xf>
    <xf numFmtId="0" fontId="21" fillId="0" borderId="0" xfId="2" applyFont="1" applyAlignment="1">
      <alignment horizontal="right" vertical="top"/>
    </xf>
    <xf numFmtId="0" fontId="21" fillId="0" borderId="0" xfId="2" applyFont="1" applyAlignment="1">
      <alignment horizontal="left" vertical="top"/>
    </xf>
    <xf numFmtId="0" fontId="21" fillId="0" borderId="0" xfId="1" applyFont="1" applyAlignment="1">
      <alignment horizontal="left" vertical="top" wrapText="1"/>
    </xf>
    <xf numFmtId="0" fontId="21" fillId="10" borderId="0" xfId="1" applyFont="1" applyFill="1" applyAlignment="1">
      <alignment vertical="top" wrapText="1"/>
    </xf>
    <xf numFmtId="0" fontId="21" fillId="0" borderId="0" xfId="1" applyFont="1" applyAlignment="1">
      <alignment vertical="top" wrapText="1"/>
    </xf>
    <xf numFmtId="0" fontId="24" fillId="0" borderId="1" xfId="0" applyFont="1" applyBorder="1" applyAlignment="1">
      <alignment vertical="top"/>
    </xf>
    <xf numFmtId="0" fontId="21" fillId="0" borderId="0" xfId="2" applyFont="1" applyAlignment="1">
      <alignment horizontal="left" vertical="top" wrapText="1"/>
    </xf>
    <xf numFmtId="0" fontId="25" fillId="0" borderId="0" xfId="3" applyFont="1" applyAlignment="1">
      <alignment horizontal="left" vertical="top" wrapText="1"/>
    </xf>
    <xf numFmtId="0" fontId="22" fillId="0" borderId="0" xfId="1" applyFont="1" applyAlignment="1">
      <alignment horizontal="left" vertical="top" wrapText="1"/>
    </xf>
    <xf numFmtId="0" fontId="21" fillId="0" borderId="0" xfId="4" applyFont="1" applyAlignment="1">
      <alignment horizontal="left" vertical="top"/>
    </xf>
    <xf numFmtId="0" fontId="21" fillId="0" borderId="0" xfId="5" applyFont="1" applyAlignment="1">
      <alignment horizontal="left" vertical="top"/>
    </xf>
    <xf numFmtId="0" fontId="21" fillId="0" borderId="0" xfId="4" applyFont="1">
      <alignment vertical="center"/>
    </xf>
    <xf numFmtId="0" fontId="21" fillId="2" borderId="13" xfId="5" applyFont="1" applyFill="1" applyBorder="1" applyAlignment="1">
      <alignment horizontal="center" vertical="center" wrapText="1"/>
    </xf>
    <xf numFmtId="0" fontId="21" fillId="0" borderId="8" xfId="5" applyFont="1" applyBorder="1" applyAlignment="1">
      <alignment horizontal="left" vertical="top"/>
    </xf>
    <xf numFmtId="0" fontId="21" fillId="0" borderId="1" xfId="4" applyFont="1" applyBorder="1" applyAlignment="1" applyProtection="1">
      <alignment horizontal="left" vertical="top" wrapText="1"/>
      <protection locked="0"/>
    </xf>
    <xf numFmtId="0" fontId="21" fillId="0" borderId="1" xfId="4" applyFont="1" applyBorder="1" applyAlignment="1">
      <alignment horizontal="left" vertical="top"/>
    </xf>
    <xf numFmtId="0" fontId="21" fillId="0" borderId="0" xfId="4" applyFont="1" applyAlignment="1" applyProtection="1">
      <alignment horizontal="left" vertical="top" wrapText="1"/>
      <protection locked="0"/>
    </xf>
    <xf numFmtId="0" fontId="21" fillId="0" borderId="6" xfId="4" applyFont="1" applyBorder="1">
      <alignment vertical="center"/>
    </xf>
    <xf numFmtId="0" fontId="21" fillId="0" borderId="8" xfId="4" applyFont="1" applyBorder="1">
      <alignment vertical="center"/>
    </xf>
    <xf numFmtId="0" fontId="21" fillId="0" borderId="1" xfId="5" applyFont="1" applyBorder="1" applyAlignment="1">
      <alignment horizontal="left" vertical="top"/>
    </xf>
    <xf numFmtId="0" fontId="21" fillId="2" borderId="13" xfId="4" applyFont="1" applyFill="1" applyBorder="1" applyAlignment="1">
      <alignment horizontal="center" vertical="center" wrapText="1" shrinkToFit="1"/>
    </xf>
    <xf numFmtId="165" fontId="21" fillId="4" borderId="13" xfId="4" applyNumberFormat="1" applyFont="1" applyFill="1" applyBorder="1" applyAlignment="1" applyProtection="1">
      <alignment horizontal="center" vertical="center" shrinkToFit="1"/>
      <protection locked="0"/>
    </xf>
    <xf numFmtId="167" fontId="21" fillId="4" borderId="13" xfId="5" applyNumberFormat="1" applyFont="1" applyFill="1" applyBorder="1" applyAlignment="1" applyProtection="1">
      <alignment horizontal="center" vertical="center" shrinkToFit="1"/>
      <protection locked="0"/>
    </xf>
    <xf numFmtId="0" fontId="21" fillId="3" borderId="8" xfId="4" applyFont="1" applyFill="1" applyBorder="1" applyAlignment="1" applyProtection="1">
      <alignment horizontal="center" vertical="center" shrinkToFit="1"/>
      <protection locked="0"/>
    </xf>
    <xf numFmtId="165" fontId="21" fillId="3" borderId="8" xfId="4" applyNumberFormat="1" applyFont="1" applyFill="1" applyBorder="1" applyAlignment="1" applyProtection="1">
      <alignment horizontal="center" vertical="center" shrinkToFit="1"/>
      <protection locked="0"/>
    </xf>
    <xf numFmtId="167" fontId="28" fillId="3" borderId="0" xfId="5" applyNumberFormat="1" applyFont="1" applyFill="1" applyAlignment="1" applyProtection="1">
      <alignment horizontal="center" vertical="center" shrinkToFit="1"/>
      <protection locked="0"/>
    </xf>
    <xf numFmtId="0" fontId="21" fillId="0" borderId="0" xfId="4" applyFont="1" applyAlignment="1">
      <alignment vertical="center" wrapText="1"/>
    </xf>
    <xf numFmtId="0" fontId="21" fillId="2" borderId="13" xfId="5" applyFont="1" applyFill="1" applyBorder="1" applyAlignment="1" applyProtection="1">
      <alignment horizontal="center" vertical="center"/>
      <protection locked="0"/>
    </xf>
    <xf numFmtId="0" fontId="21" fillId="0" borderId="13" xfId="5" applyFont="1" applyBorder="1" applyAlignment="1" applyProtection="1">
      <alignment horizontal="center" vertical="center" wrapText="1"/>
      <protection locked="0"/>
    </xf>
    <xf numFmtId="49" fontId="21" fillId="0" borderId="13" xfId="5" applyNumberFormat="1" applyFont="1" applyBorder="1" applyAlignment="1" applyProtection="1">
      <alignment horizontal="center" vertical="center" wrapText="1"/>
      <protection locked="0"/>
    </xf>
    <xf numFmtId="0" fontId="21" fillId="0" borderId="13" xfId="4" applyFont="1" applyBorder="1" applyAlignment="1">
      <alignment horizontal="center" vertical="center" wrapText="1"/>
    </xf>
    <xf numFmtId="14" fontId="21" fillId="0" borderId="13" xfId="4" applyNumberFormat="1" applyFont="1" applyBorder="1" applyAlignment="1">
      <alignment vertical="center" wrapText="1" shrinkToFit="1"/>
    </xf>
    <xf numFmtId="0" fontId="21" fillId="3" borderId="0" xfId="5" applyFont="1" applyFill="1" applyAlignment="1" applyProtection="1">
      <alignment horizontal="center" vertical="center"/>
      <protection locked="0"/>
    </xf>
    <xf numFmtId="0" fontId="21" fillId="3" borderId="0" xfId="5" applyFont="1" applyFill="1" applyAlignment="1" applyProtection="1">
      <alignment horizontal="center" vertical="center" wrapText="1"/>
      <protection locked="0"/>
    </xf>
    <xf numFmtId="49" fontId="21" fillId="3" borderId="0" xfId="5" applyNumberFormat="1" applyFont="1" applyFill="1" applyAlignment="1" applyProtection="1">
      <alignment horizontal="center" vertical="center" wrapText="1"/>
      <protection locked="0"/>
    </xf>
    <xf numFmtId="0" fontId="21" fillId="3" borderId="0" xfId="4" applyFont="1" applyFill="1" applyAlignment="1">
      <alignment horizontal="center" vertical="center" wrapText="1"/>
    </xf>
    <xf numFmtId="0" fontId="21" fillId="3" borderId="0" xfId="4" applyFont="1" applyFill="1" applyAlignment="1">
      <alignment vertical="center" wrapText="1"/>
    </xf>
    <xf numFmtId="0" fontId="21" fillId="3" borderId="0" xfId="4" applyFont="1" applyFill="1">
      <alignment vertical="center"/>
    </xf>
    <xf numFmtId="0" fontId="21" fillId="0" borderId="0" xfId="4" applyFont="1" applyProtection="1">
      <alignment vertical="center"/>
      <protection locked="0"/>
    </xf>
    <xf numFmtId="0" fontId="21" fillId="0" borderId="0" xfId="4" applyFont="1" applyAlignment="1" applyProtection="1">
      <alignment vertical="top"/>
      <protection locked="0"/>
    </xf>
    <xf numFmtId="0" fontId="21" fillId="0" borderId="0" xfId="6" applyFont="1" applyAlignment="1">
      <alignment vertical="top"/>
    </xf>
    <xf numFmtId="0" fontId="21" fillId="9" borderId="13" xfId="4" applyFont="1" applyFill="1" applyBorder="1" applyAlignment="1" applyProtection="1">
      <alignment horizontal="center" vertical="center" shrinkToFit="1"/>
      <protection locked="0"/>
    </xf>
    <xf numFmtId="165" fontId="21" fillId="9" borderId="13" xfId="4" applyNumberFormat="1" applyFont="1" applyFill="1" applyBorder="1" applyAlignment="1" applyProtection="1">
      <alignment horizontal="center" vertical="center" shrinkToFit="1"/>
      <protection locked="0"/>
    </xf>
    <xf numFmtId="0" fontId="32" fillId="8" borderId="13" xfId="9" applyFont="1" applyFill="1" applyBorder="1" applyAlignment="1">
      <alignment horizontal="center" vertical="center" wrapText="1" shrinkToFit="1"/>
    </xf>
    <xf numFmtId="0" fontId="21" fillId="2" borderId="13" xfId="4" applyFont="1" applyFill="1" applyBorder="1" applyAlignment="1">
      <alignment horizontal="center" vertical="center" wrapText="1"/>
    </xf>
    <xf numFmtId="0" fontId="37" fillId="0" borderId="0" xfId="15" applyFont="1" applyAlignment="1">
      <alignment vertical="center"/>
    </xf>
    <xf numFmtId="0" fontId="21" fillId="0" borderId="0" xfId="4" applyFont="1" applyAlignment="1">
      <alignment horizontal="center" vertical="center"/>
    </xf>
    <xf numFmtId="169" fontId="21" fillId="0" borderId="0" xfId="4" applyNumberFormat="1" applyFont="1">
      <alignment vertical="center"/>
    </xf>
    <xf numFmtId="0" fontId="38" fillId="0" borderId="0" xfId="15" applyFont="1" applyAlignment="1">
      <alignment vertical="center"/>
    </xf>
    <xf numFmtId="0" fontId="21" fillId="0" borderId="0" xfId="16" applyFont="1"/>
    <xf numFmtId="0" fontId="21" fillId="0" borderId="0" xfId="4" applyFont="1" applyBorder="1">
      <alignment vertical="center"/>
    </xf>
    <xf numFmtId="0" fontId="21" fillId="12" borderId="21" xfId="16" applyFont="1" applyFill="1" applyBorder="1" applyAlignment="1">
      <alignment vertical="center" wrapText="1"/>
    </xf>
    <xf numFmtId="0" fontId="21" fillId="0" borderId="0" xfId="16" applyFont="1" applyBorder="1" applyAlignment="1">
      <alignment vertical="center"/>
    </xf>
    <xf numFmtId="0" fontId="21" fillId="0" borderId="0" xfId="16" applyFont="1" applyBorder="1" applyAlignment="1">
      <alignment wrapText="1"/>
    </xf>
    <xf numFmtId="0" fontId="21" fillId="0" borderId="0" xfId="16" applyFont="1" applyBorder="1" applyAlignment="1">
      <alignment vertical="center" wrapText="1"/>
    </xf>
    <xf numFmtId="169" fontId="21" fillId="0" borderId="0" xfId="4" applyNumberFormat="1" applyFont="1" applyBorder="1">
      <alignment vertical="center"/>
    </xf>
    <xf numFmtId="0" fontId="21" fillId="0" borderId="0" xfId="4" applyFont="1" applyBorder="1" applyAlignment="1">
      <alignment horizontal="left"/>
    </xf>
    <xf numFmtId="169" fontId="21" fillId="0" borderId="0" xfId="4" applyNumberFormat="1" applyFont="1" applyBorder="1" applyAlignment="1">
      <alignment horizontal="left"/>
    </xf>
    <xf numFmtId="0" fontId="35" fillId="13" borderId="25" xfId="15" applyFont="1" applyFill="1" applyBorder="1" applyAlignment="1">
      <alignment horizontal="center" vertical="center" wrapText="1"/>
    </xf>
    <xf numFmtId="0" fontId="21" fillId="10" borderId="27" xfId="15" applyFont="1" applyFill="1" applyBorder="1" applyAlignment="1">
      <alignment horizontal="center" vertical="center"/>
    </xf>
    <xf numFmtId="0" fontId="35" fillId="13" borderId="25" xfId="15" applyFont="1" applyFill="1" applyBorder="1" applyAlignment="1">
      <alignment horizontal="center" vertical="center"/>
    </xf>
    <xf numFmtId="169" fontId="35" fillId="13" borderId="28" xfId="15" applyNumberFormat="1" applyFont="1" applyFill="1" applyBorder="1" applyAlignment="1">
      <alignment horizontal="center" vertical="center"/>
    </xf>
    <xf numFmtId="0" fontId="35" fillId="13" borderId="29" xfId="15" applyFont="1" applyFill="1" applyBorder="1" applyAlignment="1">
      <alignment horizontal="center" vertical="center"/>
    </xf>
    <xf numFmtId="0" fontId="35" fillId="14" borderId="25" xfId="15" applyFont="1" applyFill="1" applyBorder="1" applyAlignment="1">
      <alignment horizontal="center" vertical="center"/>
    </xf>
    <xf numFmtId="169" fontId="35" fillId="14" borderId="28" xfId="15" applyNumberFormat="1" applyFont="1" applyFill="1" applyBorder="1" applyAlignment="1">
      <alignment horizontal="center" vertical="center"/>
    </xf>
    <xf numFmtId="0" fontId="35" fillId="14" borderId="29" xfId="15" applyFont="1" applyFill="1" applyBorder="1" applyAlignment="1">
      <alignment horizontal="center" vertical="center"/>
    </xf>
    <xf numFmtId="0" fontId="21" fillId="0" borderId="31" xfId="4" applyNumberFormat="1" applyFont="1" applyBorder="1" applyAlignment="1">
      <alignment horizontal="center" vertical="center"/>
    </xf>
    <xf numFmtId="0" fontId="21" fillId="0" borderId="33" xfId="4" applyFont="1" applyBorder="1" applyAlignment="1">
      <alignment horizontal="center" vertical="center"/>
    </xf>
    <xf numFmtId="0" fontId="21" fillId="0" borderId="31" xfId="4" applyFont="1" applyBorder="1" applyAlignment="1">
      <alignment horizontal="center" vertical="center"/>
    </xf>
    <xf numFmtId="170" fontId="21" fillId="0" borderId="13" xfId="15" applyNumberFormat="1" applyFont="1" applyBorder="1" applyAlignment="1">
      <alignment horizontal="center" vertical="center"/>
    </xf>
    <xf numFmtId="0" fontId="21" fillId="0" borderId="33" xfId="4" applyFont="1" applyBorder="1">
      <alignment vertical="center"/>
    </xf>
    <xf numFmtId="49" fontId="21" fillId="0" borderId="31" xfId="15" applyNumberFormat="1" applyFont="1" applyFill="1" applyBorder="1" applyAlignment="1">
      <alignment horizontal="center" vertical="center"/>
    </xf>
    <xf numFmtId="0" fontId="21" fillId="0" borderId="33" xfId="4" applyFont="1" applyFill="1" applyBorder="1" applyAlignment="1">
      <alignment horizontal="center" vertical="center"/>
    </xf>
    <xf numFmtId="0" fontId="21" fillId="0" borderId="31" xfId="15" applyFont="1" applyBorder="1" applyAlignment="1">
      <alignment horizontal="center" vertical="center"/>
    </xf>
    <xf numFmtId="0" fontId="21" fillId="0" borderId="0" xfId="15" applyFont="1">
      <alignment vertical="center"/>
    </xf>
    <xf numFmtId="0" fontId="21" fillId="0" borderId="36" xfId="4" applyFont="1" applyFill="1" applyBorder="1" applyAlignment="1">
      <alignment horizontal="center" vertical="center"/>
    </xf>
    <xf numFmtId="0" fontId="21" fillId="0" borderId="37" xfId="4" applyFont="1" applyFill="1" applyBorder="1" applyAlignment="1">
      <alignment horizontal="center" vertical="center"/>
    </xf>
    <xf numFmtId="0" fontId="21" fillId="13" borderId="38" xfId="15" applyFont="1" applyFill="1" applyBorder="1" applyAlignment="1">
      <alignment horizontal="center" vertical="center" wrapText="1"/>
    </xf>
    <xf numFmtId="0" fontId="21" fillId="13" borderId="40" xfId="15" applyFont="1" applyFill="1" applyBorder="1" applyAlignment="1">
      <alignment horizontal="center" vertical="center" wrapText="1"/>
    </xf>
    <xf numFmtId="0" fontId="21" fillId="0" borderId="13" xfId="15" applyFont="1" applyBorder="1" applyAlignment="1">
      <alignment horizontal="center" vertical="center"/>
    </xf>
    <xf numFmtId="0" fontId="21" fillId="0" borderId="42" xfId="15" applyFont="1" applyBorder="1" applyAlignment="1">
      <alignment horizontal="center" vertical="center"/>
    </xf>
    <xf numFmtId="0" fontId="21" fillId="0" borderId="45" xfId="15" applyFont="1" applyBorder="1" applyAlignment="1">
      <alignment horizontal="center" vertical="center"/>
    </xf>
    <xf numFmtId="0" fontId="21" fillId="0" borderId="0" xfId="15" applyFont="1" applyAlignment="1">
      <alignment vertical="center" wrapText="1"/>
    </xf>
    <xf numFmtId="0" fontId="21" fillId="0" borderId="0" xfId="15" applyFont="1" applyAlignment="1">
      <alignment horizontal="center" vertical="center"/>
    </xf>
    <xf numFmtId="169" fontId="21" fillId="0" borderId="0" xfId="15" applyNumberFormat="1" applyFont="1">
      <alignment vertical="center"/>
    </xf>
    <xf numFmtId="0" fontId="21" fillId="0" borderId="0" xfId="16" applyFont="1" applyAlignment="1">
      <alignment wrapText="1"/>
    </xf>
    <xf numFmtId="0" fontId="21" fillId="0" borderId="0" xfId="15" applyFont="1" applyAlignment="1">
      <alignment horizontal="right" vertical="center"/>
    </xf>
    <xf numFmtId="170" fontId="21" fillId="0" borderId="13" xfId="15" applyNumberFormat="1" applyFont="1" applyFill="1" applyBorder="1" applyAlignment="1">
      <alignment horizontal="center" vertical="center"/>
    </xf>
    <xf numFmtId="0" fontId="21" fillId="0" borderId="31" xfId="4" applyFont="1" applyFill="1" applyBorder="1" applyAlignment="1">
      <alignment horizontal="center" vertical="center"/>
    </xf>
    <xf numFmtId="0" fontId="21" fillId="0" borderId="37" xfId="4" applyFont="1" applyFill="1" applyBorder="1" applyAlignment="1">
      <alignment vertical="center" wrapText="1"/>
    </xf>
    <xf numFmtId="49" fontId="38" fillId="18" borderId="47" xfId="15" applyNumberFormat="1" applyFont="1" applyFill="1" applyBorder="1" applyAlignment="1">
      <alignment vertical="center"/>
    </xf>
    <xf numFmtId="49" fontId="38" fillId="18" borderId="3" xfId="15" applyNumberFormat="1" applyFont="1" applyFill="1" applyBorder="1" applyAlignment="1">
      <alignment vertical="center" wrapText="1"/>
    </xf>
    <xf numFmtId="49" fontId="38" fillId="18" borderId="3" xfId="15" applyNumberFormat="1" applyFont="1" applyFill="1" applyBorder="1" applyAlignment="1">
      <alignment vertical="center"/>
    </xf>
    <xf numFmtId="170" fontId="38" fillId="18" borderId="3" xfId="15" applyNumberFormat="1" applyFont="1" applyFill="1" applyBorder="1" applyAlignment="1">
      <alignment horizontal="center" vertical="center"/>
    </xf>
    <xf numFmtId="0" fontId="41" fillId="0" borderId="0" xfId="15" applyFont="1">
      <alignment vertical="center"/>
    </xf>
    <xf numFmtId="49" fontId="21" fillId="19" borderId="31" xfId="15" applyNumberFormat="1" applyFont="1" applyFill="1" applyBorder="1" applyAlignment="1">
      <alignment horizontal="center" vertical="center"/>
    </xf>
    <xf numFmtId="0" fontId="21" fillId="19" borderId="33" xfId="4" applyFont="1" applyFill="1" applyBorder="1" applyAlignment="1">
      <alignment horizontal="center" vertical="center"/>
    </xf>
    <xf numFmtId="0" fontId="21" fillId="19" borderId="31" xfId="15" applyFont="1" applyFill="1" applyBorder="1" applyAlignment="1">
      <alignment horizontal="center" vertical="center"/>
    </xf>
    <xf numFmtId="170" fontId="21" fillId="19" borderId="13" xfId="15" applyNumberFormat="1" applyFont="1" applyFill="1" applyBorder="1" applyAlignment="1">
      <alignment horizontal="center" vertical="center"/>
    </xf>
    <xf numFmtId="0" fontId="21" fillId="19" borderId="33" xfId="15" applyFont="1" applyFill="1" applyBorder="1" applyAlignment="1">
      <alignment vertical="center" wrapText="1"/>
    </xf>
    <xf numFmtId="0" fontId="21" fillId="0" borderId="31" xfId="15" applyFont="1" applyFill="1" applyBorder="1" applyAlignment="1">
      <alignment horizontal="center" vertical="center"/>
    </xf>
    <xf numFmtId="0" fontId="21" fillId="0" borderId="33" xfId="15" applyFont="1" applyFill="1" applyBorder="1" applyAlignment="1">
      <alignment vertical="center" wrapText="1"/>
    </xf>
    <xf numFmtId="0" fontId="21" fillId="17" borderId="36" xfId="4" applyFont="1" applyFill="1" applyBorder="1" applyAlignment="1">
      <alignment horizontal="center" vertical="center"/>
    </xf>
    <xf numFmtId="0" fontId="21" fillId="19" borderId="37" xfId="4" applyFont="1" applyFill="1" applyBorder="1" applyAlignment="1">
      <alignment horizontal="center" vertical="center"/>
    </xf>
    <xf numFmtId="0" fontId="21" fillId="19" borderId="31" xfId="4" applyFont="1" applyFill="1" applyBorder="1" applyAlignment="1">
      <alignment horizontal="center" vertical="center"/>
    </xf>
    <xf numFmtId="0" fontId="21" fillId="5" borderId="37" xfId="4" applyFont="1" applyFill="1" applyBorder="1" applyAlignment="1">
      <alignment vertical="center" wrapText="1"/>
    </xf>
    <xf numFmtId="49" fontId="38" fillId="0" borderId="47" xfId="15" applyNumberFormat="1" applyFont="1" applyFill="1" applyBorder="1" applyAlignment="1">
      <alignment vertical="center"/>
    </xf>
    <xf numFmtId="49" fontId="38" fillId="0" borderId="3" xfId="15" applyNumberFormat="1" applyFont="1" applyFill="1" applyBorder="1" applyAlignment="1">
      <alignment vertical="center" wrapText="1"/>
    </xf>
    <xf numFmtId="49" fontId="38" fillId="0" borderId="3" xfId="15" applyNumberFormat="1" applyFont="1" applyFill="1" applyBorder="1" applyAlignment="1">
      <alignment vertical="center"/>
    </xf>
    <xf numFmtId="170" fontId="38" fillId="0" borderId="3" xfId="15" applyNumberFormat="1" applyFont="1" applyFill="1" applyBorder="1" applyAlignment="1">
      <alignment horizontal="center" vertical="center"/>
    </xf>
    <xf numFmtId="0" fontId="24" fillId="0" borderId="0" xfId="17" applyFont="1">
      <alignment vertical="center"/>
    </xf>
    <xf numFmtId="0" fontId="31" fillId="0" borderId="0" xfId="17" applyFont="1">
      <alignment vertical="center"/>
    </xf>
    <xf numFmtId="0" fontId="30" fillId="7" borderId="13" xfId="17" applyFont="1" applyFill="1" applyBorder="1" applyAlignment="1">
      <alignment horizontal="center" vertical="center"/>
    </xf>
    <xf numFmtId="0" fontId="24" fillId="0" borderId="0" xfId="17" applyFont="1" applyAlignment="1">
      <alignment vertical="center" shrinkToFit="1"/>
    </xf>
    <xf numFmtId="0" fontId="24" fillId="0" borderId="0" xfId="17" applyFont="1" applyAlignment="1">
      <alignment horizontal="left" vertical="center" indent="1"/>
    </xf>
    <xf numFmtId="0" fontId="24" fillId="0" borderId="13" xfId="17" applyFont="1" applyBorder="1" applyAlignment="1">
      <alignment horizontal="left" vertical="top"/>
    </xf>
    <xf numFmtId="0" fontId="30" fillId="0" borderId="0" xfId="17" applyFont="1">
      <alignment vertical="center"/>
    </xf>
    <xf numFmtId="0" fontId="24" fillId="0" borderId="0" xfId="18" applyFont="1">
      <alignment vertical="center"/>
    </xf>
    <xf numFmtId="0" fontId="30" fillId="7" borderId="13" xfId="17" applyFont="1" applyFill="1" applyBorder="1" applyAlignment="1">
      <alignment horizontal="center" vertical="center" wrapText="1"/>
    </xf>
    <xf numFmtId="49" fontId="25" fillId="0" borderId="13" xfId="17" applyNumberFormat="1" applyFont="1" applyBorder="1" applyAlignment="1">
      <alignment horizontal="left" vertical="top" wrapText="1"/>
    </xf>
    <xf numFmtId="49" fontId="25" fillId="0" borderId="13" xfId="18" applyNumberFormat="1" applyFont="1" applyBorder="1" applyAlignment="1">
      <alignment horizontal="left" vertical="top" wrapText="1"/>
    </xf>
    <xf numFmtId="49" fontId="35" fillId="0" borderId="13" xfId="18" applyNumberFormat="1" applyFont="1" applyBorder="1" applyAlignment="1">
      <alignment horizontal="left" vertical="top" wrapText="1"/>
    </xf>
    <xf numFmtId="49" fontId="19" fillId="0" borderId="13" xfId="18" applyNumberFormat="1" applyFont="1" applyBorder="1" applyAlignment="1">
      <alignment horizontal="left" vertical="top" wrapText="1"/>
    </xf>
    <xf numFmtId="0" fontId="21" fillId="0" borderId="0" xfId="16" applyFont="1" applyBorder="1" applyAlignment="1">
      <alignment horizontal="left"/>
    </xf>
    <xf numFmtId="0" fontId="35" fillId="10" borderId="27" xfId="15" applyFont="1" applyFill="1" applyBorder="1" applyAlignment="1">
      <alignment horizontal="center" vertical="center"/>
    </xf>
    <xf numFmtId="0" fontId="21" fillId="0" borderId="34" xfId="4" applyFont="1" applyBorder="1">
      <alignment vertical="center"/>
    </xf>
    <xf numFmtId="0" fontId="21" fillId="0" borderId="34" xfId="15" applyFont="1" applyBorder="1">
      <alignment vertical="center"/>
    </xf>
    <xf numFmtId="0" fontId="21" fillId="0" borderId="33" xfId="15" applyFont="1" applyBorder="1">
      <alignment vertical="center"/>
    </xf>
    <xf numFmtId="0" fontId="21" fillId="19" borderId="34" xfId="15" applyFont="1" applyFill="1" applyBorder="1">
      <alignment vertical="center"/>
    </xf>
    <xf numFmtId="0" fontId="21" fillId="0" borderId="34" xfId="15" applyFont="1" applyFill="1" applyBorder="1">
      <alignment vertical="center"/>
    </xf>
    <xf numFmtId="0" fontId="21" fillId="0" borderId="33" xfId="15" applyFont="1" applyFill="1" applyBorder="1">
      <alignment vertical="center"/>
    </xf>
    <xf numFmtId="0" fontId="21" fillId="0" borderId="33" xfId="4" applyFont="1" applyFill="1" applyBorder="1">
      <alignment vertical="center"/>
    </xf>
    <xf numFmtId="0" fontId="21" fillId="0" borderId="49" xfId="4" applyFont="1" applyFill="1" applyBorder="1">
      <alignment vertical="center"/>
    </xf>
    <xf numFmtId="0" fontId="21" fillId="0" borderId="37" xfId="4" applyFont="1" applyFill="1" applyBorder="1">
      <alignment vertical="center"/>
    </xf>
    <xf numFmtId="0" fontId="21" fillId="19" borderId="34" xfId="4" applyFont="1" applyFill="1" applyBorder="1">
      <alignment vertical="center"/>
    </xf>
    <xf numFmtId="0" fontId="21" fillId="19" borderId="37" xfId="4" applyFont="1" applyFill="1" applyBorder="1">
      <alignment vertical="center"/>
    </xf>
    <xf numFmtId="0" fontId="21" fillId="5" borderId="37" xfId="4" applyFont="1" applyFill="1" applyBorder="1">
      <alignment vertical="center"/>
    </xf>
    <xf numFmtId="168" fontId="21" fillId="12" borderId="21" xfId="16" quotePrefix="1" applyNumberFormat="1" applyFont="1" applyFill="1" applyBorder="1" applyAlignment="1">
      <alignment horizontal="left" vertical="center" wrapText="1"/>
    </xf>
    <xf numFmtId="0" fontId="25" fillId="8" borderId="13" xfId="19" applyFont="1" applyFill="1" applyBorder="1" applyAlignment="1">
      <alignment horizontal="center" vertical="center" shrinkToFit="1"/>
    </xf>
    <xf numFmtId="0" fontId="25" fillId="8" borderId="13" xfId="19" applyFont="1" applyFill="1" applyBorder="1" applyAlignment="1">
      <alignment horizontal="center" vertical="center" wrapText="1"/>
    </xf>
    <xf numFmtId="0" fontId="25" fillId="8" borderId="13" xfId="19" applyFont="1" applyFill="1" applyBorder="1">
      <alignment vertical="center"/>
    </xf>
    <xf numFmtId="0" fontId="25" fillId="0" borderId="0" xfId="19" applyFont="1">
      <alignment vertical="center"/>
    </xf>
    <xf numFmtId="0" fontId="25" fillId="0" borderId="0" xfId="19" applyFont="1" applyAlignment="1">
      <alignment horizontal="center" vertical="center" shrinkToFit="1"/>
    </xf>
    <xf numFmtId="0" fontId="25" fillId="0" borderId="0" xfId="19" applyFont="1" applyAlignment="1">
      <alignment horizontal="center" vertical="center" wrapText="1"/>
    </xf>
    <xf numFmtId="0" fontId="25" fillId="0" borderId="0" xfId="19" applyFont="1" applyAlignment="1">
      <alignment vertical="center" wrapText="1"/>
    </xf>
    <xf numFmtId="0" fontId="25" fillId="0" borderId="0" xfId="20" applyFont="1" applyAlignment="1">
      <alignment vertical="center" wrapText="1"/>
    </xf>
    <xf numFmtId="0" fontId="21" fillId="0" borderId="0" xfId="20" applyFont="1" applyAlignment="1">
      <alignment vertical="center" wrapText="1"/>
    </xf>
    <xf numFmtId="0" fontId="21" fillId="0" borderId="0" xfId="19" applyFont="1" applyAlignment="1">
      <alignment horizontal="center" vertical="center" shrinkToFit="1"/>
    </xf>
    <xf numFmtId="0" fontId="21" fillId="0" borderId="0" xfId="20" applyFont="1" applyAlignment="1">
      <alignment horizontal="center" vertical="center" wrapText="1"/>
    </xf>
    <xf numFmtId="0" fontId="21" fillId="0" borderId="0" xfId="19" applyFont="1" applyAlignment="1">
      <alignment horizontal="center" vertical="center" wrapText="1"/>
    </xf>
    <xf numFmtId="0" fontId="21" fillId="0" borderId="0" xfId="19" applyFont="1" applyAlignment="1">
      <alignment vertical="center" wrapText="1"/>
    </xf>
    <xf numFmtId="0" fontId="21" fillId="0" borderId="0" xfId="21" applyFont="1" applyFill="1" applyAlignment="1">
      <alignment vertical="center" wrapText="1"/>
    </xf>
    <xf numFmtId="0" fontId="32" fillId="0" borderId="0" xfId="22" applyFont="1" applyAlignment="1">
      <alignment vertical="center" wrapText="1"/>
    </xf>
    <xf numFmtId="0" fontId="44" fillId="0" borderId="0" xfId="22" applyFont="1" applyAlignment="1">
      <alignment vertical="center" wrapText="1"/>
    </xf>
    <xf numFmtId="0" fontId="44" fillId="8" borderId="0" xfId="9" applyFont="1" applyFill="1" applyAlignment="1">
      <alignment vertical="center" wrapText="1"/>
    </xf>
    <xf numFmtId="0" fontId="34" fillId="0" borderId="0" xfId="19" applyFont="1" applyAlignment="1">
      <alignment vertical="center" wrapText="1"/>
    </xf>
    <xf numFmtId="0" fontId="44" fillId="8" borderId="6" xfId="9" applyFont="1" applyFill="1" applyBorder="1" applyAlignment="1">
      <alignment vertical="center" wrapText="1"/>
    </xf>
    <xf numFmtId="0" fontId="44" fillId="8" borderId="13" xfId="9" applyFont="1" applyFill="1" applyBorder="1" applyAlignment="1">
      <alignment vertical="center" wrapText="1"/>
    </xf>
    <xf numFmtId="0" fontId="21" fillId="15" borderId="0" xfId="4" applyFont="1" applyFill="1" applyAlignment="1">
      <alignment vertical="center" wrapText="1"/>
    </xf>
    <xf numFmtId="0" fontId="21" fillId="0" borderId="0" xfId="4" applyFont="1" applyBorder="1" applyAlignment="1">
      <alignment vertical="center" wrapText="1"/>
    </xf>
    <xf numFmtId="0" fontId="35" fillId="10" borderId="27" xfId="15" applyFont="1" applyFill="1" applyBorder="1" applyAlignment="1">
      <alignment horizontal="center" vertical="center" wrapText="1"/>
    </xf>
    <xf numFmtId="49" fontId="38" fillId="18" borderId="32" xfId="15" applyNumberFormat="1" applyFont="1" applyFill="1" applyBorder="1" applyAlignment="1">
      <alignment vertical="center" wrapText="1"/>
    </xf>
    <xf numFmtId="0" fontId="21" fillId="0" borderId="33" xfId="4" applyFont="1" applyBorder="1" applyAlignment="1">
      <alignment vertical="center" wrapText="1"/>
    </xf>
    <xf numFmtId="0" fontId="21" fillId="19" borderId="33" xfId="4" applyFont="1" applyFill="1" applyBorder="1" applyAlignment="1">
      <alignment vertical="center" wrapText="1"/>
    </xf>
    <xf numFmtId="0" fontId="47" fillId="0" borderId="33" xfId="23" applyFont="1" applyBorder="1" applyAlignment="1" applyProtection="1">
      <alignment vertical="center" wrapText="1"/>
    </xf>
    <xf numFmtId="0" fontId="21" fillId="0" borderId="32" xfId="4" applyFont="1" applyBorder="1" applyAlignment="1">
      <alignment vertical="center" wrapText="1"/>
    </xf>
    <xf numFmtId="0" fontId="21" fillId="15" borderId="36" xfId="4" applyFont="1" applyFill="1" applyBorder="1" applyAlignment="1">
      <alignment horizontal="center" vertical="center"/>
    </xf>
    <xf numFmtId="0" fontId="21" fillId="7" borderId="52" xfId="4" applyFont="1" applyFill="1" applyBorder="1" applyAlignment="1">
      <alignment horizontal="center" vertical="center"/>
    </xf>
    <xf numFmtId="0" fontId="47" fillId="7" borderId="54" xfId="23" applyFont="1" applyFill="1" applyBorder="1" applyAlignment="1" applyProtection="1">
      <alignment vertical="center" wrapText="1"/>
    </xf>
    <xf numFmtId="0" fontId="21" fillId="0" borderId="21" xfId="4" applyFont="1" applyFill="1" applyBorder="1" applyAlignment="1">
      <alignment horizontal="center" vertical="center"/>
    </xf>
    <xf numFmtId="0" fontId="21" fillId="0" borderId="21" xfId="4" applyFont="1" applyFill="1" applyBorder="1" applyAlignment="1">
      <alignment horizontal="left" vertical="center"/>
    </xf>
    <xf numFmtId="0" fontId="21" fillId="0" borderId="0" xfId="4" applyFont="1" applyFill="1">
      <alignment vertical="center"/>
    </xf>
    <xf numFmtId="0" fontId="21" fillId="0" borderId="33" xfId="4" applyFont="1" applyFill="1" applyBorder="1" applyAlignment="1">
      <alignment vertical="center" wrapText="1"/>
    </xf>
    <xf numFmtId="0" fontId="21" fillId="6" borderId="1" xfId="2" applyFont="1" applyFill="1" applyBorder="1" applyAlignment="1">
      <alignment horizontal="left" vertical="top" wrapText="1"/>
    </xf>
    <xf numFmtId="0" fontId="24" fillId="0" borderId="1" xfId="0" applyFont="1" applyBorder="1" applyAlignment="1">
      <alignment vertical="top"/>
    </xf>
    <xf numFmtId="0" fontId="21" fillId="2" borderId="6" xfId="5" applyFont="1" applyFill="1" applyBorder="1" applyAlignment="1">
      <alignment horizontal="center" vertical="center" wrapText="1"/>
    </xf>
    <xf numFmtId="0" fontId="24" fillId="0" borderId="8" xfId="0" applyFont="1" applyBorder="1" applyAlignment="1">
      <alignment horizontal="center" vertical="center" wrapText="1"/>
    </xf>
    <xf numFmtId="0" fontId="24" fillId="0" borderId="7" xfId="0" applyFont="1" applyBorder="1" applyAlignment="1">
      <alignment horizontal="center" vertical="center" wrapText="1"/>
    </xf>
    <xf numFmtId="0" fontId="24" fillId="0" borderId="9" xfId="0" applyFont="1" applyBorder="1" applyAlignment="1">
      <alignment horizontal="center" vertical="center" wrapText="1"/>
    </xf>
    <xf numFmtId="0" fontId="24" fillId="0" borderId="1" xfId="0" applyFont="1" applyBorder="1" applyAlignment="1">
      <alignment horizontal="center" vertical="center" wrapText="1"/>
    </xf>
    <xf numFmtId="0" fontId="24" fillId="0" borderId="10" xfId="0" applyFont="1" applyBorder="1" applyAlignment="1">
      <alignment horizontal="center" vertical="center" wrapText="1"/>
    </xf>
    <xf numFmtId="0" fontId="21" fillId="2" borderId="13" xfId="4" applyFont="1" applyFill="1" applyBorder="1" applyAlignment="1">
      <alignment horizontal="center" vertical="center" wrapText="1"/>
    </xf>
    <xf numFmtId="0" fontId="21" fillId="16" borderId="2" xfId="5" applyFont="1" applyFill="1" applyBorder="1" applyAlignment="1" applyProtection="1">
      <alignment vertical="center" wrapText="1"/>
      <protection locked="0"/>
    </xf>
    <xf numFmtId="0" fontId="21" fillId="16" borderId="3" xfId="5" applyFont="1" applyFill="1" applyBorder="1" applyAlignment="1" applyProtection="1">
      <alignment vertical="center" wrapText="1"/>
      <protection locked="0"/>
    </xf>
    <xf numFmtId="0" fontId="21" fillId="16" borderId="4" xfId="5" applyFont="1" applyFill="1" applyBorder="1" applyAlignment="1" applyProtection="1">
      <alignment vertical="center" wrapText="1"/>
      <protection locked="0"/>
    </xf>
    <xf numFmtId="49" fontId="21" fillId="9" borderId="2" xfId="4" applyNumberFormat="1" applyFont="1" applyFill="1" applyBorder="1" applyAlignment="1" applyProtection="1">
      <alignment horizontal="right" vertical="center" wrapText="1" shrinkToFit="1"/>
      <protection locked="0"/>
    </xf>
    <xf numFmtId="49" fontId="21" fillId="9" borderId="3" xfId="4" applyNumberFormat="1" applyFont="1" applyFill="1" applyBorder="1" applyAlignment="1" applyProtection="1">
      <alignment horizontal="right" vertical="center" wrapText="1" shrinkToFit="1"/>
      <protection locked="0"/>
    </xf>
    <xf numFmtId="49" fontId="21" fillId="9" borderId="4" xfId="4" applyNumberFormat="1" applyFont="1" applyFill="1" applyBorder="1" applyAlignment="1" applyProtection="1">
      <alignment horizontal="right" vertical="center" wrapText="1" shrinkToFit="1"/>
      <protection locked="0"/>
    </xf>
    <xf numFmtId="0" fontId="21" fillId="9" borderId="2" xfId="4" applyFont="1" applyFill="1" applyBorder="1" applyAlignment="1" applyProtection="1">
      <alignment horizontal="right" vertical="center" shrinkToFit="1"/>
      <protection locked="0"/>
    </xf>
    <xf numFmtId="0" fontId="21" fillId="9" borderId="4" xfId="4" applyFont="1" applyFill="1" applyBorder="1" applyAlignment="1" applyProtection="1">
      <alignment horizontal="right" vertical="center" shrinkToFit="1"/>
      <protection locked="0"/>
    </xf>
    <xf numFmtId="0" fontId="21" fillId="2" borderId="13" xfId="5" applyFont="1" applyFill="1" applyBorder="1" applyAlignment="1">
      <alignment horizontal="center" vertical="center" wrapText="1"/>
    </xf>
    <xf numFmtId="0" fontId="21" fillId="6" borderId="13" xfId="4" applyFont="1" applyFill="1" applyBorder="1" applyAlignment="1">
      <alignment horizontal="center" vertical="center" wrapText="1"/>
    </xf>
    <xf numFmtId="166" fontId="21" fillId="0" borderId="13" xfId="4" applyNumberFormat="1" applyFont="1" applyBorder="1" applyAlignment="1">
      <alignment vertical="center"/>
    </xf>
    <xf numFmtId="165" fontId="21" fillId="0" borderId="13" xfId="4" applyNumberFormat="1" applyFont="1" applyBorder="1" applyAlignment="1">
      <alignment vertical="center"/>
    </xf>
    <xf numFmtId="0" fontId="21" fillId="2" borderId="13" xfId="4" applyFont="1" applyFill="1" applyBorder="1" applyAlignment="1">
      <alignment horizontal="center" vertical="center"/>
    </xf>
    <xf numFmtId="0" fontId="21" fillId="2" borderId="2" xfId="4" applyFont="1" applyFill="1" applyBorder="1" applyAlignment="1">
      <alignment horizontal="center" vertical="center" wrapText="1"/>
    </xf>
    <xf numFmtId="0" fontId="21" fillId="2" borderId="3" xfId="4" applyFont="1" applyFill="1" applyBorder="1" applyAlignment="1">
      <alignment horizontal="center" vertical="center" wrapText="1"/>
    </xf>
    <xf numFmtId="0" fontId="21" fillId="2" borderId="4" xfId="4" applyFont="1" applyFill="1" applyBorder="1" applyAlignment="1">
      <alignment horizontal="center" vertical="center" wrapText="1"/>
    </xf>
    <xf numFmtId="0" fontId="21" fillId="2" borderId="6" xfId="4" applyFont="1" applyFill="1" applyBorder="1" applyAlignment="1">
      <alignment horizontal="center" vertical="center" wrapText="1"/>
    </xf>
    <xf numFmtId="0" fontId="21" fillId="2" borderId="8" xfId="4" applyFont="1" applyFill="1" applyBorder="1" applyAlignment="1">
      <alignment horizontal="center" vertical="center"/>
    </xf>
    <xf numFmtId="0" fontId="21" fillId="2" borderId="7" xfId="4" applyFont="1" applyFill="1" applyBorder="1" applyAlignment="1">
      <alignment horizontal="center" vertical="center"/>
    </xf>
    <xf numFmtId="0" fontId="21" fillId="2" borderId="9" xfId="4" applyFont="1" applyFill="1" applyBorder="1" applyAlignment="1">
      <alignment horizontal="center" vertical="center"/>
    </xf>
    <xf numFmtId="0" fontId="21" fillId="2" borderId="1" xfId="4" applyFont="1" applyFill="1" applyBorder="1" applyAlignment="1">
      <alignment horizontal="center" vertical="center"/>
    </xf>
    <xf numFmtId="0" fontId="21" fillId="2" borderId="10" xfId="4" applyFont="1" applyFill="1" applyBorder="1" applyAlignment="1">
      <alignment horizontal="center" vertical="center"/>
    </xf>
    <xf numFmtId="0" fontId="21" fillId="9" borderId="2" xfId="5" applyFont="1" applyFill="1" applyBorder="1" applyAlignment="1" applyProtection="1">
      <alignment vertical="center" wrapText="1"/>
      <protection locked="0"/>
    </xf>
    <xf numFmtId="0" fontId="21" fillId="9" borderId="3" xfId="5" applyFont="1" applyFill="1" applyBorder="1" applyAlignment="1" applyProtection="1">
      <alignment vertical="center" wrapText="1"/>
      <protection locked="0"/>
    </xf>
    <xf numFmtId="0" fontId="21" fillId="9" borderId="4" xfId="5" applyFont="1" applyFill="1" applyBorder="1" applyAlignment="1" applyProtection="1">
      <alignment vertical="center" wrapText="1"/>
      <protection locked="0"/>
    </xf>
    <xf numFmtId="0" fontId="21" fillId="0" borderId="13" xfId="5" applyFont="1" applyBorder="1" applyAlignment="1" applyProtection="1">
      <alignment horizontal="left" vertical="center" wrapText="1"/>
      <protection locked="0"/>
    </xf>
    <xf numFmtId="0" fontId="21" fillId="2" borderId="2" xfId="4" applyFont="1" applyFill="1" applyBorder="1" applyAlignment="1">
      <alignment horizontal="center" vertical="center"/>
    </xf>
    <xf numFmtId="0" fontId="21" fillId="2" borderId="4" xfId="4" applyFont="1" applyFill="1" applyBorder="1" applyAlignment="1">
      <alignment horizontal="center" vertical="center"/>
    </xf>
    <xf numFmtId="168" fontId="21" fillId="9" borderId="2" xfId="4" quotePrefix="1" applyNumberFormat="1" applyFont="1" applyFill="1" applyBorder="1" applyAlignment="1" applyProtection="1">
      <alignment vertical="center" wrapText="1" shrinkToFit="1"/>
      <protection locked="0"/>
    </xf>
    <xf numFmtId="168" fontId="21" fillId="9" borderId="3" xfId="4" quotePrefix="1" applyNumberFormat="1" applyFont="1" applyFill="1" applyBorder="1" applyAlignment="1" applyProtection="1">
      <alignment vertical="center" wrapText="1" shrinkToFit="1"/>
      <protection locked="0"/>
    </xf>
    <xf numFmtId="168" fontId="21" fillId="9" borderId="4" xfId="4" quotePrefix="1" applyNumberFormat="1" applyFont="1" applyFill="1" applyBorder="1" applyAlignment="1" applyProtection="1">
      <alignment vertical="center" wrapText="1" shrinkToFit="1"/>
      <protection locked="0"/>
    </xf>
    <xf numFmtId="168" fontId="21" fillId="9" borderId="2" xfId="4" applyNumberFormat="1" applyFont="1" applyFill="1" applyBorder="1" applyAlignment="1" applyProtection="1">
      <alignment horizontal="right" vertical="center" wrapText="1" shrinkToFit="1"/>
      <protection locked="0"/>
    </xf>
    <xf numFmtId="168" fontId="21" fillId="9" borderId="3" xfId="4" applyNumberFormat="1" applyFont="1" applyFill="1" applyBorder="1" applyAlignment="1" applyProtection="1">
      <alignment horizontal="right" vertical="center" wrapText="1" shrinkToFit="1"/>
      <protection locked="0"/>
    </xf>
    <xf numFmtId="168" fontId="21" fillId="9" borderId="4" xfId="4" applyNumberFormat="1" applyFont="1" applyFill="1" applyBorder="1" applyAlignment="1" applyProtection="1">
      <alignment horizontal="right" vertical="center" wrapText="1" shrinkToFit="1"/>
      <protection locked="0"/>
    </xf>
    <xf numFmtId="0" fontId="21" fillId="9" borderId="2" xfId="4" applyNumberFormat="1" applyFont="1" applyFill="1" applyBorder="1" applyAlignment="1" applyProtection="1">
      <alignment horizontal="right" vertical="center" wrapText="1" shrinkToFit="1"/>
      <protection locked="0"/>
    </xf>
    <xf numFmtId="0" fontId="21" fillId="9" borderId="3" xfId="4" applyNumberFormat="1" applyFont="1" applyFill="1" applyBorder="1" applyAlignment="1" applyProtection="1">
      <alignment horizontal="right" vertical="center" wrapText="1" shrinkToFit="1"/>
      <protection locked="0"/>
    </xf>
    <xf numFmtId="0" fontId="21" fillId="9" borderId="4" xfId="4" applyNumberFormat="1" applyFont="1" applyFill="1" applyBorder="1" applyAlignment="1" applyProtection="1">
      <alignment horizontal="right" vertical="center" wrapText="1" shrinkToFit="1"/>
      <protection locked="0"/>
    </xf>
    <xf numFmtId="14" fontId="21" fillId="0" borderId="13" xfId="5" applyNumberFormat="1" applyFont="1" applyBorder="1" applyAlignment="1" applyProtection="1">
      <alignment horizontal="center" vertical="center" wrapText="1"/>
      <protection locked="0"/>
    </xf>
    <xf numFmtId="0" fontId="21" fillId="16" borderId="2" xfId="4" quotePrefix="1" applyFont="1" applyFill="1" applyBorder="1" applyAlignment="1">
      <alignment horizontal="left" vertical="center" wrapText="1"/>
    </xf>
    <xf numFmtId="0" fontId="21" fillId="16" borderId="3" xfId="4" applyFont="1" applyFill="1" applyBorder="1" applyAlignment="1">
      <alignment horizontal="left" vertical="center"/>
    </xf>
    <xf numFmtId="0" fontId="21" fillId="16" borderId="4" xfId="4" applyFont="1" applyFill="1" applyBorder="1" applyAlignment="1">
      <alignment horizontal="left" vertical="center"/>
    </xf>
    <xf numFmtId="0" fontId="21" fillId="9" borderId="2" xfId="4" quotePrefix="1" applyNumberFormat="1" applyFont="1" applyFill="1" applyBorder="1" applyAlignment="1" applyProtection="1">
      <alignment horizontal="right" vertical="center" wrapText="1" shrinkToFit="1"/>
      <protection locked="0"/>
    </xf>
    <xf numFmtId="0" fontId="21" fillId="9" borderId="2" xfId="4" applyFont="1" applyFill="1" applyBorder="1" applyAlignment="1" applyProtection="1">
      <alignment vertical="center" shrinkToFit="1"/>
      <protection locked="0"/>
    </xf>
    <xf numFmtId="0" fontId="21" fillId="9" borderId="4" xfId="4" applyFont="1" applyFill="1" applyBorder="1" applyAlignment="1" applyProtection="1">
      <alignment vertical="center" shrinkToFit="1"/>
      <protection locked="0"/>
    </xf>
    <xf numFmtId="14" fontId="21" fillId="0" borderId="13" xfId="4" applyNumberFormat="1" applyFont="1" applyBorder="1" applyAlignment="1">
      <alignment horizontal="center" vertical="center" wrapText="1"/>
    </xf>
    <xf numFmtId="0" fontId="21" fillId="0" borderId="2" xfId="5" quotePrefix="1" applyFont="1" applyBorder="1" applyAlignment="1" applyProtection="1">
      <alignment horizontal="left" vertical="center" wrapText="1"/>
      <protection locked="0"/>
    </xf>
    <xf numFmtId="0" fontId="21" fillId="0" borderId="3" xfId="5" applyFont="1" applyBorder="1" applyAlignment="1" applyProtection="1">
      <alignment horizontal="left" vertical="center" wrapText="1"/>
      <protection locked="0"/>
    </xf>
    <xf numFmtId="0" fontId="21" fillId="0" borderId="4" xfId="5" applyFont="1" applyBorder="1" applyAlignment="1" applyProtection="1">
      <alignment horizontal="left" vertical="center" wrapText="1"/>
      <protection locked="0"/>
    </xf>
    <xf numFmtId="0" fontId="21" fillId="0" borderId="2" xfId="4" applyFont="1" applyBorder="1" applyAlignment="1">
      <alignment horizontal="left" vertical="center" wrapText="1"/>
    </xf>
    <xf numFmtId="0" fontId="21" fillId="0" borderId="3" xfId="4" applyFont="1" applyBorder="1" applyAlignment="1">
      <alignment horizontal="left" vertical="center" wrapText="1"/>
    </xf>
    <xf numFmtId="0" fontId="21" fillId="0" borderId="4" xfId="4" applyFont="1" applyBorder="1" applyAlignment="1">
      <alignment horizontal="left" vertical="center" wrapText="1"/>
    </xf>
    <xf numFmtId="14" fontId="21" fillId="0" borderId="13" xfId="4" applyNumberFormat="1" applyFont="1" applyBorder="1" applyAlignment="1" applyProtection="1">
      <alignment horizontal="center" vertical="center" shrinkToFit="1"/>
      <protection locked="0"/>
    </xf>
    <xf numFmtId="0" fontId="21" fillId="2" borderId="8" xfId="5" applyFont="1" applyFill="1" applyBorder="1" applyAlignment="1">
      <alignment horizontal="center" vertical="center" wrapText="1"/>
    </xf>
    <xf numFmtId="0" fontId="21" fillId="2" borderId="9" xfId="5" applyFont="1" applyFill="1" applyBorder="1" applyAlignment="1">
      <alignment horizontal="center" vertical="center" wrapText="1"/>
    </xf>
    <xf numFmtId="0" fontId="21" fillId="2" borderId="1" xfId="5" applyFont="1" applyFill="1" applyBorder="1" applyAlignment="1">
      <alignment horizontal="center" vertical="center" wrapText="1"/>
    </xf>
    <xf numFmtId="0" fontId="21" fillId="2" borderId="6" xfId="4" applyFont="1" applyFill="1" applyBorder="1" applyAlignment="1">
      <alignment horizontal="center" vertical="center" shrinkToFit="1"/>
    </xf>
    <xf numFmtId="0" fontId="21" fillId="2" borderId="8" xfId="4" applyFont="1" applyFill="1" applyBorder="1" applyAlignment="1">
      <alignment horizontal="center" vertical="center" shrinkToFit="1"/>
    </xf>
    <xf numFmtId="0" fontId="21" fillId="2" borderId="9" xfId="4" applyFont="1" applyFill="1" applyBorder="1" applyAlignment="1">
      <alignment horizontal="center" vertical="center" shrinkToFit="1"/>
    </xf>
    <xf numFmtId="0" fontId="21" fillId="2" borderId="1" xfId="4" applyFont="1" applyFill="1" applyBorder="1" applyAlignment="1">
      <alignment horizontal="center" vertical="center" shrinkToFit="1"/>
    </xf>
    <xf numFmtId="0" fontId="21" fillId="2" borderId="7" xfId="4" applyFont="1" applyFill="1" applyBorder="1" applyAlignment="1">
      <alignment horizontal="center" vertical="center" shrinkToFit="1"/>
    </xf>
    <xf numFmtId="0" fontId="21" fillId="2" borderId="10" xfId="4" applyFont="1" applyFill="1" applyBorder="1" applyAlignment="1">
      <alignment horizontal="center" vertical="center" shrinkToFit="1"/>
    </xf>
    <xf numFmtId="0" fontId="21" fillId="2" borderId="3" xfId="4" applyFont="1" applyFill="1" applyBorder="1" applyAlignment="1">
      <alignment horizontal="center" vertical="center"/>
    </xf>
    <xf numFmtId="0" fontId="21" fillId="2" borderId="7" xfId="5" applyFont="1" applyFill="1" applyBorder="1" applyAlignment="1">
      <alignment horizontal="center" vertical="center" wrapText="1"/>
    </xf>
    <xf numFmtId="0" fontId="21" fillId="2" borderId="10" xfId="5" applyFont="1" applyFill="1" applyBorder="1" applyAlignment="1">
      <alignment horizontal="center" vertical="center" wrapText="1"/>
    </xf>
    <xf numFmtId="165" fontId="21" fillId="4" borderId="13" xfId="4" applyNumberFormat="1" applyFont="1" applyFill="1" applyBorder="1" applyAlignment="1">
      <alignment horizontal="right" vertical="center"/>
    </xf>
    <xf numFmtId="0" fontId="21" fillId="0" borderId="13" xfId="4" applyFont="1" applyBorder="1" applyAlignment="1">
      <alignment horizontal="center" vertical="center"/>
    </xf>
    <xf numFmtId="2" fontId="21" fillId="0" borderId="13" xfId="4" applyNumberFormat="1" applyFont="1" applyBorder="1" applyAlignment="1">
      <alignment horizontal="center" vertical="center"/>
    </xf>
    <xf numFmtId="0" fontId="21" fillId="2" borderId="13" xfId="4" applyFont="1" applyFill="1" applyBorder="1" applyAlignment="1" applyProtection="1">
      <alignment horizontal="center" vertical="center" wrapText="1" shrinkToFit="1"/>
      <protection locked="0"/>
    </xf>
    <xf numFmtId="0" fontId="21" fillId="2" borderId="13" xfId="4" applyFont="1" applyFill="1" applyBorder="1" applyAlignment="1" applyProtection="1">
      <alignment horizontal="center" vertical="center" shrinkToFit="1"/>
      <protection locked="0"/>
    </xf>
    <xf numFmtId="164" fontId="21" fillId="0" borderId="13" xfId="4" applyNumberFormat="1" applyFont="1" applyBorder="1" applyAlignment="1" applyProtection="1">
      <alignment horizontal="center" vertical="center" shrinkToFit="1"/>
      <protection locked="0"/>
    </xf>
    <xf numFmtId="164" fontId="21" fillId="0" borderId="2" xfId="4" applyNumberFormat="1" applyFont="1" applyBorder="1" applyAlignment="1">
      <alignment horizontal="center" vertical="center"/>
    </xf>
    <xf numFmtId="164" fontId="21" fillId="0" borderId="4" xfId="4" applyNumberFormat="1" applyFont="1" applyBorder="1" applyAlignment="1">
      <alignment horizontal="center" vertical="center"/>
    </xf>
    <xf numFmtId="0" fontId="21" fillId="2" borderId="13" xfId="2" applyFont="1" applyFill="1" applyBorder="1" applyAlignment="1">
      <alignment horizontal="left" vertical="top" wrapText="1"/>
    </xf>
    <xf numFmtId="0" fontId="25" fillId="2" borderId="6" xfId="2" applyFont="1" applyFill="1" applyBorder="1" applyAlignment="1">
      <alignment horizontal="center" vertical="center" wrapText="1"/>
    </xf>
    <xf numFmtId="0" fontId="25" fillId="2" borderId="8" xfId="2" applyFont="1" applyFill="1" applyBorder="1" applyAlignment="1">
      <alignment horizontal="center" vertical="center" wrapText="1"/>
    </xf>
    <xf numFmtId="0" fontId="25" fillId="2" borderId="7" xfId="2" applyFont="1" applyFill="1" applyBorder="1" applyAlignment="1">
      <alignment horizontal="center" vertical="center" wrapText="1"/>
    </xf>
    <xf numFmtId="0" fontId="25" fillId="2" borderId="9" xfId="2" applyFont="1" applyFill="1" applyBorder="1" applyAlignment="1">
      <alignment horizontal="center" vertical="center" wrapText="1"/>
    </xf>
    <xf numFmtId="0" fontId="25" fillId="2" borderId="1" xfId="2" applyFont="1" applyFill="1" applyBorder="1" applyAlignment="1">
      <alignment horizontal="center" vertical="center" wrapText="1"/>
    </xf>
    <xf numFmtId="0" fontId="25" fillId="2" borderId="10" xfId="2" applyFont="1" applyFill="1" applyBorder="1" applyAlignment="1">
      <alignment horizontal="center" vertical="center" wrapText="1"/>
    </xf>
    <xf numFmtId="0" fontId="25" fillId="0" borderId="6" xfId="2" applyFont="1" applyBorder="1" applyAlignment="1">
      <alignment horizontal="center" vertical="center" wrapText="1"/>
    </xf>
    <xf numFmtId="0" fontId="25" fillId="0" borderId="8" xfId="2" applyFont="1" applyBorder="1" applyAlignment="1">
      <alignment horizontal="center" vertical="center" wrapText="1"/>
    </xf>
    <xf numFmtId="0" fontId="25" fillId="0" borderId="7" xfId="2" applyFont="1" applyBorder="1" applyAlignment="1">
      <alignment horizontal="center" vertical="center" wrapText="1"/>
    </xf>
    <xf numFmtId="0" fontId="25" fillId="0" borderId="9" xfId="2" applyFont="1" applyBorder="1" applyAlignment="1">
      <alignment horizontal="center" vertical="center" wrapText="1"/>
    </xf>
    <xf numFmtId="0" fontId="25" fillId="0" borderId="1" xfId="2" applyFont="1" applyBorder="1" applyAlignment="1">
      <alignment horizontal="center" vertical="center" wrapText="1"/>
    </xf>
    <xf numFmtId="0" fontId="25" fillId="0" borderId="10" xfId="2" applyFont="1" applyBorder="1" applyAlignment="1">
      <alignment horizontal="center" vertical="center" wrapText="1"/>
    </xf>
    <xf numFmtId="0" fontId="21" fillId="9" borderId="13" xfId="2" applyFont="1" applyFill="1" applyBorder="1" applyAlignment="1">
      <alignment horizontal="left" vertical="top" wrapText="1"/>
    </xf>
    <xf numFmtId="0" fontId="21" fillId="0" borderId="13" xfId="2" applyFont="1" applyBorder="1" applyAlignment="1">
      <alignment horizontal="left" vertical="top" wrapText="1"/>
    </xf>
    <xf numFmtId="0" fontId="26" fillId="0" borderId="6" xfId="2" applyFont="1" applyBorder="1" applyAlignment="1">
      <alignment horizontal="center" vertical="center" wrapText="1"/>
    </xf>
    <xf numFmtId="0" fontId="26" fillId="0" borderId="8" xfId="2" applyFont="1" applyBorder="1" applyAlignment="1">
      <alignment horizontal="center" vertical="center" wrapText="1"/>
    </xf>
    <xf numFmtId="0" fontId="26" fillId="0" borderId="7" xfId="2" applyFont="1" applyBorder="1" applyAlignment="1">
      <alignment horizontal="center" vertical="center" wrapText="1"/>
    </xf>
    <xf numFmtId="0" fontId="26" fillId="0" borderId="11" xfId="2" applyFont="1" applyBorder="1" applyAlignment="1">
      <alignment horizontal="center" vertical="center" wrapText="1"/>
    </xf>
    <xf numFmtId="0" fontId="26" fillId="0" borderId="0" xfId="2" applyFont="1" applyAlignment="1">
      <alignment horizontal="center" vertical="center" wrapText="1"/>
    </xf>
    <xf numFmtId="0" fontId="26" fillId="0" borderId="12" xfId="2" applyFont="1" applyBorder="1" applyAlignment="1">
      <alignment horizontal="center" vertical="center" wrapText="1"/>
    </xf>
    <xf numFmtId="0" fontId="26" fillId="0" borderId="9" xfId="2" applyFont="1" applyBorder="1" applyAlignment="1">
      <alignment horizontal="center" vertical="center" wrapText="1"/>
    </xf>
    <xf numFmtId="0" fontId="26" fillId="0" borderId="1" xfId="2" applyFont="1" applyBorder="1" applyAlignment="1">
      <alignment horizontal="center" vertical="center" wrapText="1"/>
    </xf>
    <xf numFmtId="0" fontId="26" fillId="0" borderId="10" xfId="2" applyFont="1" applyBorder="1" applyAlignment="1">
      <alignment horizontal="center" vertical="center" wrapText="1"/>
    </xf>
    <xf numFmtId="14" fontId="25" fillId="0" borderId="6" xfId="2" applyNumberFormat="1" applyFont="1" applyBorder="1" applyAlignment="1">
      <alignment horizontal="center" vertical="center" wrapText="1"/>
    </xf>
    <xf numFmtId="14" fontId="25" fillId="0" borderId="8" xfId="2" applyNumberFormat="1" applyFont="1" applyBorder="1" applyAlignment="1">
      <alignment horizontal="center" vertical="center" wrapText="1"/>
    </xf>
    <xf numFmtId="14" fontId="25" fillId="0" borderId="7" xfId="2" applyNumberFormat="1" applyFont="1" applyBorder="1" applyAlignment="1">
      <alignment horizontal="center" vertical="center" wrapText="1"/>
    </xf>
    <xf numFmtId="14" fontId="25" fillId="0" borderId="9" xfId="2" applyNumberFormat="1" applyFont="1" applyBorder="1" applyAlignment="1">
      <alignment horizontal="center" vertical="center" wrapText="1"/>
    </xf>
    <xf numFmtId="14" fontId="25" fillId="0" borderId="1" xfId="2" applyNumberFormat="1" applyFont="1" applyBorder="1" applyAlignment="1">
      <alignment horizontal="center" vertical="center" wrapText="1"/>
    </xf>
    <xf numFmtId="14" fontId="25" fillId="0" borderId="10" xfId="2" applyNumberFormat="1" applyFont="1" applyBorder="1" applyAlignment="1">
      <alignment horizontal="center" vertical="center" wrapText="1"/>
    </xf>
    <xf numFmtId="0" fontId="27" fillId="0" borderId="6" xfId="2" applyFont="1" applyBorder="1" applyAlignment="1">
      <alignment horizontal="center" vertical="center" wrapText="1"/>
    </xf>
    <xf numFmtId="0" fontId="27" fillId="0" borderId="8" xfId="2" applyFont="1" applyBorder="1" applyAlignment="1">
      <alignment horizontal="center" vertical="center" wrapText="1"/>
    </xf>
    <xf numFmtId="0" fontId="27" fillId="0" borderId="7" xfId="2" applyFont="1" applyBorder="1" applyAlignment="1">
      <alignment horizontal="center" vertical="center" wrapText="1"/>
    </xf>
    <xf numFmtId="0" fontId="27" fillId="0" borderId="11" xfId="2" applyFont="1" applyBorder="1" applyAlignment="1">
      <alignment horizontal="center" vertical="center" wrapText="1"/>
    </xf>
    <xf numFmtId="0" fontId="27" fillId="0" borderId="0" xfId="2" applyFont="1" applyAlignment="1">
      <alignment horizontal="center" vertical="center" wrapText="1"/>
    </xf>
    <xf numFmtId="0" fontId="27" fillId="0" borderId="12" xfId="2" applyFont="1" applyBorder="1" applyAlignment="1">
      <alignment horizontal="center" vertical="center" wrapText="1"/>
    </xf>
    <xf numFmtId="0" fontId="27" fillId="0" borderId="9" xfId="2" applyFont="1" applyBorder="1" applyAlignment="1">
      <alignment horizontal="center" vertical="center" wrapText="1"/>
    </xf>
    <xf numFmtId="0" fontId="27" fillId="0" borderId="1" xfId="2" applyFont="1" applyBorder="1" applyAlignment="1">
      <alignment horizontal="center" vertical="center" wrapText="1"/>
    </xf>
    <xf numFmtId="0" fontId="27" fillId="0" borderId="10" xfId="2" applyFont="1" applyBorder="1" applyAlignment="1">
      <alignment horizontal="center" vertical="center" wrapText="1"/>
    </xf>
    <xf numFmtId="0" fontId="25" fillId="2" borderId="13" xfId="2" applyFont="1" applyFill="1" applyBorder="1" applyAlignment="1">
      <alignment horizontal="center" vertical="center" wrapText="1"/>
    </xf>
    <xf numFmtId="0" fontId="25" fillId="0" borderId="13" xfId="2" applyFont="1" applyBorder="1" applyAlignment="1">
      <alignment horizontal="center" vertical="center" wrapText="1"/>
    </xf>
    <xf numFmtId="0" fontId="21" fillId="6" borderId="2" xfId="2" applyFont="1" applyFill="1" applyBorder="1" applyAlignment="1">
      <alignment horizontal="left" vertical="center" wrapText="1"/>
    </xf>
    <xf numFmtId="0" fontId="21" fillId="6" borderId="3" xfId="2" applyFont="1" applyFill="1" applyBorder="1" applyAlignment="1">
      <alignment horizontal="left" vertical="center" wrapText="1"/>
    </xf>
    <xf numFmtId="0" fontId="21" fillId="6" borderId="4" xfId="2" applyFont="1" applyFill="1" applyBorder="1" applyAlignment="1">
      <alignment horizontal="left" vertical="center" wrapText="1"/>
    </xf>
    <xf numFmtId="0" fontId="21" fillId="0" borderId="2" xfId="2" applyFont="1" applyBorder="1" applyAlignment="1">
      <alignment horizontal="left" vertical="center" wrapText="1"/>
    </xf>
    <xf numFmtId="0" fontId="21" fillId="0" borderId="3" xfId="2" applyFont="1" applyBorder="1" applyAlignment="1">
      <alignment horizontal="left" vertical="center" wrapText="1"/>
    </xf>
    <xf numFmtId="0" fontId="21" fillId="0" borderId="4" xfId="2" applyFont="1" applyBorder="1" applyAlignment="1">
      <alignment horizontal="left" vertical="center" wrapText="1"/>
    </xf>
    <xf numFmtId="0" fontId="21" fillId="0" borderId="13" xfId="4" applyFont="1" applyBorder="1" applyAlignment="1" applyProtection="1">
      <alignment horizontal="left" vertical="top" wrapText="1"/>
      <protection locked="0"/>
    </xf>
    <xf numFmtId="0" fontId="21" fillId="2" borderId="2" xfId="5" applyFont="1" applyFill="1" applyBorder="1" applyAlignment="1">
      <alignment horizontal="center" vertical="center" wrapText="1"/>
    </xf>
    <xf numFmtId="0" fontId="21" fillId="2" borderId="3" xfId="5" applyFont="1" applyFill="1" applyBorder="1" applyAlignment="1">
      <alignment horizontal="center" vertical="center"/>
    </xf>
    <xf numFmtId="0" fontId="21" fillId="2" borderId="4" xfId="5" applyFont="1" applyFill="1" applyBorder="1" applyAlignment="1">
      <alignment horizontal="center" vertical="center"/>
    </xf>
    <xf numFmtId="0" fontId="21" fillId="0" borderId="8" xfId="4" applyFont="1" applyBorder="1" applyAlignment="1" applyProtection="1">
      <alignment horizontal="center" vertical="center" wrapText="1" shrinkToFit="1"/>
      <protection locked="0"/>
    </xf>
    <xf numFmtId="0" fontId="21" fillId="2" borderId="5" xfId="4" applyFont="1" applyFill="1" applyBorder="1" applyAlignment="1" applyProtection="1">
      <alignment horizontal="center" vertical="center" wrapText="1" shrinkToFit="1"/>
      <protection locked="0"/>
    </xf>
    <xf numFmtId="0" fontId="21" fillId="2" borderId="5" xfId="4" applyFont="1" applyFill="1" applyBorder="1" applyAlignment="1" applyProtection="1">
      <alignment horizontal="center" vertical="center" shrinkToFit="1"/>
      <protection locked="0"/>
    </xf>
    <xf numFmtId="0" fontId="21" fillId="0" borderId="2" xfId="4" applyFont="1" applyBorder="1" applyAlignment="1" applyProtection="1">
      <alignment vertical="center" wrapText="1" shrinkToFit="1"/>
      <protection locked="0"/>
    </xf>
    <xf numFmtId="0" fontId="21" fillId="0" borderId="4" xfId="4" applyFont="1" applyBorder="1" applyAlignment="1" applyProtection="1">
      <alignment vertical="center" wrapText="1" shrinkToFit="1"/>
      <protection locked="0"/>
    </xf>
    <xf numFmtId="0" fontId="21" fillId="2" borderId="2" xfId="4" applyFont="1" applyFill="1" applyBorder="1" applyAlignment="1" applyProtection="1">
      <alignment horizontal="center" vertical="center" wrapText="1" shrinkToFit="1"/>
      <protection locked="0"/>
    </xf>
    <xf numFmtId="0" fontId="21" fillId="2" borderId="4" xfId="4" applyFont="1" applyFill="1" applyBorder="1" applyAlignment="1" applyProtection="1">
      <alignment horizontal="center" vertical="center" shrinkToFit="1"/>
      <protection locked="0"/>
    </xf>
    <xf numFmtId="0" fontId="21" fillId="0" borderId="3" xfId="4" applyFont="1" applyBorder="1" applyAlignment="1" applyProtection="1">
      <alignment vertical="center" wrapText="1" shrinkToFit="1"/>
      <protection locked="0"/>
    </xf>
    <xf numFmtId="0" fontId="21" fillId="0" borderId="13" xfId="4" applyFont="1" applyBorder="1" applyAlignment="1" applyProtection="1">
      <alignment horizontal="center" vertical="center" wrapText="1"/>
      <protection locked="0"/>
    </xf>
    <xf numFmtId="0" fontId="21" fillId="9" borderId="13" xfId="4" applyFont="1" applyFill="1" applyBorder="1" applyAlignment="1" applyProtection="1">
      <alignment horizontal="center" vertical="center" wrapText="1"/>
      <protection locked="0"/>
    </xf>
    <xf numFmtId="0" fontId="21" fillId="2" borderId="13" xfId="5" applyFont="1" applyFill="1" applyBorder="1" applyAlignment="1">
      <alignment horizontal="center" vertical="center"/>
    </xf>
    <xf numFmtId="0" fontId="21" fillId="6" borderId="2" xfId="4" applyFont="1" applyFill="1" applyBorder="1" applyAlignment="1">
      <alignment horizontal="center" vertical="center" wrapText="1"/>
    </xf>
    <xf numFmtId="0" fontId="21" fillId="6" borderId="3" xfId="4" applyFont="1" applyFill="1" applyBorder="1" applyAlignment="1">
      <alignment horizontal="center" vertical="center"/>
    </xf>
    <xf numFmtId="0" fontId="21" fillId="6" borderId="4" xfId="4" applyFont="1" applyFill="1" applyBorder="1" applyAlignment="1">
      <alignment horizontal="center" vertical="center"/>
    </xf>
    <xf numFmtId="0" fontId="21" fillId="0" borderId="2" xfId="4" applyFont="1" applyBorder="1" applyAlignment="1">
      <alignment horizontal="center" vertical="center"/>
    </xf>
    <xf numFmtId="0" fontId="21" fillId="0" borderId="3" xfId="4" applyFont="1" applyBorder="1" applyAlignment="1">
      <alignment horizontal="center" vertical="center"/>
    </xf>
    <xf numFmtId="0" fontId="21" fillId="0" borderId="4" xfId="4" applyFont="1" applyBorder="1" applyAlignment="1">
      <alignment horizontal="center" vertical="center"/>
    </xf>
    <xf numFmtId="0" fontId="21" fillId="0" borderId="13" xfId="4" applyFont="1" applyBorder="1" applyAlignment="1" applyProtection="1">
      <alignment horizontal="left" vertical="center" wrapText="1" shrinkToFit="1"/>
      <protection locked="0"/>
    </xf>
    <xf numFmtId="14" fontId="21" fillId="2" borderId="13" xfId="4" applyNumberFormat="1" applyFont="1" applyFill="1" applyBorder="1" applyAlignment="1">
      <alignment horizontal="center" vertical="center" wrapText="1"/>
    </xf>
    <xf numFmtId="14" fontId="21" fillId="2" borderId="13" xfId="4" applyNumberFormat="1" applyFont="1" applyFill="1" applyBorder="1" applyAlignment="1">
      <alignment horizontal="center" vertical="center"/>
    </xf>
    <xf numFmtId="0" fontId="21" fillId="2" borderId="6" xfId="4" applyFont="1" applyFill="1" applyBorder="1" applyAlignment="1">
      <alignment horizontal="center" vertical="center" wrapText="1" shrinkToFit="1"/>
    </xf>
    <xf numFmtId="0" fontId="21" fillId="2" borderId="8" xfId="4" applyFont="1" applyFill="1" applyBorder="1" applyAlignment="1">
      <alignment horizontal="center" vertical="center" wrapText="1" shrinkToFit="1"/>
    </xf>
    <xf numFmtId="0" fontId="21" fillId="2" borderId="9" xfId="4" applyFont="1" applyFill="1" applyBorder="1" applyAlignment="1">
      <alignment horizontal="center" vertical="center" wrapText="1" shrinkToFit="1"/>
    </xf>
    <xf numFmtId="0" fontId="21" fillId="2" borderId="1" xfId="4" applyFont="1" applyFill="1" applyBorder="1" applyAlignment="1">
      <alignment horizontal="center" vertical="center" wrapText="1" shrinkToFit="1"/>
    </xf>
    <xf numFmtId="0" fontId="21" fillId="2" borderId="13" xfId="4" applyFont="1" applyFill="1" applyBorder="1" applyAlignment="1">
      <alignment horizontal="center" vertical="center" wrapText="1" shrinkToFit="1"/>
    </xf>
    <xf numFmtId="0" fontId="21" fillId="2" borderId="13" xfId="4" applyFont="1" applyFill="1" applyBorder="1" applyAlignment="1">
      <alignment horizontal="center" vertical="center" shrinkToFit="1"/>
    </xf>
    <xf numFmtId="0" fontId="21" fillId="3" borderId="8" xfId="4" applyFont="1" applyFill="1" applyBorder="1" applyAlignment="1">
      <alignment horizontal="center" vertical="center"/>
    </xf>
    <xf numFmtId="0" fontId="21" fillId="3" borderId="8" xfId="4" applyFont="1" applyFill="1" applyBorder="1" applyAlignment="1" applyProtection="1">
      <alignment vertical="center" shrinkToFit="1"/>
      <protection locked="0"/>
    </xf>
    <xf numFmtId="0" fontId="21" fillId="3" borderId="8" xfId="4" applyFont="1" applyFill="1" applyBorder="1" applyAlignment="1" applyProtection="1">
      <alignment vertical="center" wrapText="1" shrinkToFit="1"/>
      <protection locked="0"/>
    </xf>
    <xf numFmtId="0" fontId="21" fillId="3" borderId="8" xfId="5" applyFont="1" applyFill="1" applyBorder="1" applyAlignment="1" applyProtection="1">
      <alignment vertical="center" wrapText="1"/>
      <protection locked="0"/>
    </xf>
    <xf numFmtId="2" fontId="21" fillId="9" borderId="2" xfId="4" quotePrefix="1" applyNumberFormat="1" applyFont="1" applyFill="1" applyBorder="1" applyAlignment="1" applyProtection="1">
      <alignment horizontal="right" vertical="center" wrapText="1" shrinkToFit="1"/>
      <protection locked="0"/>
    </xf>
    <xf numFmtId="2" fontId="21" fillId="9" borderId="3" xfId="4" applyNumberFormat="1" applyFont="1" applyFill="1" applyBorder="1" applyAlignment="1" applyProtection="1">
      <alignment horizontal="right" vertical="center" wrapText="1" shrinkToFit="1"/>
      <protection locked="0"/>
    </xf>
    <xf numFmtId="2" fontId="21" fillId="9" borderId="4" xfId="4" applyNumberFormat="1" applyFont="1" applyFill="1" applyBorder="1" applyAlignment="1" applyProtection="1">
      <alignment horizontal="right" vertical="center" wrapText="1" shrinkToFit="1"/>
      <protection locked="0"/>
    </xf>
    <xf numFmtId="0" fontId="21" fillId="9" borderId="13" xfId="4" applyFont="1" applyFill="1" applyBorder="1" applyAlignment="1">
      <alignment horizontal="left" vertical="center" wrapText="1"/>
    </xf>
    <xf numFmtId="0" fontId="21" fillId="0" borderId="13" xfId="4" applyFont="1" applyBorder="1" applyAlignment="1">
      <alignment horizontal="left" vertical="center"/>
    </xf>
    <xf numFmtId="0" fontId="21" fillId="0" borderId="13" xfId="4" applyFont="1" applyBorder="1" applyAlignment="1">
      <alignment horizontal="left" vertical="center" wrapText="1"/>
    </xf>
    <xf numFmtId="0" fontId="21" fillId="3" borderId="0" xfId="5" applyFont="1" applyFill="1" applyAlignment="1" applyProtection="1">
      <alignment horizontal="left" vertical="center" wrapText="1"/>
      <protection locked="0"/>
    </xf>
    <xf numFmtId="14" fontId="21" fillId="3" borderId="0" xfId="4" applyNumberFormat="1" applyFont="1" applyFill="1" applyAlignment="1">
      <alignment horizontal="center" vertical="center" wrapText="1"/>
    </xf>
    <xf numFmtId="14" fontId="21" fillId="3" borderId="0" xfId="5" applyNumberFormat="1" applyFont="1" applyFill="1" applyAlignment="1" applyProtection="1">
      <alignment horizontal="center" vertical="center" wrapText="1"/>
      <protection locked="0"/>
    </xf>
    <xf numFmtId="0" fontId="21" fillId="3" borderId="0" xfId="4" applyFont="1" applyFill="1" applyAlignment="1">
      <alignment horizontal="left" vertical="center" shrinkToFit="1"/>
    </xf>
    <xf numFmtId="14" fontId="21" fillId="0" borderId="2" xfId="4" applyNumberFormat="1" applyFont="1" applyBorder="1" applyAlignment="1">
      <alignment horizontal="center" vertical="center" wrapText="1"/>
    </xf>
    <xf numFmtId="14" fontId="21" fillId="0" borderId="4" xfId="4" applyNumberFormat="1" applyFont="1" applyBorder="1" applyAlignment="1">
      <alignment horizontal="center" vertical="center" wrapText="1"/>
    </xf>
    <xf numFmtId="0" fontId="21" fillId="0" borderId="13" xfId="5" quotePrefix="1" applyFont="1" applyBorder="1" applyAlignment="1" applyProtection="1">
      <alignment horizontal="left" vertical="center" wrapText="1"/>
      <protection locked="0"/>
    </xf>
    <xf numFmtId="0" fontId="21" fillId="6" borderId="3" xfId="4" applyFont="1" applyFill="1" applyBorder="1" applyAlignment="1">
      <alignment horizontal="center" vertical="center" wrapText="1"/>
    </xf>
    <xf numFmtId="0" fontId="21" fillId="6" borderId="4" xfId="4" applyFont="1" applyFill="1" applyBorder="1" applyAlignment="1">
      <alignment horizontal="center" vertical="center" wrapText="1"/>
    </xf>
    <xf numFmtId="0" fontId="21" fillId="6" borderId="13" xfId="4" applyFont="1" applyFill="1" applyBorder="1" applyAlignment="1">
      <alignment horizontal="center" vertical="center"/>
    </xf>
    <xf numFmtId="166" fontId="21" fillId="4" borderId="13" xfId="4" applyNumberFormat="1" applyFont="1" applyFill="1" applyBorder="1" applyAlignment="1">
      <alignment horizontal="right" vertical="center"/>
    </xf>
    <xf numFmtId="0" fontId="25" fillId="0" borderId="43" xfId="15" applyFont="1" applyBorder="1" applyAlignment="1">
      <alignment horizontal="left" vertical="center" wrapText="1"/>
    </xf>
    <xf numFmtId="0" fontId="25" fillId="0" borderId="44" xfId="15" applyFont="1" applyBorder="1" applyAlignment="1">
      <alignment horizontal="left" vertical="center" wrapText="1"/>
    </xf>
    <xf numFmtId="0" fontId="21" fillId="0" borderId="45" xfId="15" applyFont="1" applyBorder="1" applyAlignment="1">
      <alignment horizontal="left" vertical="center"/>
    </xf>
    <xf numFmtId="0" fontId="21" fillId="0" borderId="46" xfId="15" applyFont="1" applyBorder="1" applyAlignment="1">
      <alignment horizontal="left" vertical="center"/>
    </xf>
    <xf numFmtId="0" fontId="21" fillId="5" borderId="2" xfId="4" applyFont="1" applyFill="1" applyBorder="1" applyAlignment="1">
      <alignment horizontal="left" vertical="center" wrapText="1"/>
    </xf>
    <xf numFmtId="0" fontId="21" fillId="5" borderId="32" xfId="4" applyFont="1" applyFill="1" applyBorder="1" applyAlignment="1">
      <alignment horizontal="left" vertical="center" wrapText="1"/>
    </xf>
    <xf numFmtId="0" fontId="21" fillId="0" borderId="2" xfId="4" applyFont="1" applyFill="1" applyBorder="1" applyAlignment="1">
      <alignment horizontal="left" vertical="center" wrapText="1"/>
    </xf>
    <xf numFmtId="0" fontId="21" fillId="0" borderId="32" xfId="4" applyFont="1" applyFill="1" applyBorder="1" applyAlignment="1">
      <alignment horizontal="left" vertical="center" wrapText="1"/>
    </xf>
    <xf numFmtId="0" fontId="21" fillId="0" borderId="43" xfId="4" applyFont="1" applyFill="1" applyBorder="1" applyAlignment="1">
      <alignment horizontal="left" vertical="center" wrapText="1"/>
    </xf>
    <xf numFmtId="0" fontId="21" fillId="0" borderId="53" xfId="4" applyFont="1" applyFill="1" applyBorder="1" applyAlignment="1">
      <alignment horizontal="left" vertical="center" wrapText="1"/>
    </xf>
    <xf numFmtId="0" fontId="38" fillId="15" borderId="23" xfId="15" applyFont="1" applyFill="1" applyBorder="1" applyAlignment="1">
      <alignment vertical="center"/>
    </xf>
    <xf numFmtId="0" fontId="38" fillId="15" borderId="30" xfId="15" applyFont="1" applyFill="1" applyBorder="1" applyAlignment="1">
      <alignment vertical="center"/>
    </xf>
    <xf numFmtId="0" fontId="38" fillId="15" borderId="24" xfId="15" applyFont="1" applyFill="1" applyBorder="1" applyAlignment="1">
      <alignment vertical="center"/>
    </xf>
    <xf numFmtId="0" fontId="21" fillId="13" borderId="35" xfId="15" applyFont="1" applyFill="1" applyBorder="1" applyAlignment="1">
      <alignment horizontal="center" vertical="center" wrapText="1"/>
    </xf>
    <xf numFmtId="0" fontId="21" fillId="13" borderId="39" xfId="15" applyFont="1" applyFill="1" applyBorder="1" applyAlignment="1">
      <alignment horizontal="center" vertical="center" wrapText="1"/>
    </xf>
    <xf numFmtId="0" fontId="21" fillId="13" borderId="40" xfId="15" applyFont="1" applyFill="1" applyBorder="1" applyAlignment="1">
      <alignment horizontal="center" vertical="center"/>
    </xf>
    <xf numFmtId="0" fontId="21" fillId="13" borderId="41" xfId="15" applyFont="1" applyFill="1" applyBorder="1" applyAlignment="1">
      <alignment horizontal="center" vertical="center"/>
    </xf>
    <xf numFmtId="0" fontId="25" fillId="0" borderId="2" xfId="15" applyFont="1" applyBorder="1" applyAlignment="1">
      <alignment horizontal="left" vertical="center" wrapText="1"/>
    </xf>
    <xf numFmtId="0" fontId="25" fillId="0" borderId="4" xfId="15" applyFont="1" applyBorder="1" applyAlignment="1">
      <alignment horizontal="left" vertical="center" wrapText="1"/>
    </xf>
    <xf numFmtId="0" fontId="21" fillId="0" borderId="13" xfId="15" applyFont="1" applyBorder="1" applyAlignment="1">
      <alignment horizontal="left" vertical="center"/>
    </xf>
    <xf numFmtId="0" fontId="21" fillId="0" borderId="34" xfId="15" applyFont="1" applyBorder="1" applyAlignment="1">
      <alignment horizontal="left" vertical="center"/>
    </xf>
    <xf numFmtId="0" fontId="21" fillId="19" borderId="2" xfId="4" applyFont="1" applyFill="1" applyBorder="1" applyAlignment="1">
      <alignment horizontal="left" vertical="center" wrapText="1"/>
    </xf>
    <xf numFmtId="0" fontId="21" fillId="19" borderId="32" xfId="4" applyFont="1" applyFill="1" applyBorder="1" applyAlignment="1">
      <alignment horizontal="left" vertical="center" wrapText="1"/>
    </xf>
    <xf numFmtId="0" fontId="21" fillId="0" borderId="32" xfId="4" applyFont="1" applyBorder="1" applyAlignment="1">
      <alignment horizontal="left" vertical="center" wrapText="1"/>
    </xf>
    <xf numFmtId="0" fontId="21" fillId="0" borderId="2" xfId="15" applyFont="1" applyFill="1" applyBorder="1" applyAlignment="1">
      <alignment vertical="center" wrapText="1"/>
    </xf>
    <xf numFmtId="0" fontId="21" fillId="0" borderId="32" xfId="15" applyFont="1" applyFill="1" applyBorder="1" applyAlignment="1">
      <alignment vertical="center" wrapText="1"/>
    </xf>
    <xf numFmtId="0" fontId="38" fillId="15" borderId="50" xfId="15" applyFont="1" applyFill="1" applyBorder="1" applyAlignment="1">
      <alignment horizontal="left" vertical="center"/>
    </xf>
    <xf numFmtId="0" fontId="38" fillId="15" borderId="0" xfId="15" applyFont="1" applyFill="1" applyBorder="1" applyAlignment="1">
      <alignment horizontal="left" vertical="center"/>
    </xf>
    <xf numFmtId="0" fontId="38" fillId="15" borderId="51" xfId="15" applyFont="1" applyFill="1" applyBorder="1" applyAlignment="1">
      <alignment horizontal="left" vertical="center"/>
    </xf>
    <xf numFmtId="0" fontId="21" fillId="0" borderId="9" xfId="4" applyFont="1" applyBorder="1" applyAlignment="1">
      <alignment horizontal="left" vertical="center" wrapText="1"/>
    </xf>
    <xf numFmtId="0" fontId="21" fillId="0" borderId="48" xfId="4" applyFont="1" applyBorder="1" applyAlignment="1">
      <alignment horizontal="left" vertical="center" wrapText="1"/>
    </xf>
    <xf numFmtId="0" fontId="21" fillId="0" borderId="2" xfId="15" applyFont="1" applyBorder="1" applyAlignment="1">
      <alignment horizontal="left" vertical="center" wrapText="1"/>
    </xf>
    <xf numFmtId="0" fontId="21" fillId="0" borderId="32" xfId="15" applyFont="1" applyBorder="1" applyAlignment="1">
      <alignment horizontal="left" vertical="center" wrapText="1"/>
    </xf>
    <xf numFmtId="0" fontId="21" fillId="0" borderId="2" xfId="15" applyFont="1" applyFill="1" applyBorder="1" applyAlignment="1">
      <alignment horizontal="left" vertical="center" wrapText="1"/>
    </xf>
    <xf numFmtId="0" fontId="21" fillId="0" borderId="32" xfId="15" applyFont="1" applyFill="1" applyBorder="1" applyAlignment="1">
      <alignment horizontal="left" vertical="center" wrapText="1"/>
    </xf>
    <xf numFmtId="0" fontId="21" fillId="19" borderId="2" xfId="15" applyFont="1" applyFill="1" applyBorder="1" applyAlignment="1">
      <alignment vertical="center" wrapText="1"/>
    </xf>
    <xf numFmtId="0" fontId="21" fillId="19" borderId="32" xfId="15" applyFont="1" applyFill="1" applyBorder="1" applyAlignment="1">
      <alignment vertical="center" wrapText="1"/>
    </xf>
    <xf numFmtId="0" fontId="21" fillId="0" borderId="15" xfId="16" applyFont="1" applyBorder="1" applyAlignment="1">
      <alignment horizontal="center" vertical="center"/>
    </xf>
    <xf numFmtId="0" fontId="21" fillId="0" borderId="16" xfId="16" applyFont="1" applyBorder="1" applyAlignment="1">
      <alignment horizontal="center" vertical="center"/>
    </xf>
    <xf numFmtId="0" fontId="21" fillId="0" borderId="19" xfId="16" applyFont="1" applyBorder="1" applyAlignment="1">
      <alignment horizontal="center" vertical="center"/>
    </xf>
    <xf numFmtId="0" fontId="21" fillId="0" borderId="20" xfId="16" applyFont="1" applyBorder="1" applyAlignment="1">
      <alignment horizontal="center" vertical="center"/>
    </xf>
    <xf numFmtId="0" fontId="21" fillId="12" borderId="17" xfId="16" applyFont="1" applyFill="1" applyBorder="1" applyAlignment="1">
      <alignment horizontal="left" vertical="center" wrapText="1"/>
    </xf>
    <xf numFmtId="0" fontId="21" fillId="12" borderId="21" xfId="16" applyFont="1" applyFill="1" applyBorder="1" applyAlignment="1">
      <alignment horizontal="left" vertical="center" wrapText="1"/>
    </xf>
    <xf numFmtId="0" fontId="21" fillId="0" borderId="15" xfId="4" applyFont="1" applyFill="1" applyBorder="1" applyAlignment="1">
      <alignment horizontal="center" vertical="center"/>
    </xf>
    <xf numFmtId="0" fontId="21" fillId="0" borderId="16" xfId="4" applyFont="1" applyFill="1" applyBorder="1" applyAlignment="1">
      <alignment horizontal="center" vertical="center"/>
    </xf>
    <xf numFmtId="0" fontId="21" fillId="0" borderId="19" xfId="4" applyFont="1" applyFill="1" applyBorder="1" applyAlignment="1">
      <alignment horizontal="center" vertical="center"/>
    </xf>
    <xf numFmtId="0" fontId="21" fillId="0" borderId="20" xfId="4" applyFont="1" applyFill="1" applyBorder="1" applyAlignment="1">
      <alignment horizontal="center" vertical="center"/>
    </xf>
    <xf numFmtId="170" fontId="21" fillId="12" borderId="15" xfId="16" applyNumberFormat="1" applyFont="1" applyFill="1" applyBorder="1" applyAlignment="1">
      <alignment horizontal="left" vertical="center"/>
    </xf>
    <xf numFmtId="170" fontId="21" fillId="12" borderId="18" xfId="16" applyNumberFormat="1" applyFont="1" applyFill="1" applyBorder="1" applyAlignment="1">
      <alignment horizontal="left" vertical="center"/>
    </xf>
    <xf numFmtId="170" fontId="21" fillId="12" borderId="16" xfId="16" applyNumberFormat="1" applyFont="1" applyFill="1" applyBorder="1" applyAlignment="1">
      <alignment horizontal="left" vertical="center"/>
    </xf>
    <xf numFmtId="170" fontId="21" fillId="12" borderId="19" xfId="16" applyNumberFormat="1" applyFont="1" applyFill="1" applyBorder="1" applyAlignment="1">
      <alignment horizontal="left" vertical="center"/>
    </xf>
    <xf numFmtId="170" fontId="21" fillId="12" borderId="22" xfId="16" applyNumberFormat="1" applyFont="1" applyFill="1" applyBorder="1" applyAlignment="1">
      <alignment horizontal="left" vertical="center"/>
    </xf>
    <xf numFmtId="170" fontId="21" fillId="12" borderId="20" xfId="16" applyNumberFormat="1" applyFont="1" applyFill="1" applyBorder="1" applyAlignment="1">
      <alignment horizontal="left" vertical="center"/>
    </xf>
    <xf numFmtId="0" fontId="21" fillId="0" borderId="23" xfId="16" applyFont="1" applyBorder="1" applyAlignment="1">
      <alignment horizontal="center" vertical="center"/>
    </xf>
    <xf numFmtId="0" fontId="21" fillId="0" borderId="24" xfId="16" applyFont="1" applyBorder="1" applyAlignment="1">
      <alignment horizontal="center" vertical="center"/>
    </xf>
    <xf numFmtId="0" fontId="21" fillId="0" borderId="15" xfId="4" applyFont="1" applyBorder="1" applyAlignment="1">
      <alignment horizontal="center" vertical="center"/>
    </xf>
    <xf numFmtId="0" fontId="21" fillId="0" borderId="16" xfId="4" applyFont="1" applyBorder="1" applyAlignment="1">
      <alignment horizontal="center" vertical="center"/>
    </xf>
    <xf numFmtId="0" fontId="21" fillId="0" borderId="19" xfId="4" applyFont="1" applyBorder="1" applyAlignment="1">
      <alignment horizontal="center" vertical="center"/>
    </xf>
    <xf numFmtId="0" fontId="21" fillId="0" borderId="20" xfId="4" applyFont="1" applyBorder="1" applyAlignment="1">
      <alignment horizontal="center" vertical="center"/>
    </xf>
    <xf numFmtId="0" fontId="21" fillId="12" borderId="15" xfId="16" applyFont="1" applyFill="1" applyBorder="1" applyAlignment="1">
      <alignment horizontal="left" vertical="center"/>
    </xf>
    <xf numFmtId="0" fontId="21" fillId="12" borderId="18" xfId="16" applyFont="1" applyFill="1" applyBorder="1" applyAlignment="1">
      <alignment horizontal="left" vertical="center"/>
    </xf>
    <xf numFmtId="0" fontId="21" fillId="12" borderId="16" xfId="16" applyFont="1" applyFill="1" applyBorder="1" applyAlignment="1">
      <alignment horizontal="left" vertical="center"/>
    </xf>
    <xf numFmtId="0" fontId="21" fillId="12" borderId="19" xfId="16" applyFont="1" applyFill="1" applyBorder="1" applyAlignment="1">
      <alignment horizontal="left" vertical="center"/>
    </xf>
    <xf numFmtId="0" fontId="21" fillId="12" borderId="22" xfId="16" applyFont="1" applyFill="1" applyBorder="1" applyAlignment="1">
      <alignment horizontal="left" vertical="center"/>
    </xf>
    <xf numFmtId="0" fontId="21" fillId="12" borderId="20" xfId="16" applyFont="1" applyFill="1" applyBorder="1" applyAlignment="1">
      <alignment horizontal="left" vertical="center"/>
    </xf>
    <xf numFmtId="0" fontId="35" fillId="13" borderId="26" xfId="15" applyFont="1" applyFill="1" applyBorder="1" applyAlignment="1">
      <alignment horizontal="center" vertical="center" wrapText="1"/>
    </xf>
    <xf numFmtId="0" fontId="35" fillId="13" borderId="24" xfId="15" applyFont="1" applyFill="1" applyBorder="1" applyAlignment="1">
      <alignment horizontal="center" vertical="center" wrapText="1"/>
    </xf>
    <xf numFmtId="0" fontId="38" fillId="15" borderId="15" xfId="15" applyFont="1" applyFill="1" applyBorder="1" applyAlignment="1">
      <alignment horizontal="left" vertical="center"/>
    </xf>
    <xf numFmtId="0" fontId="38" fillId="15" borderId="18" xfId="15" applyFont="1" applyFill="1" applyBorder="1" applyAlignment="1">
      <alignment horizontal="left" vertical="center"/>
    </xf>
    <xf numFmtId="0" fontId="38" fillId="15" borderId="16" xfId="15" applyFont="1" applyFill="1" applyBorder="1" applyAlignment="1">
      <alignment horizontal="left" vertical="center"/>
    </xf>
    <xf numFmtId="0" fontId="21" fillId="0" borderId="2" xfId="15" applyFont="1" applyBorder="1" applyAlignment="1">
      <alignment vertical="center" wrapText="1"/>
    </xf>
    <xf numFmtId="0" fontId="21" fillId="0" borderId="32" xfId="15" applyFont="1" applyBorder="1" applyAlignment="1">
      <alignment vertical="center" wrapText="1"/>
    </xf>
    <xf numFmtId="0" fontId="24" fillId="0" borderId="5" xfId="18" applyFont="1" applyBorder="1" applyAlignment="1">
      <alignment horizontal="center" vertical="top" wrapText="1" shrinkToFit="1"/>
    </xf>
    <xf numFmtId="0" fontId="24" fillId="0" borderId="14" xfId="18" applyFont="1" applyBorder="1" applyAlignment="1">
      <alignment horizontal="center" vertical="top" shrinkToFit="1"/>
    </xf>
    <xf numFmtId="0" fontId="24" fillId="0" borderId="5" xfId="18" applyFont="1" applyBorder="1" applyAlignment="1">
      <alignment horizontal="center" vertical="top" shrinkToFit="1"/>
    </xf>
    <xf numFmtId="0" fontId="24" fillId="0" borderId="5" xfId="17" applyFont="1" applyBorder="1" applyAlignment="1">
      <alignment horizontal="center" vertical="top" wrapText="1" shrinkToFit="1"/>
    </xf>
    <xf numFmtId="0" fontId="24" fillId="0" borderId="14" xfId="17" applyFont="1" applyBorder="1" applyAlignment="1">
      <alignment horizontal="center" vertical="top" shrinkToFit="1"/>
    </xf>
  </cellXfs>
  <cellStyles count="24">
    <cellStyle name="Hyperlink 2" xfId="23" xr:uid="{00000000-0005-0000-0000-000000000000}"/>
    <cellStyle name="Normal" xfId="0" builtinId="0"/>
    <cellStyle name="Normal 2" xfId="15" xr:uid="{00000000-0005-0000-0000-000002000000}"/>
    <cellStyle name="ハイパーリンク 2" xfId="9" xr:uid="{00000000-0005-0000-0000-000003000000}"/>
    <cellStyle name="ハイパーリンク 5" xfId="22" xr:uid="{00000000-0005-0000-0000-000004000000}"/>
    <cellStyle name="悪い 2" xfId="21" xr:uid="{00000000-0005-0000-0000-000005000000}"/>
    <cellStyle name="標準 2" xfId="1" xr:uid="{00000000-0005-0000-0000-000006000000}"/>
    <cellStyle name="標準 2 2" xfId="4" xr:uid="{00000000-0005-0000-0000-000007000000}"/>
    <cellStyle name="標準 2 2 2" xfId="14" xr:uid="{00000000-0005-0000-0000-000008000000}"/>
    <cellStyle name="標準 2 5" xfId="7" xr:uid="{00000000-0005-0000-0000-000009000000}"/>
    <cellStyle name="標準 2 5 2" xfId="18" xr:uid="{00000000-0005-0000-0000-00000A000000}"/>
    <cellStyle name="標準 3" xfId="2" xr:uid="{00000000-0005-0000-0000-00000B000000}"/>
    <cellStyle name="標準 4" xfId="3" xr:uid="{00000000-0005-0000-0000-00000C000000}"/>
    <cellStyle name="標準 4 2" xfId="8" xr:uid="{00000000-0005-0000-0000-00000D000000}"/>
    <cellStyle name="標準 4 2 2" xfId="17" xr:uid="{00000000-0005-0000-0000-00000E000000}"/>
    <cellStyle name="標準 5" xfId="10" xr:uid="{00000000-0005-0000-0000-00000F000000}"/>
    <cellStyle name="標準 5 2" xfId="12" xr:uid="{00000000-0005-0000-0000-000010000000}"/>
    <cellStyle name="標準 5 2 2 2" xfId="19" xr:uid="{00000000-0005-0000-0000-000011000000}"/>
    <cellStyle name="標準 6" xfId="11" xr:uid="{00000000-0005-0000-0000-000012000000}"/>
    <cellStyle name="標準 6 2" xfId="13" xr:uid="{00000000-0005-0000-0000-000013000000}"/>
    <cellStyle name="標準 6 2 3" xfId="20" xr:uid="{00000000-0005-0000-0000-000014000000}"/>
    <cellStyle name="標準_コードレビューに関するコメント" xfId="16" xr:uid="{00000000-0005-0000-0000-000015000000}"/>
    <cellStyle name="標準_コードレビューに関するコメント_コードレビューチェックリストv0.22" xfId="5" xr:uid="{00000000-0005-0000-0000-000016000000}"/>
    <cellStyle name="標準_レビューチェックリスト_機能仕様書" xfId="6" xr:uid="{00000000-0005-0000-0000-000017000000}"/>
  </cellStyles>
  <dxfs count="288">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numFmt numFmtId="0" formatCode="General"/>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fill>
        <patternFill patternType="none">
          <fgColor rgb="FF000000"/>
          <bgColor rgb="FFFFFFFF"/>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287"/>
      <tableStyleElement type="headerRow" dxfId="286"/>
    </tableStyle>
  </tableStyles>
  <colors>
    <mruColors>
      <color rgb="FFFFCCFF"/>
      <color rgb="FF0000FF"/>
      <color rgb="FFFFE0D7"/>
      <color rgb="FFF8FEC2"/>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テーブル13283232392" displayName="テーブル13283232392" ref="A2:I69" totalsRowShown="0" headerRowDxfId="10" dataDxfId="9">
  <tableColumns count="9">
    <tableColumn id="1" xr3:uid="{00000000-0010-0000-0000-000001000000}" name="列1" dataDxfId="8">
      <calculatedColumnFormula>ROW()-2</calculatedColumnFormula>
    </tableColumn>
    <tableColumn id="2" xr3:uid="{00000000-0010-0000-0000-000002000000}" name="列2" dataDxfId="7"/>
    <tableColumn id="3" xr3:uid="{00000000-0010-0000-0000-000003000000}" name="列3" dataDxfId="6"/>
    <tableColumn id="4" xr3:uid="{00000000-0010-0000-0000-000004000000}" name="列4" dataDxfId="5"/>
    <tableColumn id="5" xr3:uid="{00000000-0010-0000-0000-000005000000}" name="列5" dataDxfId="4"/>
    <tableColumn id="6" xr3:uid="{00000000-0010-0000-0000-000006000000}" name="列6" dataDxfId="3"/>
    <tableColumn id="7" xr3:uid="{00000000-0010-0000-0000-000007000000}" name="列42" dataDxfId="2"/>
    <tableColumn id="8" xr3:uid="{00000000-0010-0000-0000-000008000000}" name="列52" dataDxfId="1"/>
    <tableColumn id="9" xr3:uid="{00000000-0010-0000-0000-000009000000}" name="列62" dataDxfId="0"/>
  </tableColumns>
  <tableStyleInfo name="TableStyleLight15"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172.29.143.164:8080/projects/mcu_modeling/wiki/%5BU2B_20%5D_The_overview_info" TargetMode="External"/><Relationship Id="rId1" Type="http://schemas.openxmlformats.org/officeDocument/2006/relationships/hyperlink" Target="http://172.29.143.164:8080/projects/mcu_modeling/wiki/%5BU2B_20%5D_The_overview_info"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hyperlink" Target="http://socrm.dgn.renesas.com/websvn/filedetails.php?repname=REL_SW-Std&amp;path=/trunk/template/ja/0102ja_Standard_Development_Procedure_Management_Table.xlsx" TargetMode="External"/><Relationship Id="rId13" Type="http://schemas.openxmlformats.org/officeDocument/2006/relationships/hyperlink" Target="https://renesasgroup.sharepoint.com/sites/CQ/SEPG/standards/guideline/SW_ProcessGuideline_j.pdf" TargetMode="External"/><Relationship Id="rId18" Type="http://schemas.openxmlformats.org/officeDocument/2006/relationships/hyperlink" Target="https://renesasgroup.sharepoint.com/sites/CK/Global_SEPG/Shared%20Documents/SW_ProcessGuideline_e.pdf" TargetMode="External"/><Relationship Id="rId26" Type="http://schemas.openxmlformats.org/officeDocument/2006/relationships/table" Target="../tables/table1.xml"/><Relationship Id="rId3" Type="http://schemas.openxmlformats.org/officeDocument/2006/relationships/hyperlink" Target="https://renesasgroup.sharepoint.com/sites/CQ/SEPG/standards/guideline/SW_ProcessGuideline_j.pdf" TargetMode="External"/><Relationship Id="rId21" Type="http://schemas.openxmlformats.org/officeDocument/2006/relationships/hyperlink" Target="https://renesasgroup.sharepoint.com/sites/CQ/SEPG/standards/guideline/SW_ProcessGuideline_j.pdf" TargetMode="External"/><Relationship Id="rId7" Type="http://schemas.openxmlformats.org/officeDocument/2006/relationships/hyperlink" Target="http://socrm.dgn.renesas.com/websvn/filedetails.php?repname=REL_SW-Std&amp;path=/trunk/template/ja/0102ja_Standard_Development_Procedure_Management_Table.xlsx" TargetMode="External"/><Relationship Id="rId12" Type="http://schemas.openxmlformats.org/officeDocument/2006/relationships/hyperlink" Target="https://renesasgroup.sharepoint.com/sites/CQ/SEPG/standards/guideline/SW_ProcessGuideline_j.pdf" TargetMode="External"/><Relationship Id="rId17" Type="http://schemas.openxmlformats.org/officeDocument/2006/relationships/hyperlink" Target="https://renesasgroup.sharepoint.com/sites/CK/Global_SEPG/Shared%20Documents/SW_ProcessGuideline_e.pdf" TargetMode="External"/><Relationship Id="rId25" Type="http://schemas.openxmlformats.org/officeDocument/2006/relationships/printerSettings" Target="../printerSettings/printerSettings3.bin"/><Relationship Id="rId2" Type="http://schemas.openxmlformats.org/officeDocument/2006/relationships/hyperlink" Target="https://renesasgroup.sharepoint.com/sites/CK/Global_SEPG/Shared%20Documents/SW_ProcessGuideline_e.pdf" TargetMode="External"/><Relationship Id="rId16" Type="http://schemas.openxmlformats.org/officeDocument/2006/relationships/hyperlink" Target="https://renesasgroup.sharepoint.com/sites/CK/Global_SEPG/Shared%20Documents/SW_ProcessGuideline_e.pdf" TargetMode="External"/><Relationship Id="rId20" Type="http://schemas.openxmlformats.org/officeDocument/2006/relationships/hyperlink" Target="https://renesasgroup.sharepoint.com/sites/CK/Global_SEPG/Shared%20Documents/SW_ProcessGuideline_e.pdf" TargetMode="External"/><Relationship Id="rId1" Type="http://schemas.openxmlformats.org/officeDocument/2006/relationships/hyperlink" Target="https://renesasgroup.sharepoint.com/sites/CQ/SEPG/standards/guideline/SW_ProcessGuideline_j.pdf" TargetMode="External"/><Relationship Id="rId6" Type="http://schemas.openxmlformats.org/officeDocument/2006/relationships/hyperlink" Target="http://socrm.dgn.renesas.com/websvn/filedetails.php?repname=REL_SW-Std&amp;path=/trunk/template/en/0102en_Standard_Development_Procedure_Management_Table.xlsx" TargetMode="External"/><Relationship Id="rId11" Type="http://schemas.openxmlformats.org/officeDocument/2006/relationships/hyperlink" Target="https://renesasgroup.sharepoint.com/sites/CQ/SEPG/standards/guideline/SW_ProcessGuideline_j.pdf" TargetMode="External"/><Relationship Id="rId24" Type="http://schemas.openxmlformats.org/officeDocument/2006/relationships/hyperlink" Target="https://renesasgroup.sharepoint.com/sites/CK/Global_SEPG/Shared%20Documents/SW_ProcessGuideline_e.pdf" TargetMode="External"/><Relationship Id="rId5" Type="http://schemas.openxmlformats.org/officeDocument/2006/relationships/hyperlink" Target="http://socrm.dgn.renesas.com/websvn/filedetails.php?repname=REL_SW-Std&amp;path=/trunk/template/en/0102en_Standard_Development_Procedure_Management_Table.xlsx" TargetMode="External"/><Relationship Id="rId15" Type="http://schemas.openxmlformats.org/officeDocument/2006/relationships/hyperlink" Target="https://renesasgroup.sharepoint.com/sites/CK/Global_SEPG/Shared%20Documents/SW_ProcessGuideline_e.pdf" TargetMode="External"/><Relationship Id="rId23" Type="http://schemas.openxmlformats.org/officeDocument/2006/relationships/hyperlink" Target="https://renesasgroup.sharepoint.com/sites/CQ/SEPG/standards/guideline/SW_ProcessGuideline_j.pdf" TargetMode="External"/><Relationship Id="rId10" Type="http://schemas.openxmlformats.org/officeDocument/2006/relationships/hyperlink" Target="https://renesasgroup.sharepoint.com/sites/CK/Global_SEPG/Shared%20Documents/REL_SEPG_templates_for_GlobalSEPG.zip" TargetMode="External"/><Relationship Id="rId19" Type="http://schemas.openxmlformats.org/officeDocument/2006/relationships/hyperlink" Target="https://renesasgroup.sharepoint.com/sites/CK/Global_SEPG/Shared%20Documents/SW_ProcessGuideline_e.pdf" TargetMode="External"/><Relationship Id="rId4" Type="http://schemas.openxmlformats.org/officeDocument/2006/relationships/hyperlink" Target="https://renesasgroup.sharepoint.com/sites/CQ/SEPG/standards/guideline/SW_ProcessGuideline_j.pdf" TargetMode="External"/><Relationship Id="rId9" Type="http://schemas.openxmlformats.org/officeDocument/2006/relationships/hyperlink" Target="https://renesasgroup.sharepoint.com/sites/CQ/SEPG/standards/template2/REL_SEPG_Project_Plan.xlsm" TargetMode="External"/><Relationship Id="rId14" Type="http://schemas.openxmlformats.org/officeDocument/2006/relationships/hyperlink" Target="https://renesasgroup.sharepoint.com/sites/CQ/SEPG/standards/guideline/SW_ProcessGuideline_j.pdf" TargetMode="External"/><Relationship Id="rId22" Type="http://schemas.openxmlformats.org/officeDocument/2006/relationships/hyperlink" Target="https://renesasgroup.sharepoint.com/sites/CK/Global_SEPG/Shared%20Documents/SW_ProcessGuideline_e.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BL101"/>
  <sheetViews>
    <sheetView showGridLines="0" zoomScale="70" zoomScaleNormal="70" zoomScaleSheetLayoutView="100" workbookViewId="0">
      <selection activeCell="G19" sqref="G19:Z19"/>
    </sheetView>
  </sheetViews>
  <sheetFormatPr defaultColWidth="8.88671875" defaultRowHeight="12.75"/>
  <cols>
    <col min="1" max="2" width="2.77734375" style="16" customWidth="1"/>
    <col min="3" max="3" width="5" style="16" customWidth="1"/>
    <col min="4" max="4" width="6.77734375" style="16" customWidth="1"/>
    <col min="5" max="5" width="12.109375" style="16" customWidth="1"/>
    <col min="6" max="6" width="11.33203125" style="16" customWidth="1"/>
    <col min="7" max="7" width="9.77734375" style="16" customWidth="1"/>
    <col min="8" max="14" width="6.77734375" style="16" customWidth="1"/>
    <col min="15" max="16" width="9.77734375" style="16" customWidth="1"/>
    <col min="17" max="21" width="6.77734375" style="16" customWidth="1"/>
    <col min="22" max="22" width="7.77734375" style="16" customWidth="1"/>
    <col min="23" max="23" width="9.77734375" style="16" customWidth="1"/>
    <col min="24" max="24" width="11.77734375" style="16" customWidth="1"/>
    <col min="25" max="26" width="9.77734375" style="16" customWidth="1"/>
    <col min="27" max="28" width="2.77734375" style="16" hidden="1" customWidth="1"/>
    <col min="29" max="29" width="2.77734375" style="16" customWidth="1"/>
    <col min="30" max="40" width="8.88671875" style="16"/>
    <col min="41" max="41" width="3.33203125" style="16" customWidth="1"/>
    <col min="42" max="42" width="8.88671875" style="16" customWidth="1"/>
    <col min="43" max="43" width="36.33203125" style="16" customWidth="1"/>
    <col min="44" max="44" width="13.21875" style="16" customWidth="1"/>
    <col min="45" max="45" width="10" style="16" customWidth="1"/>
    <col min="46" max="46" width="11.77734375" style="16" customWidth="1"/>
    <col min="47" max="51" width="8.88671875" style="16" customWidth="1"/>
    <col min="52" max="16384" width="8.88671875" style="16"/>
  </cols>
  <sheetData>
    <row r="1" spans="2:28" s="1" customFormat="1" ht="17.100000000000001" customHeight="1">
      <c r="C1" s="2" t="s">
        <v>0</v>
      </c>
      <c r="D1" s="3"/>
      <c r="E1" s="3"/>
      <c r="F1" s="3"/>
      <c r="J1" s="4" t="s">
        <v>8</v>
      </c>
      <c r="U1" s="3"/>
      <c r="V1" s="3"/>
      <c r="X1" s="5"/>
      <c r="Z1" s="5" t="str">
        <f>'Template Revision history'!B3</f>
        <v>REL-SEPG-PRM20190801</v>
      </c>
      <c r="AA1" s="6"/>
      <c r="AB1" s="6"/>
    </row>
    <row r="2" spans="2:28" s="7" customFormat="1" ht="17.100000000000001" customHeight="1">
      <c r="C2" s="8" t="s">
        <v>82</v>
      </c>
      <c r="D2" s="9"/>
      <c r="E2" s="9"/>
      <c r="F2" s="9"/>
      <c r="G2" s="9"/>
      <c r="H2" s="9"/>
      <c r="I2" s="9"/>
      <c r="J2" s="178" t="s">
        <v>9</v>
      </c>
      <c r="K2" s="179"/>
      <c r="L2" s="179"/>
      <c r="M2" s="179"/>
      <c r="N2" s="179"/>
      <c r="O2" s="179"/>
      <c r="P2" s="179"/>
      <c r="Q2" s="179"/>
      <c r="R2" s="179"/>
      <c r="S2" s="179"/>
      <c r="T2" s="179"/>
      <c r="U2" s="179"/>
      <c r="V2" s="179"/>
      <c r="W2" s="179"/>
      <c r="X2" s="179"/>
      <c r="Y2" s="10"/>
      <c r="Z2" s="10"/>
      <c r="AA2" s="6"/>
      <c r="AB2" s="6"/>
    </row>
    <row r="3" spans="2:28" s="7" customFormat="1" ht="17.100000000000001" customHeight="1">
      <c r="B3" s="11" t="s">
        <v>1</v>
      </c>
      <c r="C3" s="259" t="s">
        <v>10</v>
      </c>
      <c r="D3" s="259"/>
      <c r="E3" s="259"/>
      <c r="F3" s="259"/>
      <c r="G3" s="259" t="s">
        <v>11</v>
      </c>
      <c r="H3" s="259"/>
      <c r="I3" s="259"/>
      <c r="J3" s="259"/>
      <c r="K3" s="259"/>
      <c r="L3" s="259"/>
      <c r="M3" s="259"/>
      <c r="N3" s="259"/>
      <c r="O3" s="259"/>
      <c r="P3" s="259"/>
      <c r="Q3" s="259"/>
      <c r="R3" s="260" t="s">
        <v>12</v>
      </c>
      <c r="S3" s="261"/>
      <c r="T3" s="262"/>
      <c r="U3" s="266" t="s">
        <v>71</v>
      </c>
      <c r="V3" s="267"/>
      <c r="W3" s="267"/>
      <c r="X3" s="267"/>
      <c r="Y3" s="267"/>
      <c r="Z3" s="268"/>
    </row>
    <row r="4" spans="2:28" s="7" customFormat="1" ht="17.100000000000001" customHeight="1">
      <c r="B4" s="11"/>
      <c r="C4" s="272" t="s">
        <v>242</v>
      </c>
      <c r="D4" s="273"/>
      <c r="E4" s="273"/>
      <c r="F4" s="273"/>
      <c r="G4" s="274" t="s">
        <v>13</v>
      </c>
      <c r="H4" s="275"/>
      <c r="I4" s="275"/>
      <c r="J4" s="275"/>
      <c r="K4" s="275"/>
      <c r="L4" s="275"/>
      <c r="M4" s="275"/>
      <c r="N4" s="275"/>
      <c r="O4" s="275"/>
      <c r="P4" s="275"/>
      <c r="Q4" s="276"/>
      <c r="R4" s="263"/>
      <c r="S4" s="264"/>
      <c r="T4" s="265"/>
      <c r="U4" s="269"/>
      <c r="V4" s="270"/>
      <c r="W4" s="270"/>
      <c r="X4" s="270"/>
      <c r="Y4" s="270"/>
      <c r="Z4" s="271"/>
    </row>
    <row r="5" spans="2:28" s="7" customFormat="1" ht="17.100000000000001" customHeight="1">
      <c r="B5" s="11"/>
      <c r="C5" s="273"/>
      <c r="D5" s="273"/>
      <c r="E5" s="273"/>
      <c r="F5" s="273"/>
      <c r="G5" s="277"/>
      <c r="H5" s="278"/>
      <c r="I5" s="278"/>
      <c r="J5" s="278"/>
      <c r="K5" s="278"/>
      <c r="L5" s="278"/>
      <c r="M5" s="278"/>
      <c r="N5" s="278"/>
      <c r="O5" s="278"/>
      <c r="P5" s="278"/>
      <c r="Q5" s="279"/>
      <c r="R5" s="260" t="s">
        <v>14</v>
      </c>
      <c r="S5" s="261"/>
      <c r="T5" s="262"/>
      <c r="U5" s="283" t="s">
        <v>552</v>
      </c>
      <c r="V5" s="284"/>
      <c r="W5" s="284"/>
      <c r="X5" s="284"/>
      <c r="Y5" s="284"/>
      <c r="Z5" s="285"/>
    </row>
    <row r="6" spans="2:28" s="7" customFormat="1" ht="17.100000000000001" customHeight="1">
      <c r="B6" s="11"/>
      <c r="C6" s="273"/>
      <c r="D6" s="273"/>
      <c r="E6" s="273"/>
      <c r="F6" s="273"/>
      <c r="G6" s="280"/>
      <c r="H6" s="281"/>
      <c r="I6" s="281"/>
      <c r="J6" s="281"/>
      <c r="K6" s="281"/>
      <c r="L6" s="281"/>
      <c r="M6" s="281"/>
      <c r="N6" s="281"/>
      <c r="O6" s="281"/>
      <c r="P6" s="281"/>
      <c r="Q6" s="282"/>
      <c r="R6" s="263"/>
      <c r="S6" s="264"/>
      <c r="T6" s="265"/>
      <c r="U6" s="286"/>
      <c r="V6" s="287"/>
      <c r="W6" s="287"/>
      <c r="X6" s="287"/>
      <c r="Y6" s="287"/>
      <c r="Z6" s="288"/>
    </row>
    <row r="7" spans="2:28" s="7" customFormat="1" ht="17.100000000000001" customHeight="1">
      <c r="B7" s="11"/>
      <c r="C7" s="273"/>
      <c r="D7" s="273"/>
      <c r="E7" s="273"/>
      <c r="F7" s="273"/>
      <c r="G7" s="259" t="s">
        <v>15</v>
      </c>
      <c r="H7" s="259"/>
      <c r="I7" s="259"/>
      <c r="J7" s="259"/>
      <c r="K7" s="259"/>
      <c r="L7" s="259"/>
      <c r="M7" s="259"/>
      <c r="N7" s="259"/>
      <c r="O7" s="259"/>
      <c r="P7" s="259"/>
      <c r="Q7" s="259"/>
      <c r="R7" s="260" t="s">
        <v>16</v>
      </c>
      <c r="S7" s="261"/>
      <c r="T7" s="262"/>
      <c r="U7" s="266" t="s">
        <v>84</v>
      </c>
      <c r="V7" s="267"/>
      <c r="W7" s="267"/>
      <c r="X7" s="267"/>
      <c r="Y7" s="267"/>
      <c r="Z7" s="268"/>
    </row>
    <row r="8" spans="2:28" s="7" customFormat="1" ht="17.100000000000001" customHeight="1">
      <c r="B8" s="11"/>
      <c r="C8" s="273"/>
      <c r="D8" s="273"/>
      <c r="E8" s="273"/>
      <c r="F8" s="273"/>
      <c r="G8" s="289" t="s">
        <v>140</v>
      </c>
      <c r="H8" s="290"/>
      <c r="I8" s="290"/>
      <c r="J8" s="290"/>
      <c r="K8" s="290"/>
      <c r="L8" s="290"/>
      <c r="M8" s="290"/>
      <c r="N8" s="290"/>
      <c r="O8" s="290"/>
      <c r="P8" s="290"/>
      <c r="Q8" s="291"/>
      <c r="R8" s="263"/>
      <c r="S8" s="264"/>
      <c r="T8" s="265"/>
      <c r="U8" s="269"/>
      <c r="V8" s="270"/>
      <c r="W8" s="270"/>
      <c r="X8" s="270"/>
      <c r="Y8" s="270"/>
      <c r="Z8" s="271"/>
    </row>
    <row r="9" spans="2:28" s="7" customFormat="1" ht="17.100000000000001" customHeight="1">
      <c r="B9" s="11"/>
      <c r="C9" s="273"/>
      <c r="D9" s="273"/>
      <c r="E9" s="273"/>
      <c r="F9" s="273"/>
      <c r="G9" s="292"/>
      <c r="H9" s="293"/>
      <c r="I9" s="293"/>
      <c r="J9" s="293"/>
      <c r="K9" s="293"/>
      <c r="L9" s="293"/>
      <c r="M9" s="293"/>
      <c r="N9" s="293"/>
      <c r="O9" s="293"/>
      <c r="P9" s="293"/>
      <c r="Q9" s="294"/>
      <c r="R9" s="260" t="s">
        <v>17</v>
      </c>
      <c r="S9" s="261"/>
      <c r="T9" s="262"/>
      <c r="U9" s="266" t="s">
        <v>241</v>
      </c>
      <c r="V9" s="267"/>
      <c r="W9" s="267"/>
      <c r="X9" s="267"/>
      <c r="Y9" s="267"/>
      <c r="Z9" s="268"/>
    </row>
    <row r="10" spans="2:28" s="7" customFormat="1" ht="17.100000000000001" customHeight="1">
      <c r="B10" s="11"/>
      <c r="C10" s="273"/>
      <c r="D10" s="273"/>
      <c r="E10" s="273"/>
      <c r="F10" s="273"/>
      <c r="G10" s="295"/>
      <c r="H10" s="296"/>
      <c r="I10" s="296"/>
      <c r="J10" s="296"/>
      <c r="K10" s="296"/>
      <c r="L10" s="296"/>
      <c r="M10" s="296"/>
      <c r="N10" s="296"/>
      <c r="O10" s="296"/>
      <c r="P10" s="296"/>
      <c r="Q10" s="297"/>
      <c r="R10" s="263"/>
      <c r="S10" s="264"/>
      <c r="T10" s="265"/>
      <c r="U10" s="269"/>
      <c r="V10" s="270"/>
      <c r="W10" s="270"/>
      <c r="X10" s="270"/>
      <c r="Y10" s="270"/>
      <c r="Z10" s="271"/>
    </row>
    <row r="11" spans="2:28" s="7" customFormat="1" ht="33" customHeight="1">
      <c r="B11" s="11"/>
      <c r="C11" s="273"/>
      <c r="D11" s="273"/>
      <c r="E11" s="273"/>
      <c r="F11" s="273"/>
      <c r="G11" s="259" t="s">
        <v>18</v>
      </c>
      <c r="H11" s="259"/>
      <c r="I11" s="259"/>
      <c r="J11" s="259"/>
      <c r="K11" s="259"/>
      <c r="L11" s="259"/>
      <c r="M11" s="259"/>
      <c r="N11" s="259"/>
      <c r="O11" s="259"/>
      <c r="P11" s="259"/>
      <c r="Q11" s="259"/>
      <c r="R11" s="259"/>
      <c r="S11" s="259"/>
      <c r="T11" s="259"/>
      <c r="U11" s="298" t="s">
        <v>19</v>
      </c>
      <c r="V11" s="298"/>
      <c r="W11" s="298"/>
      <c r="X11" s="298" t="s">
        <v>20</v>
      </c>
      <c r="Y11" s="298"/>
      <c r="Z11" s="298"/>
    </row>
    <row r="12" spans="2:28" s="7" customFormat="1" ht="17.100000000000001" customHeight="1">
      <c r="B12" s="11"/>
      <c r="C12" s="273"/>
      <c r="D12" s="273"/>
      <c r="E12" s="273"/>
      <c r="F12" s="273"/>
      <c r="G12" s="289" t="s">
        <v>514</v>
      </c>
      <c r="H12" s="290"/>
      <c r="I12" s="290"/>
      <c r="J12" s="290"/>
      <c r="K12" s="290"/>
      <c r="L12" s="290"/>
      <c r="M12" s="290"/>
      <c r="N12" s="290"/>
      <c r="O12" s="290"/>
      <c r="P12" s="290"/>
      <c r="Q12" s="290"/>
      <c r="R12" s="290"/>
      <c r="S12" s="290"/>
      <c r="T12" s="291"/>
      <c r="U12" s="299" t="s">
        <v>562</v>
      </c>
      <c r="V12" s="299"/>
      <c r="W12" s="299"/>
      <c r="X12" s="299" t="s">
        <v>517</v>
      </c>
      <c r="Y12" s="299"/>
      <c r="Z12" s="299"/>
    </row>
    <row r="13" spans="2:28" s="7" customFormat="1" ht="17.100000000000001" customHeight="1">
      <c r="B13" s="11"/>
      <c r="C13" s="273"/>
      <c r="D13" s="273"/>
      <c r="E13" s="273"/>
      <c r="F13" s="273"/>
      <c r="G13" s="292"/>
      <c r="H13" s="293"/>
      <c r="I13" s="293"/>
      <c r="J13" s="293"/>
      <c r="K13" s="293"/>
      <c r="L13" s="293"/>
      <c r="M13" s="293"/>
      <c r="N13" s="293"/>
      <c r="O13" s="293"/>
      <c r="P13" s="293"/>
      <c r="Q13" s="293"/>
      <c r="R13" s="293"/>
      <c r="S13" s="293"/>
      <c r="T13" s="294"/>
      <c r="U13" s="299"/>
      <c r="V13" s="299"/>
      <c r="W13" s="299"/>
      <c r="X13" s="299"/>
      <c r="Y13" s="299"/>
      <c r="Z13" s="299"/>
    </row>
    <row r="14" spans="2:28" s="7" customFormat="1" ht="17.100000000000001" customHeight="1">
      <c r="B14" s="11"/>
      <c r="C14" s="273"/>
      <c r="D14" s="273"/>
      <c r="E14" s="273"/>
      <c r="F14" s="273"/>
      <c r="G14" s="292"/>
      <c r="H14" s="293"/>
      <c r="I14" s="293"/>
      <c r="J14" s="293"/>
      <c r="K14" s="293"/>
      <c r="L14" s="293"/>
      <c r="M14" s="293"/>
      <c r="N14" s="293"/>
      <c r="O14" s="293"/>
      <c r="P14" s="293"/>
      <c r="Q14" s="293"/>
      <c r="R14" s="293"/>
      <c r="S14" s="293"/>
      <c r="T14" s="294"/>
      <c r="U14" s="299"/>
      <c r="V14" s="299"/>
      <c r="W14" s="299"/>
      <c r="X14" s="299"/>
      <c r="Y14" s="299"/>
      <c r="Z14" s="299"/>
    </row>
    <row r="15" spans="2:28" s="7" customFormat="1" ht="17.100000000000001" customHeight="1">
      <c r="B15" s="11"/>
      <c r="C15" s="273"/>
      <c r="D15" s="273"/>
      <c r="E15" s="273"/>
      <c r="F15" s="273"/>
      <c r="G15" s="295"/>
      <c r="H15" s="296"/>
      <c r="I15" s="296"/>
      <c r="J15" s="296"/>
      <c r="K15" s="296"/>
      <c r="L15" s="296"/>
      <c r="M15" s="296"/>
      <c r="N15" s="296"/>
      <c r="O15" s="296"/>
      <c r="P15" s="296"/>
      <c r="Q15" s="296"/>
      <c r="R15" s="296"/>
      <c r="S15" s="296"/>
      <c r="T15" s="297"/>
      <c r="U15" s="299"/>
      <c r="V15" s="299"/>
      <c r="W15" s="299"/>
      <c r="X15" s="299"/>
      <c r="Y15" s="299"/>
      <c r="Z15" s="299"/>
    </row>
    <row r="16" spans="2:28" s="7" customFormat="1" ht="17.100000000000001" customHeight="1">
      <c r="B16" s="12"/>
      <c r="C16" s="273"/>
      <c r="D16" s="273"/>
      <c r="E16" s="273"/>
      <c r="F16" s="273"/>
      <c r="G16" s="300" t="s">
        <v>243</v>
      </c>
      <c r="H16" s="301"/>
      <c r="I16" s="301"/>
      <c r="J16" s="301"/>
      <c r="K16" s="302"/>
      <c r="L16" s="303">
        <v>21038</v>
      </c>
      <c r="M16" s="304"/>
      <c r="N16" s="304"/>
      <c r="O16" s="304"/>
      <c r="P16" s="304"/>
      <c r="Q16" s="304"/>
      <c r="R16" s="304"/>
      <c r="S16" s="304"/>
      <c r="T16" s="305"/>
      <c r="U16" s="299"/>
      <c r="V16" s="299"/>
      <c r="W16" s="299"/>
      <c r="X16" s="299"/>
      <c r="Y16" s="299"/>
      <c r="Z16" s="299"/>
    </row>
    <row r="17" spans="2:26" s="7" customFormat="1" ht="15.75" customHeight="1">
      <c r="B17" s="12"/>
      <c r="E17" s="13"/>
      <c r="L17" s="12"/>
    </row>
    <row r="18" spans="2:26" s="14" customFormat="1" ht="16.5">
      <c r="C18" s="15" t="s">
        <v>21</v>
      </c>
      <c r="D18" s="15"/>
      <c r="E18" s="15"/>
      <c r="F18" s="15"/>
      <c r="G18" s="15"/>
      <c r="H18" s="15"/>
      <c r="I18" s="15"/>
      <c r="J18" s="15"/>
      <c r="K18" s="15"/>
      <c r="L18" s="15"/>
      <c r="M18" s="15"/>
      <c r="N18" s="15"/>
      <c r="O18" s="15"/>
      <c r="P18" s="15"/>
      <c r="Q18" s="15"/>
      <c r="R18" s="15"/>
      <c r="S18" s="15"/>
      <c r="T18" s="15"/>
      <c r="U18" s="15"/>
      <c r="V18" s="15"/>
      <c r="W18" s="15"/>
      <c r="X18" s="15"/>
      <c r="Y18" s="15"/>
      <c r="Z18" s="15"/>
    </row>
    <row r="19" spans="2:26" ht="55.5" customHeight="1">
      <c r="C19" s="195" t="s">
        <v>22</v>
      </c>
      <c r="D19" s="195"/>
      <c r="E19" s="195"/>
      <c r="F19" s="195"/>
      <c r="G19" s="306" t="s">
        <v>515</v>
      </c>
      <c r="H19" s="306"/>
      <c r="I19" s="306"/>
      <c r="J19" s="306"/>
      <c r="K19" s="306"/>
      <c r="L19" s="306"/>
      <c r="M19" s="306"/>
      <c r="N19" s="306"/>
      <c r="O19" s="306"/>
      <c r="P19" s="306"/>
      <c r="Q19" s="306"/>
      <c r="R19" s="306"/>
      <c r="S19" s="306"/>
      <c r="T19" s="306"/>
      <c r="U19" s="306"/>
      <c r="V19" s="306"/>
      <c r="W19" s="306"/>
      <c r="X19" s="306"/>
      <c r="Y19" s="306"/>
      <c r="Z19" s="306"/>
    </row>
    <row r="20" spans="2:26" ht="16.5">
      <c r="C20" s="320" t="s">
        <v>23</v>
      </c>
      <c r="D20" s="320"/>
      <c r="E20" s="320"/>
      <c r="F20" s="320"/>
      <c r="G20" s="318" t="s">
        <v>83</v>
      </c>
      <c r="H20" s="318"/>
      <c r="I20" s="318"/>
      <c r="J20" s="318"/>
      <c r="K20" s="321" t="s">
        <v>7</v>
      </c>
      <c r="L20" s="322"/>
      <c r="M20" s="323"/>
      <c r="N20" s="252" t="s">
        <v>85</v>
      </c>
      <c r="O20" s="252"/>
      <c r="P20" s="252"/>
      <c r="Q20" s="252"/>
      <c r="R20" s="252"/>
      <c r="S20" s="252"/>
      <c r="T20" s="252"/>
    </row>
    <row r="21" spans="2:26" ht="27.75" customHeight="1">
      <c r="C21" s="307" t="s">
        <v>24</v>
      </c>
      <c r="D21" s="308"/>
      <c r="E21" s="308"/>
      <c r="F21" s="309"/>
      <c r="G21" s="319" t="s">
        <v>86</v>
      </c>
      <c r="H21" s="318"/>
      <c r="I21" s="318"/>
      <c r="J21" s="318"/>
      <c r="K21" s="321" t="s">
        <v>25</v>
      </c>
      <c r="L21" s="322"/>
      <c r="M21" s="323"/>
      <c r="N21" s="324" t="s">
        <v>141</v>
      </c>
      <c r="O21" s="325"/>
      <c r="P21" s="325"/>
      <c r="Q21" s="325"/>
      <c r="R21" s="325"/>
      <c r="S21" s="325"/>
      <c r="T21" s="326"/>
    </row>
    <row r="22" spans="2:26" s="14" customFormat="1" ht="16.5">
      <c r="C22" s="18" t="s">
        <v>26</v>
      </c>
      <c r="D22" s="18"/>
      <c r="E22" s="18"/>
      <c r="F22" s="18"/>
      <c r="G22" s="19"/>
      <c r="H22" s="20"/>
      <c r="I22" s="20"/>
      <c r="J22" s="20"/>
      <c r="K22" s="20"/>
      <c r="L22" s="20"/>
      <c r="M22" s="20"/>
      <c r="N22" s="20"/>
      <c r="O22" s="19"/>
      <c r="P22" s="19"/>
      <c r="Q22" s="21"/>
      <c r="R22" s="21"/>
      <c r="S22" s="21"/>
      <c r="T22" s="21"/>
      <c r="U22" s="21"/>
      <c r="V22" s="21"/>
      <c r="W22" s="21"/>
      <c r="X22" s="21"/>
      <c r="Y22" s="21"/>
      <c r="Z22" s="21"/>
    </row>
    <row r="23" spans="2:26" ht="31.5" customHeight="1">
      <c r="C23" s="180" t="s">
        <v>27</v>
      </c>
      <c r="D23" s="181"/>
      <c r="E23" s="181"/>
      <c r="F23" s="182"/>
      <c r="G23" s="254" t="s">
        <v>28</v>
      </c>
      <c r="H23" s="255"/>
      <c r="I23" s="310"/>
      <c r="J23" s="310"/>
      <c r="K23" s="311" t="s">
        <v>92</v>
      </c>
      <c r="L23" s="312"/>
      <c r="M23" s="310"/>
      <c r="N23" s="310"/>
      <c r="O23" s="311" t="s">
        <v>93</v>
      </c>
      <c r="P23" s="312"/>
      <c r="Q23" s="313"/>
      <c r="R23" s="314"/>
      <c r="S23" s="315" t="s">
        <v>94</v>
      </c>
      <c r="T23" s="316"/>
      <c r="U23" s="313" t="s">
        <v>518</v>
      </c>
      <c r="V23" s="317"/>
      <c r="W23" s="317"/>
      <c r="X23" s="317"/>
      <c r="Y23" s="317"/>
      <c r="Z23" s="314"/>
    </row>
    <row r="24" spans="2:26" ht="36" customHeight="1">
      <c r="C24" s="183"/>
      <c r="D24" s="184"/>
      <c r="E24" s="184"/>
      <c r="F24" s="185"/>
      <c r="G24" s="254" t="s">
        <v>29</v>
      </c>
      <c r="H24" s="255"/>
      <c r="I24" s="327" t="s">
        <v>540</v>
      </c>
      <c r="J24" s="327"/>
      <c r="K24" s="327"/>
      <c r="L24" s="327"/>
      <c r="M24" s="327"/>
      <c r="N24" s="327"/>
      <c r="O24" s="327"/>
      <c r="P24" s="327"/>
      <c r="Q24" s="327"/>
      <c r="R24" s="327"/>
      <c r="S24" s="327"/>
      <c r="T24" s="327"/>
      <c r="U24" s="327"/>
      <c r="V24" s="327"/>
      <c r="W24" s="327"/>
      <c r="X24" s="327"/>
      <c r="Y24" s="327"/>
      <c r="Z24" s="327"/>
    </row>
    <row r="25" spans="2:26" ht="61.5" customHeight="1">
      <c r="C25" s="195" t="s">
        <v>30</v>
      </c>
      <c r="D25" s="195"/>
      <c r="E25" s="195"/>
      <c r="F25" s="195"/>
      <c r="G25" s="186" t="s">
        <v>31</v>
      </c>
      <c r="H25" s="199"/>
      <c r="I25" s="238"/>
      <c r="J25" s="238"/>
      <c r="K25" s="254" t="s">
        <v>95</v>
      </c>
      <c r="L25" s="255"/>
      <c r="M25" s="256"/>
      <c r="N25" s="256"/>
      <c r="O25" s="186" t="s">
        <v>96</v>
      </c>
      <c r="P25" s="199"/>
      <c r="Q25" s="257"/>
      <c r="R25" s="258"/>
      <c r="S25" s="186" t="s">
        <v>97</v>
      </c>
      <c r="T25" s="186"/>
      <c r="U25" s="252"/>
      <c r="V25" s="252"/>
      <c r="W25" s="49" t="s">
        <v>98</v>
      </c>
      <c r="X25" s="235"/>
      <c r="Y25" s="236"/>
      <c r="Z25" s="237"/>
    </row>
    <row r="26" spans="2:26" ht="61.5" customHeight="1">
      <c r="C26" s="200" t="s">
        <v>32</v>
      </c>
      <c r="D26" s="248"/>
      <c r="E26" s="248"/>
      <c r="F26" s="214"/>
      <c r="G26" s="328" t="s">
        <v>33</v>
      </c>
      <c r="H26" s="329"/>
      <c r="I26" s="231" t="s">
        <v>516</v>
      </c>
      <c r="J26" s="231"/>
      <c r="K26" s="186" t="s">
        <v>87</v>
      </c>
      <c r="L26" s="199"/>
      <c r="M26" s="231" t="s">
        <v>552</v>
      </c>
      <c r="N26" s="231"/>
      <c r="O26" s="186" t="s">
        <v>88</v>
      </c>
      <c r="P26" s="186"/>
      <c r="Q26" s="252">
        <v>2</v>
      </c>
      <c r="R26" s="252"/>
      <c r="S26" s="186" t="s">
        <v>89</v>
      </c>
      <c r="T26" s="199"/>
      <c r="U26" s="253">
        <f>SUM(Z35:Z44)</f>
        <v>0.8</v>
      </c>
      <c r="V26" s="253"/>
      <c r="W26" s="22"/>
      <c r="X26" s="23"/>
      <c r="Y26" s="23"/>
      <c r="Z26" s="23"/>
    </row>
    <row r="27" spans="2:26" ht="16.5">
      <c r="C27" s="16" t="s">
        <v>34</v>
      </c>
    </row>
    <row r="28" spans="2:26" ht="57.75" customHeight="1">
      <c r="C28" s="203" t="s">
        <v>35</v>
      </c>
      <c r="D28" s="204"/>
      <c r="E28" s="204"/>
      <c r="F28" s="204"/>
      <c r="G28" s="205"/>
      <c r="H28" s="200" t="s">
        <v>36</v>
      </c>
      <c r="I28" s="201"/>
      <c r="J28" s="201"/>
      <c r="K28" s="201"/>
      <c r="L28" s="201"/>
      <c r="M28" s="202"/>
      <c r="N28" s="321" t="s">
        <v>37</v>
      </c>
      <c r="O28" s="353"/>
      <c r="P28" s="353"/>
      <c r="Q28" s="353"/>
      <c r="R28" s="353"/>
      <c r="S28" s="354"/>
    </row>
    <row r="29" spans="2:26" ht="39" customHeight="1">
      <c r="C29" s="206"/>
      <c r="D29" s="207"/>
      <c r="E29" s="207"/>
      <c r="F29" s="207"/>
      <c r="G29" s="208"/>
      <c r="H29" s="200" t="s">
        <v>38</v>
      </c>
      <c r="I29" s="214"/>
      <c r="J29" s="186" t="s">
        <v>39</v>
      </c>
      <c r="K29" s="199"/>
      <c r="L29" s="186" t="s">
        <v>40</v>
      </c>
      <c r="M29" s="199"/>
      <c r="N29" s="321" t="s">
        <v>38</v>
      </c>
      <c r="O29" s="323"/>
      <c r="P29" s="196" t="s">
        <v>39</v>
      </c>
      <c r="Q29" s="355"/>
      <c r="R29" s="196" t="s">
        <v>40</v>
      </c>
      <c r="S29" s="355"/>
    </row>
    <row r="30" spans="2:26" ht="31.5" customHeight="1">
      <c r="C30" s="200" t="s">
        <v>41</v>
      </c>
      <c r="D30" s="248"/>
      <c r="E30" s="248"/>
      <c r="F30" s="248"/>
      <c r="G30" s="214"/>
      <c r="H30" s="197">
        <v>0.111</v>
      </c>
      <c r="I30" s="197"/>
      <c r="J30" s="197" t="s">
        <v>90</v>
      </c>
      <c r="K30" s="197"/>
      <c r="L30" s="197" t="s">
        <v>90</v>
      </c>
      <c r="M30" s="197"/>
      <c r="N30" s="356">
        <f>IFERROR(SUMIF(V35:V45,"Page",X35:X45)/SUMIF(V35:V45,"Page",T35:U45),0)</f>
        <v>9.5238095238095233E-2</v>
      </c>
      <c r="O30" s="356"/>
      <c r="P30" s="356">
        <f>IFERROR(SUMIF(V35:V45,"Line",X35:X45)/SUMIF(V35:V45,"Line",T35:U45),0)</f>
        <v>0</v>
      </c>
      <c r="Q30" s="356"/>
      <c r="R30" s="356">
        <f>IFERROR(SUMIF(V35:V45,"Number",X35:X45)/SUMIF(V35:V45,"Number",T35:U45),0)</f>
        <v>0</v>
      </c>
      <c r="S30" s="356"/>
    </row>
    <row r="31" spans="2:26" ht="35.25" customHeight="1">
      <c r="C31" s="200" t="s">
        <v>42</v>
      </c>
      <c r="D31" s="248"/>
      <c r="E31" s="248"/>
      <c r="F31" s="248"/>
      <c r="G31" s="214"/>
      <c r="H31" s="198">
        <v>44.25</v>
      </c>
      <c r="I31" s="198"/>
      <c r="J31" s="198" t="s">
        <v>90</v>
      </c>
      <c r="K31" s="198"/>
      <c r="L31" s="198" t="s">
        <v>90</v>
      </c>
      <c r="M31" s="198"/>
      <c r="N31" s="251">
        <f>IFERROR(SUMIF(V35:V45,"Page",T35:U45)/SUMIF(V35:V45,"Page",Z35:Z45),0)</f>
        <v>52.5</v>
      </c>
      <c r="O31" s="251"/>
      <c r="P31" s="251">
        <f>IFERROR(SUMIF(V35:V45,"Line",T35:U45)/SUMIF(V35:V45,"Line",Z35:Z45),0)</f>
        <v>0</v>
      </c>
      <c r="Q31" s="251"/>
      <c r="R31" s="251">
        <f>IFERROR(SUMIF(V35:V45,"Number",T35:U45)/SUMIF(V35:V45,"Number",Z35:Z45),0)</f>
        <v>0</v>
      </c>
      <c r="S31" s="251"/>
    </row>
    <row r="32" spans="2:26" ht="16.5" customHeight="1">
      <c r="C32" s="15" t="s">
        <v>43</v>
      </c>
      <c r="D32" s="15"/>
      <c r="E32" s="15"/>
      <c r="F32" s="15"/>
      <c r="G32" s="15"/>
      <c r="H32" s="15"/>
      <c r="I32" s="15"/>
      <c r="J32" s="15"/>
      <c r="K32" s="15"/>
      <c r="L32" s="15"/>
      <c r="M32" s="15"/>
      <c r="N32" s="15"/>
      <c r="O32" s="15"/>
      <c r="P32" s="15"/>
      <c r="Q32" s="15"/>
      <c r="R32" s="15"/>
      <c r="S32" s="15"/>
      <c r="T32" s="15"/>
      <c r="U32" s="15"/>
      <c r="V32" s="15"/>
      <c r="W32" s="24"/>
      <c r="X32" s="24"/>
      <c r="Y32" s="24"/>
      <c r="Z32" s="24"/>
    </row>
    <row r="33" spans="3:64" ht="54.75" customHeight="1">
      <c r="C33" s="180" t="s">
        <v>44</v>
      </c>
      <c r="D33" s="249"/>
      <c r="E33" s="180" t="s">
        <v>45</v>
      </c>
      <c r="F33" s="239"/>
      <c r="G33" s="239"/>
      <c r="H33" s="239"/>
      <c r="I33" s="239"/>
      <c r="J33" s="239"/>
      <c r="K33" s="239"/>
      <c r="L33" s="242" t="s">
        <v>46</v>
      </c>
      <c r="M33" s="243"/>
      <c r="N33" s="243"/>
      <c r="O33" s="243"/>
      <c r="P33" s="243"/>
      <c r="Q33" s="242" t="s">
        <v>47</v>
      </c>
      <c r="R33" s="243"/>
      <c r="S33" s="246"/>
      <c r="T33" s="330" t="s">
        <v>48</v>
      </c>
      <c r="U33" s="331"/>
      <c r="V33" s="334" t="s">
        <v>49</v>
      </c>
      <c r="W33" s="334" t="s">
        <v>50</v>
      </c>
      <c r="X33" s="334"/>
      <c r="Y33" s="334" t="s">
        <v>51</v>
      </c>
      <c r="Z33" s="335"/>
      <c r="BL33" s="16" t="s">
        <v>52</v>
      </c>
    </row>
    <row r="34" spans="3:64" ht="69" customHeight="1">
      <c r="C34" s="240"/>
      <c r="D34" s="250"/>
      <c r="E34" s="240"/>
      <c r="F34" s="241"/>
      <c r="G34" s="241"/>
      <c r="H34" s="241"/>
      <c r="I34" s="241"/>
      <c r="J34" s="241"/>
      <c r="K34" s="241"/>
      <c r="L34" s="244"/>
      <c r="M34" s="245"/>
      <c r="N34" s="245"/>
      <c r="O34" s="245"/>
      <c r="P34" s="245"/>
      <c r="Q34" s="244"/>
      <c r="R34" s="245"/>
      <c r="S34" s="247"/>
      <c r="T34" s="332"/>
      <c r="U34" s="333"/>
      <c r="V34" s="334"/>
      <c r="W34" s="25" t="s">
        <v>53</v>
      </c>
      <c r="X34" s="17" t="s">
        <v>54</v>
      </c>
      <c r="Y34" s="25" t="s">
        <v>53</v>
      </c>
      <c r="Z34" s="25" t="s">
        <v>54</v>
      </c>
    </row>
    <row r="35" spans="3:64" ht="18" customHeight="1">
      <c r="C35" s="213">
        <v>1</v>
      </c>
      <c r="D35" s="214"/>
      <c r="E35" s="209" t="s">
        <v>519</v>
      </c>
      <c r="F35" s="210"/>
      <c r="G35" s="210"/>
      <c r="H35" s="210"/>
      <c r="I35" s="210"/>
      <c r="J35" s="210"/>
      <c r="K35" s="211"/>
      <c r="L35" s="209" t="s">
        <v>524</v>
      </c>
      <c r="M35" s="210"/>
      <c r="N35" s="210"/>
      <c r="O35" s="210"/>
      <c r="P35" s="211"/>
      <c r="Q35" s="228" t="s">
        <v>530</v>
      </c>
      <c r="R35" s="222"/>
      <c r="S35" s="223"/>
      <c r="T35" s="229">
        <v>41</v>
      </c>
      <c r="U35" s="230"/>
      <c r="V35" s="46" t="s">
        <v>91</v>
      </c>
      <c r="W35" s="26">
        <f t="shared" ref="W35:W45" si="0">IF(V35="Page",$H$30*T35,IF(V35="Line",$J$30*T35,IF(V35="Number",$L$30*T35,"")))</f>
        <v>4.5510000000000002</v>
      </c>
      <c r="X35" s="27">
        <f t="shared" ref="X35:X45" si="1">COUNTIF(AA$49:AA$96,C35)</f>
        <v>4</v>
      </c>
      <c r="Y35" s="26">
        <f t="shared" ref="Y35:Y45" si="2">IFERROR(IF(V35="Page",T35/$H$31,IF(V35="Line",T35/$J$31,IF(V35="Number",T35/$L$31,""))),"")</f>
        <v>0.92655367231638419</v>
      </c>
      <c r="Z35" s="47">
        <f>(0.75+0.75)/2</f>
        <v>0.75</v>
      </c>
    </row>
    <row r="36" spans="3:64" ht="18" customHeight="1">
      <c r="C36" s="213">
        <v>2</v>
      </c>
      <c r="D36" s="214"/>
      <c r="E36" s="209" t="s">
        <v>520</v>
      </c>
      <c r="F36" s="210"/>
      <c r="G36" s="210"/>
      <c r="H36" s="210"/>
      <c r="I36" s="210"/>
      <c r="J36" s="210"/>
      <c r="K36" s="211"/>
      <c r="L36" s="209" t="s">
        <v>525</v>
      </c>
      <c r="M36" s="210"/>
      <c r="N36" s="210"/>
      <c r="O36" s="210"/>
      <c r="P36" s="211"/>
      <c r="Q36" s="228" t="s">
        <v>531</v>
      </c>
      <c r="R36" s="222"/>
      <c r="S36" s="223"/>
      <c r="T36" s="193" t="s">
        <v>71</v>
      </c>
      <c r="U36" s="194"/>
      <c r="V36" s="46" t="s">
        <v>2</v>
      </c>
      <c r="W36" s="26" t="str">
        <f t="shared" si="0"/>
        <v/>
      </c>
      <c r="X36" s="27">
        <f t="shared" si="1"/>
        <v>0</v>
      </c>
      <c r="Y36" s="26" t="str">
        <f t="shared" si="2"/>
        <v/>
      </c>
      <c r="Z36" s="47"/>
    </row>
    <row r="37" spans="3:64" ht="18" customHeight="1">
      <c r="C37" s="213">
        <v>3</v>
      </c>
      <c r="D37" s="214"/>
      <c r="E37" s="209" t="s">
        <v>521</v>
      </c>
      <c r="F37" s="210"/>
      <c r="G37" s="210"/>
      <c r="H37" s="210"/>
      <c r="I37" s="210"/>
      <c r="J37" s="210"/>
      <c r="K37" s="211"/>
      <c r="L37" s="209" t="s">
        <v>526</v>
      </c>
      <c r="M37" s="210"/>
      <c r="N37" s="210"/>
      <c r="O37" s="210"/>
      <c r="P37" s="211"/>
      <c r="Q37" s="215">
        <v>1.1000000000000001</v>
      </c>
      <c r="R37" s="216"/>
      <c r="S37" s="217"/>
      <c r="T37" s="193" t="s">
        <v>71</v>
      </c>
      <c r="U37" s="194"/>
      <c r="V37" s="46" t="s">
        <v>2</v>
      </c>
      <c r="W37" s="26" t="str">
        <f t="shared" ref="W37" si="3">IF(V37="Page",$H$30*T37,IF(V37="Line",$J$30*T37,IF(V37="Number",$L$30*T37,"")))</f>
        <v/>
      </c>
      <c r="X37" s="27">
        <f t="shared" si="1"/>
        <v>0</v>
      </c>
      <c r="Y37" s="26" t="str">
        <f t="shared" ref="Y37" si="4">IFERROR(IF(V37="Page",T37/$H$31,IF(V37="Line",T37/$J$31,IF(V37="Number",T37/$L$31,""))),"")</f>
        <v/>
      </c>
      <c r="Z37" s="47"/>
    </row>
    <row r="38" spans="3:64" ht="18" customHeight="1">
      <c r="C38" s="213">
        <v>4</v>
      </c>
      <c r="D38" s="214"/>
      <c r="E38" s="187" t="s">
        <v>522</v>
      </c>
      <c r="F38" s="188"/>
      <c r="G38" s="188"/>
      <c r="H38" s="188"/>
      <c r="I38" s="188"/>
      <c r="J38" s="188"/>
      <c r="K38" s="189"/>
      <c r="L38" s="187" t="s">
        <v>527</v>
      </c>
      <c r="M38" s="188"/>
      <c r="N38" s="188"/>
      <c r="O38" s="188"/>
      <c r="P38" s="189"/>
      <c r="Q38" s="190" t="s">
        <v>530</v>
      </c>
      <c r="R38" s="191"/>
      <c r="S38" s="192"/>
      <c r="T38" s="193" t="s">
        <v>71</v>
      </c>
      <c r="U38" s="194"/>
      <c r="V38" s="46" t="s">
        <v>2</v>
      </c>
      <c r="W38" s="26" t="str">
        <f t="shared" si="0"/>
        <v/>
      </c>
      <c r="X38" s="27">
        <f t="shared" si="1"/>
        <v>0</v>
      </c>
      <c r="Y38" s="26" t="str">
        <f t="shared" si="2"/>
        <v/>
      </c>
      <c r="Z38" s="47"/>
    </row>
    <row r="39" spans="3:64" ht="18" customHeight="1">
      <c r="C39" s="213">
        <v>5</v>
      </c>
      <c r="D39" s="214"/>
      <c r="E39" s="209" t="s">
        <v>528</v>
      </c>
      <c r="F39" s="210"/>
      <c r="G39" s="210"/>
      <c r="H39" s="210"/>
      <c r="I39" s="210"/>
      <c r="J39" s="210"/>
      <c r="K39" s="211"/>
      <c r="L39" s="209" t="s">
        <v>529</v>
      </c>
      <c r="M39" s="210"/>
      <c r="N39" s="210"/>
      <c r="O39" s="210"/>
      <c r="P39" s="211"/>
      <c r="Q39" s="340" t="s">
        <v>531</v>
      </c>
      <c r="R39" s="341"/>
      <c r="S39" s="342"/>
      <c r="T39" s="193" t="s">
        <v>71</v>
      </c>
      <c r="U39" s="194"/>
      <c r="V39" s="46" t="s">
        <v>2</v>
      </c>
      <c r="W39" s="26" t="str">
        <f t="shared" si="0"/>
        <v/>
      </c>
      <c r="X39" s="27">
        <f t="shared" si="1"/>
        <v>0</v>
      </c>
      <c r="Y39" s="26" t="str">
        <f t="shared" si="2"/>
        <v/>
      </c>
      <c r="Z39" s="47"/>
    </row>
    <row r="40" spans="3:64" ht="18" customHeight="1">
      <c r="C40" s="213">
        <v>6</v>
      </c>
      <c r="D40" s="214"/>
      <c r="E40" s="209" t="s">
        <v>523</v>
      </c>
      <c r="F40" s="210"/>
      <c r="G40" s="210"/>
      <c r="H40" s="210"/>
      <c r="I40" s="210"/>
      <c r="J40" s="210"/>
      <c r="K40" s="211"/>
      <c r="L40" s="209" t="s">
        <v>547</v>
      </c>
      <c r="M40" s="210"/>
      <c r="N40" s="210"/>
      <c r="O40" s="210"/>
      <c r="P40" s="211"/>
      <c r="Q40" s="218" t="s">
        <v>71</v>
      </c>
      <c r="R40" s="219"/>
      <c r="S40" s="220"/>
      <c r="T40" s="193">
        <v>1</v>
      </c>
      <c r="U40" s="194"/>
      <c r="V40" s="46" t="s">
        <v>91</v>
      </c>
      <c r="W40" s="26">
        <f t="shared" si="0"/>
        <v>0.111</v>
      </c>
      <c r="X40" s="27">
        <f t="shared" si="1"/>
        <v>0</v>
      </c>
      <c r="Y40" s="26">
        <f t="shared" si="2"/>
        <v>2.2598870056497175E-2</v>
      </c>
      <c r="Z40" s="47">
        <f>(0.05+0.05)/2</f>
        <v>0.05</v>
      </c>
    </row>
    <row r="41" spans="3:64" ht="18" customHeight="1">
      <c r="C41" s="213">
        <v>7</v>
      </c>
      <c r="D41" s="214"/>
      <c r="E41" s="209"/>
      <c r="F41" s="210"/>
      <c r="G41" s="210"/>
      <c r="H41" s="210"/>
      <c r="I41" s="210"/>
      <c r="J41" s="210"/>
      <c r="K41" s="211"/>
      <c r="L41" s="209"/>
      <c r="M41" s="210"/>
      <c r="N41" s="210"/>
      <c r="O41" s="210"/>
      <c r="P41" s="211"/>
      <c r="Q41" s="218"/>
      <c r="R41" s="219"/>
      <c r="S41" s="220"/>
      <c r="T41" s="193"/>
      <c r="U41" s="194"/>
      <c r="V41" s="46" t="s">
        <v>2</v>
      </c>
      <c r="W41" s="26" t="str">
        <f t="shared" si="0"/>
        <v/>
      </c>
      <c r="X41" s="27">
        <f t="shared" si="1"/>
        <v>0</v>
      </c>
      <c r="Y41" s="26" t="str">
        <f t="shared" si="2"/>
        <v/>
      </c>
      <c r="Z41" s="47"/>
    </row>
    <row r="42" spans="3:64" ht="18" customHeight="1">
      <c r="C42" s="213">
        <v>8</v>
      </c>
      <c r="D42" s="214"/>
      <c r="E42" s="209"/>
      <c r="F42" s="210"/>
      <c r="G42" s="210"/>
      <c r="H42" s="210"/>
      <c r="I42" s="210"/>
      <c r="J42" s="210"/>
      <c r="K42" s="211"/>
      <c r="L42" s="209"/>
      <c r="M42" s="210"/>
      <c r="N42" s="210"/>
      <c r="O42" s="210"/>
      <c r="P42" s="211"/>
      <c r="Q42" s="221"/>
      <c r="R42" s="222"/>
      <c r="S42" s="223"/>
      <c r="T42" s="193"/>
      <c r="U42" s="194"/>
      <c r="V42" s="46" t="s">
        <v>2</v>
      </c>
      <c r="W42" s="26" t="str">
        <f t="shared" si="0"/>
        <v/>
      </c>
      <c r="X42" s="27">
        <f t="shared" si="1"/>
        <v>0</v>
      </c>
      <c r="Y42" s="26" t="str">
        <f t="shared" si="2"/>
        <v/>
      </c>
      <c r="Z42" s="47"/>
    </row>
    <row r="43" spans="3:64" ht="18" customHeight="1">
      <c r="C43" s="213">
        <v>9</v>
      </c>
      <c r="D43" s="214"/>
      <c r="E43" s="209"/>
      <c r="F43" s="210"/>
      <c r="G43" s="210"/>
      <c r="H43" s="210"/>
      <c r="I43" s="210"/>
      <c r="J43" s="210"/>
      <c r="K43" s="211"/>
      <c r="L43" s="209"/>
      <c r="M43" s="210"/>
      <c r="N43" s="210"/>
      <c r="O43" s="210"/>
      <c r="P43" s="211"/>
      <c r="Q43" s="221"/>
      <c r="R43" s="222"/>
      <c r="S43" s="223"/>
      <c r="T43" s="193"/>
      <c r="U43" s="194"/>
      <c r="V43" s="46" t="s">
        <v>2</v>
      </c>
      <c r="W43" s="26" t="str">
        <f t="shared" si="0"/>
        <v/>
      </c>
      <c r="X43" s="27">
        <f t="shared" si="1"/>
        <v>0</v>
      </c>
      <c r="Y43" s="26" t="str">
        <f t="shared" si="2"/>
        <v/>
      </c>
      <c r="Z43" s="47"/>
    </row>
    <row r="44" spans="3:64" ht="18" customHeight="1">
      <c r="C44" s="213">
        <v>10</v>
      </c>
      <c r="D44" s="214"/>
      <c r="E44" s="209"/>
      <c r="F44" s="210"/>
      <c r="G44" s="210"/>
      <c r="H44" s="210"/>
      <c r="I44" s="210"/>
      <c r="J44" s="210"/>
      <c r="K44" s="211"/>
      <c r="L44" s="209"/>
      <c r="M44" s="210"/>
      <c r="N44" s="210"/>
      <c r="O44" s="210"/>
      <c r="P44" s="211"/>
      <c r="Q44" s="218"/>
      <c r="R44" s="219"/>
      <c r="S44" s="220"/>
      <c r="T44" s="193"/>
      <c r="U44" s="194"/>
      <c r="V44" s="46" t="s">
        <v>2</v>
      </c>
      <c r="W44" s="26" t="str">
        <f t="shared" si="0"/>
        <v/>
      </c>
      <c r="X44" s="27">
        <f t="shared" si="1"/>
        <v>0</v>
      </c>
      <c r="Y44" s="26" t="str">
        <f t="shared" si="2"/>
        <v/>
      </c>
      <c r="Z44" s="47"/>
    </row>
    <row r="45" spans="3:64" ht="9.9499999999999993" customHeight="1">
      <c r="C45" s="336"/>
      <c r="D45" s="336"/>
      <c r="E45" s="339"/>
      <c r="F45" s="339"/>
      <c r="G45" s="339"/>
      <c r="H45" s="339"/>
      <c r="I45" s="339"/>
      <c r="J45" s="339"/>
      <c r="K45" s="339"/>
      <c r="L45" s="339"/>
      <c r="M45" s="339"/>
      <c r="N45" s="339"/>
      <c r="O45" s="339"/>
      <c r="P45" s="339"/>
      <c r="Q45" s="338"/>
      <c r="R45" s="338"/>
      <c r="S45" s="338"/>
      <c r="T45" s="337"/>
      <c r="U45" s="337"/>
      <c r="V45" s="28"/>
      <c r="W45" s="29" t="str">
        <f t="shared" si="0"/>
        <v/>
      </c>
      <c r="X45" s="30">
        <f t="shared" si="1"/>
        <v>0</v>
      </c>
      <c r="Y45" s="29" t="str">
        <f t="shared" si="2"/>
        <v/>
      </c>
      <c r="Z45" s="29"/>
    </row>
    <row r="46" spans="3:64" s="14" customFormat="1" ht="18" customHeight="1">
      <c r="C46" s="14" t="s">
        <v>55</v>
      </c>
    </row>
    <row r="47" spans="3:64" ht="28.5" customHeight="1">
      <c r="C47" s="195" t="s">
        <v>3</v>
      </c>
      <c r="D47" s="195" t="s">
        <v>56</v>
      </c>
      <c r="E47" s="195"/>
      <c r="F47" s="195" t="s">
        <v>57</v>
      </c>
      <c r="G47" s="186" t="s">
        <v>58</v>
      </c>
      <c r="H47" s="196" t="s">
        <v>59</v>
      </c>
      <c r="I47" s="196"/>
      <c r="J47" s="196"/>
      <c r="K47" s="196"/>
      <c r="L47" s="196"/>
      <c r="M47" s="196"/>
      <c r="N47" s="196"/>
      <c r="O47" s="186" t="s">
        <v>60</v>
      </c>
      <c r="P47" s="186" t="s">
        <v>61</v>
      </c>
      <c r="Q47" s="186" t="s">
        <v>62</v>
      </c>
      <c r="R47" s="186"/>
      <c r="S47" s="196" t="s">
        <v>63</v>
      </c>
      <c r="T47" s="196"/>
      <c r="U47" s="196"/>
      <c r="V47" s="196"/>
      <c r="W47" s="196"/>
      <c r="X47" s="186" t="s">
        <v>64</v>
      </c>
      <c r="Y47" s="186" t="s">
        <v>65</v>
      </c>
      <c r="Z47" s="186"/>
    </row>
    <row r="48" spans="3:64" s="31" customFormat="1" ht="102.75" customHeight="1">
      <c r="C48" s="195"/>
      <c r="D48" s="17" t="s">
        <v>66</v>
      </c>
      <c r="E48" s="17" t="s">
        <v>67</v>
      </c>
      <c r="F48" s="195"/>
      <c r="G48" s="186"/>
      <c r="H48" s="196"/>
      <c r="I48" s="196"/>
      <c r="J48" s="196"/>
      <c r="K48" s="196"/>
      <c r="L48" s="196"/>
      <c r="M48" s="196"/>
      <c r="N48" s="196"/>
      <c r="O48" s="186"/>
      <c r="P48" s="186"/>
      <c r="Q48" s="186"/>
      <c r="R48" s="186"/>
      <c r="S48" s="196"/>
      <c r="T48" s="196"/>
      <c r="U48" s="196"/>
      <c r="V48" s="196"/>
      <c r="W48" s="196"/>
      <c r="X48" s="186"/>
      <c r="Y48" s="186"/>
      <c r="Z48" s="186"/>
    </row>
    <row r="49" spans="3:27" ht="40.5" customHeight="1">
      <c r="C49" s="32">
        <v>1</v>
      </c>
      <c r="D49" s="33">
        <v>1</v>
      </c>
      <c r="E49" s="34" t="s">
        <v>538</v>
      </c>
      <c r="F49" s="33" t="s">
        <v>540</v>
      </c>
      <c r="G49" s="33" t="s">
        <v>542</v>
      </c>
      <c r="H49" s="212" t="s">
        <v>541</v>
      </c>
      <c r="I49" s="212"/>
      <c r="J49" s="212"/>
      <c r="K49" s="212"/>
      <c r="L49" s="212"/>
      <c r="M49" s="212"/>
      <c r="N49" s="212"/>
      <c r="O49" s="33" t="s">
        <v>543</v>
      </c>
      <c r="P49" s="35" t="s">
        <v>518</v>
      </c>
      <c r="Q49" s="231" t="s">
        <v>546</v>
      </c>
      <c r="R49" s="231"/>
      <c r="S49" s="345" t="s">
        <v>548</v>
      </c>
      <c r="T49" s="345"/>
      <c r="U49" s="345"/>
      <c r="V49" s="345"/>
      <c r="W49" s="345"/>
      <c r="X49" s="33" t="s">
        <v>540</v>
      </c>
      <c r="Y49" s="231" t="s">
        <v>546</v>
      </c>
      <c r="Z49" s="231"/>
      <c r="AA49" s="16">
        <f>IF(G49="Issue",D49,"")</f>
        <v>1</v>
      </c>
    </row>
    <row r="50" spans="3:27" ht="60" customHeight="1">
      <c r="C50" s="32">
        <v>2</v>
      </c>
      <c r="D50" s="33">
        <v>1</v>
      </c>
      <c r="E50" s="34" t="s">
        <v>538</v>
      </c>
      <c r="F50" s="33" t="s">
        <v>540</v>
      </c>
      <c r="G50" s="33" t="s">
        <v>539</v>
      </c>
      <c r="H50" s="212" t="s">
        <v>545</v>
      </c>
      <c r="I50" s="212"/>
      <c r="J50" s="212"/>
      <c r="K50" s="212"/>
      <c r="L50" s="212"/>
      <c r="M50" s="212"/>
      <c r="N50" s="212"/>
      <c r="O50" s="33"/>
      <c r="P50" s="35"/>
      <c r="Q50" s="350"/>
      <c r="R50" s="351"/>
      <c r="S50" s="345" t="s">
        <v>549</v>
      </c>
      <c r="T50" s="345"/>
      <c r="U50" s="345"/>
      <c r="V50" s="345"/>
      <c r="W50" s="345"/>
      <c r="X50" s="33" t="s">
        <v>540</v>
      </c>
      <c r="Y50" s="231"/>
      <c r="Z50" s="231"/>
      <c r="AA50" s="16" t="str">
        <f>IF(G50="Issue",D50,"")</f>
        <v/>
      </c>
    </row>
    <row r="51" spans="3:27" ht="39" customHeight="1">
      <c r="C51" s="32">
        <v>3</v>
      </c>
      <c r="D51" s="33">
        <v>1</v>
      </c>
      <c r="E51" s="34" t="s">
        <v>538</v>
      </c>
      <c r="F51" s="33" t="s">
        <v>540</v>
      </c>
      <c r="G51" s="33" t="s">
        <v>542</v>
      </c>
      <c r="H51" s="232" t="s">
        <v>544</v>
      </c>
      <c r="I51" s="233"/>
      <c r="J51" s="233"/>
      <c r="K51" s="233"/>
      <c r="L51" s="233"/>
      <c r="M51" s="233"/>
      <c r="N51" s="234"/>
      <c r="O51" s="33" t="s">
        <v>543</v>
      </c>
      <c r="P51" s="35" t="s">
        <v>518</v>
      </c>
      <c r="Q51" s="231" t="s">
        <v>546</v>
      </c>
      <c r="R51" s="231"/>
      <c r="S51" s="345" t="s">
        <v>550</v>
      </c>
      <c r="T51" s="345"/>
      <c r="U51" s="345"/>
      <c r="V51" s="345"/>
      <c r="W51" s="345"/>
      <c r="X51" s="33" t="s">
        <v>540</v>
      </c>
      <c r="Y51" s="231" t="s">
        <v>546</v>
      </c>
      <c r="Z51" s="231"/>
      <c r="AA51" s="16">
        <f t="shared" ref="AA51:AA95" si="5">IF(G51="Issue",D51,"")</f>
        <v>1</v>
      </c>
    </row>
    <row r="52" spans="3:27" ht="40.5" customHeight="1">
      <c r="C52" s="32">
        <v>4</v>
      </c>
      <c r="D52" s="33">
        <v>1</v>
      </c>
      <c r="E52" s="34" t="s">
        <v>554</v>
      </c>
      <c r="F52" s="33" t="s">
        <v>540</v>
      </c>
      <c r="G52" s="33" t="s">
        <v>542</v>
      </c>
      <c r="H52" s="232" t="s">
        <v>557</v>
      </c>
      <c r="I52" s="233"/>
      <c r="J52" s="233"/>
      <c r="K52" s="233"/>
      <c r="L52" s="233"/>
      <c r="M52" s="233"/>
      <c r="N52" s="234"/>
      <c r="O52" s="33" t="s">
        <v>543</v>
      </c>
      <c r="P52" s="35" t="s">
        <v>518</v>
      </c>
      <c r="Q52" s="231" t="s">
        <v>546</v>
      </c>
      <c r="R52" s="231"/>
      <c r="S52" s="345" t="s">
        <v>558</v>
      </c>
      <c r="T52" s="345"/>
      <c r="U52" s="345"/>
      <c r="V52" s="345"/>
      <c r="W52" s="345"/>
      <c r="X52" s="33" t="s">
        <v>540</v>
      </c>
      <c r="Y52" s="231" t="s">
        <v>546</v>
      </c>
      <c r="Z52" s="231"/>
      <c r="AA52" s="16">
        <f>IF(G52="Issue",D52,"")</f>
        <v>1</v>
      </c>
    </row>
    <row r="53" spans="3:27" ht="48.75" customHeight="1">
      <c r="C53" s="32">
        <v>5</v>
      </c>
      <c r="D53" s="33">
        <v>1</v>
      </c>
      <c r="E53" s="34" t="s">
        <v>555</v>
      </c>
      <c r="F53" s="33" t="s">
        <v>540</v>
      </c>
      <c r="G53" s="33" t="s">
        <v>542</v>
      </c>
      <c r="H53" s="232" t="s">
        <v>556</v>
      </c>
      <c r="I53" s="233"/>
      <c r="J53" s="233"/>
      <c r="K53" s="233"/>
      <c r="L53" s="233"/>
      <c r="M53" s="233"/>
      <c r="N53" s="234"/>
      <c r="O53" s="33" t="s">
        <v>543</v>
      </c>
      <c r="P53" s="35" t="s">
        <v>518</v>
      </c>
      <c r="Q53" s="231" t="s">
        <v>546</v>
      </c>
      <c r="R53" s="231"/>
      <c r="S53" s="345" t="s">
        <v>559</v>
      </c>
      <c r="T53" s="345"/>
      <c r="U53" s="345"/>
      <c r="V53" s="345"/>
      <c r="W53" s="345"/>
      <c r="X53" s="33" t="s">
        <v>540</v>
      </c>
      <c r="Y53" s="231" t="s">
        <v>546</v>
      </c>
      <c r="Z53" s="231"/>
      <c r="AA53" s="16">
        <f t="shared" si="5"/>
        <v>1</v>
      </c>
    </row>
    <row r="54" spans="3:27" ht="63" customHeight="1">
      <c r="C54" s="32">
        <v>6</v>
      </c>
      <c r="D54" s="33" t="s">
        <v>71</v>
      </c>
      <c r="E54" s="34" t="s">
        <v>71</v>
      </c>
      <c r="F54" s="33" t="s">
        <v>540</v>
      </c>
      <c r="G54" s="33" t="s">
        <v>478</v>
      </c>
      <c r="H54" s="232" t="s">
        <v>479</v>
      </c>
      <c r="I54" s="233"/>
      <c r="J54" s="233"/>
      <c r="K54" s="233"/>
      <c r="L54" s="233"/>
      <c r="M54" s="233"/>
      <c r="N54" s="234"/>
      <c r="O54" s="33" t="s">
        <v>2</v>
      </c>
      <c r="P54" s="35"/>
      <c r="Q54" s="231"/>
      <c r="R54" s="231"/>
      <c r="S54" s="345"/>
      <c r="T54" s="345"/>
      <c r="U54" s="345"/>
      <c r="V54" s="345"/>
      <c r="W54" s="345"/>
      <c r="X54" s="36"/>
      <c r="Y54" s="231"/>
      <c r="Z54" s="231"/>
      <c r="AA54" s="16" t="str">
        <f t="shared" si="5"/>
        <v/>
      </c>
    </row>
    <row r="55" spans="3:27" ht="33" customHeight="1">
      <c r="C55" s="32">
        <v>7</v>
      </c>
      <c r="D55" s="33" t="s">
        <v>71</v>
      </c>
      <c r="E55" s="34" t="s">
        <v>71</v>
      </c>
      <c r="F55" s="33" t="s">
        <v>540</v>
      </c>
      <c r="G55" s="33" t="s">
        <v>478</v>
      </c>
      <c r="H55" s="232" t="s">
        <v>480</v>
      </c>
      <c r="I55" s="233"/>
      <c r="J55" s="233"/>
      <c r="K55" s="233"/>
      <c r="L55" s="233"/>
      <c r="M55" s="233"/>
      <c r="N55" s="234"/>
      <c r="O55" s="33" t="s">
        <v>2</v>
      </c>
      <c r="P55" s="35"/>
      <c r="Q55" s="231"/>
      <c r="R55" s="231"/>
      <c r="S55" s="345"/>
      <c r="T55" s="345"/>
      <c r="U55" s="345"/>
      <c r="V55" s="345"/>
      <c r="W55" s="345"/>
      <c r="X55" s="36"/>
      <c r="Y55" s="231"/>
      <c r="Z55" s="231"/>
      <c r="AA55" s="16" t="str">
        <f t="shared" si="5"/>
        <v/>
      </c>
    </row>
    <row r="56" spans="3:27" ht="33" customHeight="1">
      <c r="C56" s="32">
        <v>8</v>
      </c>
      <c r="D56" s="33"/>
      <c r="E56" s="34"/>
      <c r="F56" s="33"/>
      <c r="G56" s="33" t="s">
        <v>2</v>
      </c>
      <c r="H56" s="212"/>
      <c r="I56" s="212"/>
      <c r="J56" s="212"/>
      <c r="K56" s="212"/>
      <c r="L56" s="212"/>
      <c r="M56" s="212"/>
      <c r="N56" s="212"/>
      <c r="O56" s="33" t="s">
        <v>2</v>
      </c>
      <c r="P56" s="35"/>
      <c r="Q56" s="231"/>
      <c r="R56" s="231"/>
      <c r="S56" s="345"/>
      <c r="T56" s="345"/>
      <c r="U56" s="345"/>
      <c r="V56" s="345"/>
      <c r="W56" s="345"/>
      <c r="X56" s="33"/>
      <c r="Y56" s="231"/>
      <c r="Z56" s="231"/>
      <c r="AA56" s="16" t="str">
        <f>IF(G56="Issue",D56,"")</f>
        <v/>
      </c>
    </row>
    <row r="57" spans="3:27" ht="46.5" customHeight="1">
      <c r="C57" s="32">
        <v>9</v>
      </c>
      <c r="D57" s="33"/>
      <c r="E57" s="34"/>
      <c r="F57" s="33"/>
      <c r="G57" s="33" t="s">
        <v>2</v>
      </c>
      <c r="H57" s="212"/>
      <c r="I57" s="212"/>
      <c r="J57" s="212"/>
      <c r="K57" s="212"/>
      <c r="L57" s="212"/>
      <c r="M57" s="212"/>
      <c r="N57" s="212"/>
      <c r="O57" s="33" t="s">
        <v>2</v>
      </c>
      <c r="P57" s="35"/>
      <c r="Q57" s="231"/>
      <c r="R57" s="231"/>
      <c r="S57" s="345"/>
      <c r="T57" s="345"/>
      <c r="U57" s="345"/>
      <c r="V57" s="345"/>
      <c r="W57" s="345"/>
      <c r="X57" s="33"/>
      <c r="Y57" s="231"/>
      <c r="Z57" s="231"/>
      <c r="AA57" s="16" t="str">
        <f t="shared" si="5"/>
        <v/>
      </c>
    </row>
    <row r="58" spans="3:27" ht="33" customHeight="1">
      <c r="C58" s="32">
        <v>10</v>
      </c>
      <c r="D58" s="33"/>
      <c r="E58" s="34"/>
      <c r="F58" s="33"/>
      <c r="G58" s="33" t="s">
        <v>2</v>
      </c>
      <c r="H58" s="212"/>
      <c r="I58" s="212"/>
      <c r="J58" s="212"/>
      <c r="K58" s="212"/>
      <c r="L58" s="212"/>
      <c r="M58" s="212"/>
      <c r="N58" s="212"/>
      <c r="O58" s="33" t="s">
        <v>2</v>
      </c>
      <c r="P58" s="35"/>
      <c r="Q58" s="231"/>
      <c r="R58" s="231"/>
      <c r="S58" s="345"/>
      <c r="T58" s="345"/>
      <c r="U58" s="345"/>
      <c r="V58" s="345"/>
      <c r="W58" s="345"/>
      <c r="X58" s="33"/>
      <c r="Y58" s="231"/>
      <c r="Z58" s="231"/>
      <c r="AA58" s="16" t="str">
        <f t="shared" si="5"/>
        <v/>
      </c>
    </row>
    <row r="59" spans="3:27" ht="33" customHeight="1">
      <c r="C59" s="32">
        <v>11</v>
      </c>
      <c r="D59" s="33"/>
      <c r="E59" s="34"/>
      <c r="F59" s="33"/>
      <c r="G59" s="33" t="s">
        <v>2</v>
      </c>
      <c r="H59" s="232"/>
      <c r="I59" s="233"/>
      <c r="J59" s="233"/>
      <c r="K59" s="233"/>
      <c r="L59" s="233"/>
      <c r="M59" s="233"/>
      <c r="N59" s="234"/>
      <c r="O59" s="33" t="s">
        <v>2</v>
      </c>
      <c r="P59" s="35"/>
      <c r="Q59" s="231"/>
      <c r="R59" s="231"/>
      <c r="S59" s="345"/>
      <c r="T59" s="345"/>
      <c r="U59" s="345"/>
      <c r="V59" s="345"/>
      <c r="W59" s="345"/>
      <c r="X59" s="35"/>
      <c r="Y59" s="231"/>
      <c r="Z59" s="231"/>
      <c r="AA59" s="16" t="str">
        <f t="shared" si="5"/>
        <v/>
      </c>
    </row>
    <row r="60" spans="3:27" ht="33" customHeight="1">
      <c r="C60" s="32">
        <v>12</v>
      </c>
      <c r="D60" s="33"/>
      <c r="E60" s="34"/>
      <c r="F60" s="33"/>
      <c r="G60" s="33" t="s">
        <v>2</v>
      </c>
      <c r="H60" s="352"/>
      <c r="I60" s="212"/>
      <c r="J60" s="212"/>
      <c r="K60" s="212"/>
      <c r="L60" s="212"/>
      <c r="M60" s="212"/>
      <c r="N60" s="212"/>
      <c r="O60" s="33" t="s">
        <v>2</v>
      </c>
      <c r="P60" s="35"/>
      <c r="Q60" s="231"/>
      <c r="R60" s="231"/>
      <c r="S60" s="345"/>
      <c r="T60" s="345"/>
      <c r="U60" s="345"/>
      <c r="V60" s="345"/>
      <c r="W60" s="345"/>
      <c r="X60" s="36"/>
      <c r="Y60" s="224"/>
      <c r="Z60" s="224"/>
      <c r="AA60" s="16" t="str">
        <f t="shared" si="5"/>
        <v/>
      </c>
    </row>
    <row r="61" spans="3:27" ht="33" customHeight="1">
      <c r="C61" s="32">
        <v>13</v>
      </c>
      <c r="D61" s="33"/>
      <c r="E61" s="34"/>
      <c r="F61" s="33"/>
      <c r="G61" s="33" t="s">
        <v>2</v>
      </c>
      <c r="H61" s="212"/>
      <c r="I61" s="212"/>
      <c r="J61" s="212"/>
      <c r="K61" s="212"/>
      <c r="L61" s="212"/>
      <c r="M61" s="212"/>
      <c r="N61" s="212"/>
      <c r="O61" s="33" t="s">
        <v>2</v>
      </c>
      <c r="P61" s="35"/>
      <c r="Q61" s="231"/>
      <c r="R61" s="231"/>
      <c r="S61" s="345"/>
      <c r="T61" s="345"/>
      <c r="U61" s="345"/>
      <c r="V61" s="345"/>
      <c r="W61" s="345"/>
      <c r="X61" s="36"/>
      <c r="Y61" s="224"/>
      <c r="Z61" s="224"/>
      <c r="AA61" s="16" t="str">
        <f t="shared" si="5"/>
        <v/>
      </c>
    </row>
    <row r="62" spans="3:27" ht="33" customHeight="1">
      <c r="C62" s="32">
        <v>14</v>
      </c>
      <c r="D62" s="33"/>
      <c r="E62" s="34"/>
      <c r="F62" s="33"/>
      <c r="G62" s="33" t="s">
        <v>2</v>
      </c>
      <c r="H62" s="212"/>
      <c r="I62" s="212"/>
      <c r="J62" s="212"/>
      <c r="K62" s="212"/>
      <c r="L62" s="212"/>
      <c r="M62" s="212"/>
      <c r="N62" s="212"/>
      <c r="O62" s="33" t="s">
        <v>2</v>
      </c>
      <c r="P62" s="35"/>
      <c r="Q62" s="231"/>
      <c r="R62" s="231"/>
      <c r="S62" s="345"/>
      <c r="T62" s="345"/>
      <c r="U62" s="345"/>
      <c r="V62" s="345"/>
      <c r="W62" s="345"/>
      <c r="X62" s="36"/>
      <c r="Y62" s="224"/>
      <c r="Z62" s="224"/>
      <c r="AA62" s="16" t="str">
        <f t="shared" si="5"/>
        <v/>
      </c>
    </row>
    <row r="63" spans="3:27" ht="33" customHeight="1">
      <c r="C63" s="32">
        <v>15</v>
      </c>
      <c r="D63" s="33"/>
      <c r="E63" s="34"/>
      <c r="F63" s="33"/>
      <c r="G63" s="33" t="s">
        <v>2</v>
      </c>
      <c r="H63" s="212"/>
      <c r="I63" s="212"/>
      <c r="J63" s="212"/>
      <c r="K63" s="212"/>
      <c r="L63" s="212"/>
      <c r="M63" s="212"/>
      <c r="N63" s="212"/>
      <c r="O63" s="33" t="s">
        <v>2</v>
      </c>
      <c r="P63" s="35"/>
      <c r="Q63" s="231"/>
      <c r="R63" s="231"/>
      <c r="S63" s="345"/>
      <c r="T63" s="345"/>
      <c r="U63" s="345"/>
      <c r="V63" s="345"/>
      <c r="W63" s="345"/>
      <c r="X63" s="36"/>
      <c r="Y63" s="224"/>
      <c r="Z63" s="224"/>
      <c r="AA63" s="16" t="str">
        <f t="shared" si="5"/>
        <v/>
      </c>
    </row>
    <row r="64" spans="3:27" ht="33" customHeight="1">
      <c r="C64" s="32">
        <v>16</v>
      </c>
      <c r="D64" s="33"/>
      <c r="E64" s="34"/>
      <c r="F64" s="33"/>
      <c r="G64" s="33" t="s">
        <v>2</v>
      </c>
      <c r="H64" s="212"/>
      <c r="I64" s="212"/>
      <c r="J64" s="212"/>
      <c r="K64" s="212"/>
      <c r="L64" s="212"/>
      <c r="M64" s="212"/>
      <c r="N64" s="212"/>
      <c r="O64" s="33" t="s">
        <v>2</v>
      </c>
      <c r="P64" s="35"/>
      <c r="Q64" s="231"/>
      <c r="R64" s="231"/>
      <c r="S64" s="345"/>
      <c r="T64" s="345"/>
      <c r="U64" s="345"/>
      <c r="V64" s="345"/>
      <c r="W64" s="345"/>
      <c r="X64" s="36"/>
      <c r="Y64" s="224"/>
      <c r="Z64" s="224"/>
      <c r="AA64" s="16" t="str">
        <f t="shared" si="5"/>
        <v/>
      </c>
    </row>
    <row r="65" spans="3:27" ht="33" customHeight="1">
      <c r="C65" s="32">
        <v>17</v>
      </c>
      <c r="D65" s="33"/>
      <c r="E65" s="34"/>
      <c r="F65" s="33"/>
      <c r="G65" s="33" t="s">
        <v>2</v>
      </c>
      <c r="H65" s="212"/>
      <c r="I65" s="212"/>
      <c r="J65" s="212"/>
      <c r="K65" s="212"/>
      <c r="L65" s="212"/>
      <c r="M65" s="212"/>
      <c r="N65" s="212"/>
      <c r="O65" s="33" t="s">
        <v>2</v>
      </c>
      <c r="P65" s="35"/>
      <c r="Q65" s="231"/>
      <c r="R65" s="231"/>
      <c r="S65" s="345"/>
      <c r="T65" s="345"/>
      <c r="U65" s="345"/>
      <c r="V65" s="345"/>
      <c r="W65" s="345"/>
      <c r="X65" s="36"/>
      <c r="Y65" s="224"/>
      <c r="Z65" s="224"/>
      <c r="AA65" s="16" t="str">
        <f t="shared" si="5"/>
        <v/>
      </c>
    </row>
    <row r="66" spans="3:27" ht="33" customHeight="1">
      <c r="C66" s="32">
        <v>18</v>
      </c>
      <c r="D66" s="33"/>
      <c r="E66" s="34"/>
      <c r="F66" s="33"/>
      <c r="G66" s="33" t="s">
        <v>2</v>
      </c>
      <c r="H66" s="212"/>
      <c r="I66" s="212"/>
      <c r="J66" s="212"/>
      <c r="K66" s="212"/>
      <c r="L66" s="212"/>
      <c r="M66" s="212"/>
      <c r="N66" s="212"/>
      <c r="O66" s="33" t="s">
        <v>2</v>
      </c>
      <c r="P66" s="35"/>
      <c r="Q66" s="231"/>
      <c r="R66" s="231"/>
      <c r="S66" s="345"/>
      <c r="T66" s="345"/>
      <c r="U66" s="345"/>
      <c r="V66" s="345"/>
      <c r="W66" s="345"/>
      <c r="X66" s="36"/>
      <c r="Y66" s="224"/>
      <c r="Z66" s="224"/>
      <c r="AA66" s="16" t="str">
        <f t="shared" si="5"/>
        <v/>
      </c>
    </row>
    <row r="67" spans="3:27" ht="33" customHeight="1">
      <c r="C67" s="32">
        <v>19</v>
      </c>
      <c r="D67" s="33"/>
      <c r="E67" s="34"/>
      <c r="F67" s="33"/>
      <c r="G67" s="33" t="s">
        <v>2</v>
      </c>
      <c r="H67" s="212"/>
      <c r="I67" s="212"/>
      <c r="J67" s="212"/>
      <c r="K67" s="212"/>
      <c r="L67" s="212"/>
      <c r="M67" s="212"/>
      <c r="N67" s="212"/>
      <c r="O67" s="33" t="s">
        <v>2</v>
      </c>
      <c r="P67" s="35"/>
      <c r="Q67" s="231"/>
      <c r="R67" s="231"/>
      <c r="S67" s="345"/>
      <c r="T67" s="345"/>
      <c r="U67" s="345"/>
      <c r="V67" s="345"/>
      <c r="W67" s="345"/>
      <c r="X67" s="36"/>
      <c r="Y67" s="224"/>
      <c r="Z67" s="224"/>
      <c r="AA67" s="16" t="str">
        <f t="shared" si="5"/>
        <v/>
      </c>
    </row>
    <row r="68" spans="3:27" ht="33" customHeight="1">
      <c r="C68" s="32">
        <v>20</v>
      </c>
      <c r="D68" s="33"/>
      <c r="E68" s="34"/>
      <c r="F68" s="33"/>
      <c r="G68" s="33" t="s">
        <v>2</v>
      </c>
      <c r="H68" s="212"/>
      <c r="I68" s="212"/>
      <c r="J68" s="212"/>
      <c r="K68" s="212"/>
      <c r="L68" s="212"/>
      <c r="M68" s="212"/>
      <c r="N68" s="212"/>
      <c r="O68" s="33" t="s">
        <v>2</v>
      </c>
      <c r="P68" s="35"/>
      <c r="Q68" s="231"/>
      <c r="R68" s="231"/>
      <c r="S68" s="345"/>
      <c r="T68" s="345"/>
      <c r="U68" s="345"/>
      <c r="V68" s="345"/>
      <c r="W68" s="345"/>
      <c r="X68" s="36"/>
      <c r="Y68" s="224"/>
      <c r="Z68" s="224"/>
      <c r="AA68" s="16" t="str">
        <f t="shared" si="5"/>
        <v/>
      </c>
    </row>
    <row r="69" spans="3:27" ht="33" customHeight="1">
      <c r="C69" s="32">
        <v>21</v>
      </c>
      <c r="D69" s="33"/>
      <c r="E69" s="34"/>
      <c r="F69" s="33"/>
      <c r="G69" s="33" t="s">
        <v>2</v>
      </c>
      <c r="H69" s="212"/>
      <c r="I69" s="212"/>
      <c r="J69" s="212"/>
      <c r="K69" s="212"/>
      <c r="L69" s="212"/>
      <c r="M69" s="212"/>
      <c r="N69" s="212"/>
      <c r="O69" s="33" t="s">
        <v>2</v>
      </c>
      <c r="P69" s="35"/>
      <c r="Q69" s="231"/>
      <c r="R69" s="231"/>
      <c r="S69" s="345"/>
      <c r="T69" s="345"/>
      <c r="U69" s="345"/>
      <c r="V69" s="345"/>
      <c r="W69" s="345"/>
      <c r="X69" s="36"/>
      <c r="Y69" s="224"/>
      <c r="Z69" s="224"/>
      <c r="AA69" s="16" t="str">
        <f t="shared" si="5"/>
        <v/>
      </c>
    </row>
    <row r="70" spans="3:27" ht="33" customHeight="1">
      <c r="C70" s="32">
        <v>22</v>
      </c>
      <c r="D70" s="33"/>
      <c r="E70" s="34"/>
      <c r="F70" s="33"/>
      <c r="G70" s="33" t="s">
        <v>2</v>
      </c>
      <c r="H70" s="212"/>
      <c r="I70" s="212"/>
      <c r="J70" s="212"/>
      <c r="K70" s="212"/>
      <c r="L70" s="212"/>
      <c r="M70" s="212"/>
      <c r="N70" s="212"/>
      <c r="O70" s="33" t="s">
        <v>2</v>
      </c>
      <c r="P70" s="35"/>
      <c r="Q70" s="231"/>
      <c r="R70" s="231"/>
      <c r="S70" s="345"/>
      <c r="T70" s="345"/>
      <c r="U70" s="345"/>
      <c r="V70" s="345"/>
      <c r="W70" s="345"/>
      <c r="X70" s="36"/>
      <c r="Y70" s="224"/>
      <c r="Z70" s="224"/>
      <c r="AA70" s="16" t="str">
        <f t="shared" si="5"/>
        <v/>
      </c>
    </row>
    <row r="71" spans="3:27" ht="33" customHeight="1">
      <c r="C71" s="32">
        <v>23</v>
      </c>
      <c r="D71" s="33"/>
      <c r="E71" s="34"/>
      <c r="F71" s="33"/>
      <c r="G71" s="33" t="s">
        <v>2</v>
      </c>
      <c r="H71" s="212"/>
      <c r="I71" s="212"/>
      <c r="J71" s="212"/>
      <c r="K71" s="212"/>
      <c r="L71" s="212"/>
      <c r="M71" s="212"/>
      <c r="N71" s="212"/>
      <c r="O71" s="33" t="s">
        <v>2</v>
      </c>
      <c r="P71" s="35"/>
      <c r="Q71" s="231"/>
      <c r="R71" s="231"/>
      <c r="S71" s="345"/>
      <c r="T71" s="345"/>
      <c r="U71" s="345"/>
      <c r="V71" s="345"/>
      <c r="W71" s="345"/>
      <c r="X71" s="36"/>
      <c r="Y71" s="224"/>
      <c r="Z71" s="224"/>
      <c r="AA71" s="16" t="str">
        <f t="shared" si="5"/>
        <v/>
      </c>
    </row>
    <row r="72" spans="3:27" ht="33" customHeight="1">
      <c r="C72" s="32">
        <v>24</v>
      </c>
      <c r="D72" s="33"/>
      <c r="E72" s="34"/>
      <c r="F72" s="33"/>
      <c r="G72" s="33" t="s">
        <v>2</v>
      </c>
      <c r="H72" s="212"/>
      <c r="I72" s="212"/>
      <c r="J72" s="212"/>
      <c r="K72" s="212"/>
      <c r="L72" s="212"/>
      <c r="M72" s="212"/>
      <c r="N72" s="212"/>
      <c r="O72" s="33" t="s">
        <v>2</v>
      </c>
      <c r="P72" s="35"/>
      <c r="Q72" s="231"/>
      <c r="R72" s="231"/>
      <c r="S72" s="345"/>
      <c r="T72" s="345"/>
      <c r="U72" s="345"/>
      <c r="V72" s="345"/>
      <c r="W72" s="345"/>
      <c r="X72" s="36"/>
      <c r="Y72" s="224"/>
      <c r="Z72" s="224"/>
      <c r="AA72" s="16" t="str">
        <f t="shared" si="5"/>
        <v/>
      </c>
    </row>
    <row r="73" spans="3:27" ht="33" customHeight="1">
      <c r="C73" s="32">
        <v>25</v>
      </c>
      <c r="D73" s="33"/>
      <c r="E73" s="34"/>
      <c r="F73" s="33"/>
      <c r="G73" s="33" t="s">
        <v>2</v>
      </c>
      <c r="H73" s="212"/>
      <c r="I73" s="212"/>
      <c r="J73" s="212"/>
      <c r="K73" s="212"/>
      <c r="L73" s="212"/>
      <c r="M73" s="212"/>
      <c r="N73" s="212"/>
      <c r="O73" s="33" t="s">
        <v>2</v>
      </c>
      <c r="P73" s="35"/>
      <c r="Q73" s="231"/>
      <c r="R73" s="231"/>
      <c r="S73" s="345"/>
      <c r="T73" s="345"/>
      <c r="U73" s="345"/>
      <c r="V73" s="345"/>
      <c r="W73" s="345"/>
      <c r="X73" s="36"/>
      <c r="Y73" s="224"/>
      <c r="Z73" s="224"/>
      <c r="AA73" s="16" t="str">
        <f t="shared" si="5"/>
        <v/>
      </c>
    </row>
    <row r="74" spans="3:27" ht="33" customHeight="1">
      <c r="C74" s="32">
        <v>26</v>
      </c>
      <c r="D74" s="33"/>
      <c r="E74" s="34"/>
      <c r="F74" s="33"/>
      <c r="G74" s="33" t="s">
        <v>2</v>
      </c>
      <c r="H74" s="212"/>
      <c r="I74" s="212"/>
      <c r="J74" s="212"/>
      <c r="K74" s="212"/>
      <c r="L74" s="212"/>
      <c r="M74" s="212"/>
      <c r="N74" s="212"/>
      <c r="O74" s="33" t="s">
        <v>2</v>
      </c>
      <c r="P74" s="35"/>
      <c r="Q74" s="231"/>
      <c r="R74" s="231"/>
      <c r="S74" s="345"/>
      <c r="T74" s="345"/>
      <c r="U74" s="345"/>
      <c r="V74" s="345"/>
      <c r="W74" s="345"/>
      <c r="X74" s="36"/>
      <c r="Y74" s="224"/>
      <c r="Z74" s="224"/>
      <c r="AA74" s="16" t="str">
        <f t="shared" si="5"/>
        <v/>
      </c>
    </row>
    <row r="75" spans="3:27" ht="33" customHeight="1">
      <c r="C75" s="32">
        <v>27</v>
      </c>
      <c r="D75" s="33"/>
      <c r="E75" s="34"/>
      <c r="F75" s="33"/>
      <c r="G75" s="33" t="s">
        <v>2</v>
      </c>
      <c r="H75" s="212"/>
      <c r="I75" s="212"/>
      <c r="J75" s="212"/>
      <c r="K75" s="212"/>
      <c r="L75" s="212"/>
      <c r="M75" s="212"/>
      <c r="N75" s="212"/>
      <c r="O75" s="33" t="s">
        <v>2</v>
      </c>
      <c r="P75" s="35"/>
      <c r="Q75" s="231"/>
      <c r="R75" s="231"/>
      <c r="S75" s="345"/>
      <c r="T75" s="345"/>
      <c r="U75" s="345"/>
      <c r="V75" s="345"/>
      <c r="W75" s="345"/>
      <c r="X75" s="36"/>
      <c r="Y75" s="224"/>
      <c r="Z75" s="224"/>
      <c r="AA75" s="16" t="str">
        <f t="shared" si="5"/>
        <v/>
      </c>
    </row>
    <row r="76" spans="3:27" ht="33" customHeight="1">
      <c r="C76" s="32">
        <v>28</v>
      </c>
      <c r="D76" s="33"/>
      <c r="E76" s="34"/>
      <c r="F76" s="33"/>
      <c r="G76" s="33" t="s">
        <v>2</v>
      </c>
      <c r="H76" s="212"/>
      <c r="I76" s="212"/>
      <c r="J76" s="212"/>
      <c r="K76" s="212"/>
      <c r="L76" s="212"/>
      <c r="M76" s="212"/>
      <c r="N76" s="212"/>
      <c r="O76" s="33" t="s">
        <v>2</v>
      </c>
      <c r="P76" s="35"/>
      <c r="Q76" s="231"/>
      <c r="R76" s="231"/>
      <c r="S76" s="345"/>
      <c r="T76" s="345"/>
      <c r="U76" s="345"/>
      <c r="V76" s="345"/>
      <c r="W76" s="345"/>
      <c r="X76" s="36"/>
      <c r="Y76" s="224"/>
      <c r="Z76" s="224"/>
      <c r="AA76" s="16" t="str">
        <f t="shared" si="5"/>
        <v/>
      </c>
    </row>
    <row r="77" spans="3:27" ht="33" customHeight="1">
      <c r="C77" s="32">
        <v>29</v>
      </c>
      <c r="D77" s="33"/>
      <c r="E77" s="34"/>
      <c r="F77" s="33"/>
      <c r="G77" s="33" t="s">
        <v>2</v>
      </c>
      <c r="H77" s="212"/>
      <c r="I77" s="212"/>
      <c r="J77" s="212"/>
      <c r="K77" s="212"/>
      <c r="L77" s="212"/>
      <c r="M77" s="212"/>
      <c r="N77" s="212"/>
      <c r="O77" s="33" t="s">
        <v>2</v>
      </c>
      <c r="P77" s="35"/>
      <c r="Q77" s="231"/>
      <c r="R77" s="231"/>
      <c r="S77" s="345"/>
      <c r="T77" s="345"/>
      <c r="U77" s="345"/>
      <c r="V77" s="345"/>
      <c r="W77" s="345"/>
      <c r="X77" s="36"/>
      <c r="Y77" s="224"/>
      <c r="Z77" s="224"/>
      <c r="AA77" s="16" t="str">
        <f t="shared" si="5"/>
        <v/>
      </c>
    </row>
    <row r="78" spans="3:27" ht="33" customHeight="1">
      <c r="C78" s="32">
        <v>30</v>
      </c>
      <c r="D78" s="33"/>
      <c r="E78" s="34"/>
      <c r="F78" s="33"/>
      <c r="G78" s="33" t="s">
        <v>2</v>
      </c>
      <c r="H78" s="212"/>
      <c r="I78" s="212"/>
      <c r="J78" s="212"/>
      <c r="K78" s="212"/>
      <c r="L78" s="212"/>
      <c r="M78" s="212"/>
      <c r="N78" s="212"/>
      <c r="O78" s="33" t="s">
        <v>2</v>
      </c>
      <c r="P78" s="35"/>
      <c r="Q78" s="231"/>
      <c r="R78" s="231"/>
      <c r="S78" s="345"/>
      <c r="T78" s="345"/>
      <c r="U78" s="345"/>
      <c r="V78" s="345"/>
      <c r="W78" s="345"/>
      <c r="X78" s="36"/>
      <c r="Y78" s="224"/>
      <c r="Z78" s="224"/>
      <c r="AA78" s="16" t="str">
        <f t="shared" si="5"/>
        <v/>
      </c>
    </row>
    <row r="79" spans="3:27" ht="33" customHeight="1">
      <c r="C79" s="32">
        <v>31</v>
      </c>
      <c r="D79" s="33"/>
      <c r="E79" s="34"/>
      <c r="F79" s="33"/>
      <c r="G79" s="33" t="s">
        <v>2</v>
      </c>
      <c r="H79" s="212"/>
      <c r="I79" s="212"/>
      <c r="J79" s="212"/>
      <c r="K79" s="212"/>
      <c r="L79" s="212"/>
      <c r="M79" s="212"/>
      <c r="N79" s="212"/>
      <c r="O79" s="33" t="s">
        <v>2</v>
      </c>
      <c r="P79" s="35"/>
      <c r="Q79" s="231"/>
      <c r="R79" s="231"/>
      <c r="S79" s="345"/>
      <c r="T79" s="345"/>
      <c r="U79" s="345"/>
      <c r="V79" s="345"/>
      <c r="W79" s="345"/>
      <c r="X79" s="36"/>
      <c r="Y79" s="224"/>
      <c r="Z79" s="224"/>
      <c r="AA79" s="16" t="str">
        <f t="shared" si="5"/>
        <v/>
      </c>
    </row>
    <row r="80" spans="3:27" ht="33" customHeight="1">
      <c r="C80" s="32">
        <v>32</v>
      </c>
      <c r="D80" s="33"/>
      <c r="E80" s="34"/>
      <c r="F80" s="33"/>
      <c r="G80" s="33" t="s">
        <v>2</v>
      </c>
      <c r="H80" s="212"/>
      <c r="I80" s="212"/>
      <c r="J80" s="212"/>
      <c r="K80" s="212"/>
      <c r="L80" s="212"/>
      <c r="M80" s="212"/>
      <c r="N80" s="212"/>
      <c r="O80" s="33" t="s">
        <v>2</v>
      </c>
      <c r="P80" s="35"/>
      <c r="Q80" s="231"/>
      <c r="R80" s="231"/>
      <c r="S80" s="345"/>
      <c r="T80" s="345"/>
      <c r="U80" s="345"/>
      <c r="V80" s="345"/>
      <c r="W80" s="345"/>
      <c r="X80" s="36"/>
      <c r="Y80" s="224"/>
      <c r="Z80" s="224"/>
      <c r="AA80" s="16" t="str">
        <f t="shared" si="5"/>
        <v/>
      </c>
    </row>
    <row r="81" spans="3:28" ht="33" customHeight="1">
      <c r="C81" s="32">
        <v>33</v>
      </c>
      <c r="D81" s="33"/>
      <c r="E81" s="34"/>
      <c r="F81" s="33"/>
      <c r="G81" s="33" t="s">
        <v>2</v>
      </c>
      <c r="H81" s="212"/>
      <c r="I81" s="212"/>
      <c r="J81" s="212"/>
      <c r="K81" s="212"/>
      <c r="L81" s="212"/>
      <c r="M81" s="212"/>
      <c r="N81" s="212"/>
      <c r="O81" s="33" t="s">
        <v>2</v>
      </c>
      <c r="P81" s="35"/>
      <c r="Q81" s="231"/>
      <c r="R81" s="231"/>
      <c r="S81" s="345"/>
      <c r="T81" s="345"/>
      <c r="U81" s="345"/>
      <c r="V81" s="345"/>
      <c r="W81" s="345"/>
      <c r="X81" s="36"/>
      <c r="Y81" s="224"/>
      <c r="Z81" s="224"/>
      <c r="AA81" s="16" t="str">
        <f t="shared" si="5"/>
        <v/>
      </c>
    </row>
    <row r="82" spans="3:28" ht="33" customHeight="1">
      <c r="C82" s="32">
        <v>34</v>
      </c>
      <c r="D82" s="33"/>
      <c r="E82" s="34"/>
      <c r="F82" s="33"/>
      <c r="G82" s="33" t="s">
        <v>2</v>
      </c>
      <c r="H82" s="212"/>
      <c r="I82" s="212"/>
      <c r="J82" s="212"/>
      <c r="K82" s="212"/>
      <c r="L82" s="212"/>
      <c r="M82" s="212"/>
      <c r="N82" s="212"/>
      <c r="O82" s="33" t="s">
        <v>2</v>
      </c>
      <c r="P82" s="35"/>
      <c r="Q82" s="231"/>
      <c r="R82" s="231"/>
      <c r="S82" s="345"/>
      <c r="T82" s="345"/>
      <c r="U82" s="345"/>
      <c r="V82" s="345"/>
      <c r="W82" s="345"/>
      <c r="X82" s="36"/>
      <c r="Y82" s="224"/>
      <c r="Z82" s="224"/>
      <c r="AA82" s="16" t="str">
        <f t="shared" si="5"/>
        <v/>
      </c>
    </row>
    <row r="83" spans="3:28" ht="33" customHeight="1">
      <c r="C83" s="32">
        <v>35</v>
      </c>
      <c r="D83" s="33"/>
      <c r="E83" s="34"/>
      <c r="F83" s="33"/>
      <c r="G83" s="33" t="s">
        <v>2</v>
      </c>
      <c r="H83" s="212"/>
      <c r="I83" s="212"/>
      <c r="J83" s="212"/>
      <c r="K83" s="212"/>
      <c r="L83" s="212"/>
      <c r="M83" s="212"/>
      <c r="N83" s="212"/>
      <c r="O83" s="33" t="s">
        <v>2</v>
      </c>
      <c r="P83" s="35"/>
      <c r="Q83" s="231"/>
      <c r="R83" s="231"/>
      <c r="S83" s="345"/>
      <c r="T83" s="345"/>
      <c r="U83" s="345"/>
      <c r="V83" s="345"/>
      <c r="W83" s="345"/>
      <c r="X83" s="36"/>
      <c r="Y83" s="224"/>
      <c r="Z83" s="224"/>
      <c r="AA83" s="16" t="str">
        <f t="shared" si="5"/>
        <v/>
      </c>
    </row>
    <row r="84" spans="3:28" ht="33" customHeight="1">
      <c r="C84" s="32">
        <v>36</v>
      </c>
      <c r="D84" s="33"/>
      <c r="E84" s="34"/>
      <c r="F84" s="33"/>
      <c r="G84" s="33" t="s">
        <v>2</v>
      </c>
      <c r="H84" s="212"/>
      <c r="I84" s="212"/>
      <c r="J84" s="212"/>
      <c r="K84" s="212"/>
      <c r="L84" s="212"/>
      <c r="M84" s="212"/>
      <c r="N84" s="212"/>
      <c r="O84" s="33" t="s">
        <v>2</v>
      </c>
      <c r="P84" s="35"/>
      <c r="Q84" s="231"/>
      <c r="R84" s="231"/>
      <c r="S84" s="345"/>
      <c r="T84" s="345"/>
      <c r="U84" s="345"/>
      <c r="V84" s="345"/>
      <c r="W84" s="345"/>
      <c r="X84" s="36"/>
      <c r="Y84" s="224"/>
      <c r="Z84" s="224"/>
      <c r="AA84" s="16" t="str">
        <f t="shared" si="5"/>
        <v/>
      </c>
    </row>
    <row r="85" spans="3:28" ht="33" customHeight="1">
      <c r="C85" s="32">
        <v>37</v>
      </c>
      <c r="D85" s="33"/>
      <c r="E85" s="34"/>
      <c r="F85" s="33"/>
      <c r="G85" s="33" t="s">
        <v>2</v>
      </c>
      <c r="H85" s="212"/>
      <c r="I85" s="212"/>
      <c r="J85" s="212"/>
      <c r="K85" s="212"/>
      <c r="L85" s="212"/>
      <c r="M85" s="212"/>
      <c r="N85" s="212"/>
      <c r="O85" s="33" t="s">
        <v>2</v>
      </c>
      <c r="P85" s="35"/>
      <c r="Q85" s="231"/>
      <c r="R85" s="231"/>
      <c r="S85" s="345"/>
      <c r="T85" s="345"/>
      <c r="U85" s="345"/>
      <c r="V85" s="345"/>
      <c r="W85" s="345"/>
      <c r="X85" s="36"/>
      <c r="Y85" s="224"/>
      <c r="Z85" s="224"/>
      <c r="AA85" s="16" t="str">
        <f t="shared" si="5"/>
        <v/>
      </c>
    </row>
    <row r="86" spans="3:28" ht="33" customHeight="1">
      <c r="C86" s="32">
        <v>38</v>
      </c>
      <c r="D86" s="33"/>
      <c r="E86" s="34"/>
      <c r="F86" s="33"/>
      <c r="G86" s="33" t="s">
        <v>2</v>
      </c>
      <c r="H86" s="212"/>
      <c r="I86" s="212"/>
      <c r="J86" s="212"/>
      <c r="K86" s="212"/>
      <c r="L86" s="212"/>
      <c r="M86" s="212"/>
      <c r="N86" s="212"/>
      <c r="O86" s="33" t="s">
        <v>2</v>
      </c>
      <c r="P86" s="35"/>
      <c r="Q86" s="231"/>
      <c r="R86" s="231"/>
      <c r="S86" s="345"/>
      <c r="T86" s="345"/>
      <c r="U86" s="345"/>
      <c r="V86" s="345"/>
      <c r="W86" s="345"/>
      <c r="X86" s="36"/>
      <c r="Y86" s="224"/>
      <c r="Z86" s="224"/>
      <c r="AA86" s="16" t="str">
        <f t="shared" si="5"/>
        <v/>
      </c>
    </row>
    <row r="87" spans="3:28" ht="33" customHeight="1">
      <c r="C87" s="32">
        <v>39</v>
      </c>
      <c r="D87" s="33"/>
      <c r="E87" s="34"/>
      <c r="F87" s="33"/>
      <c r="G87" s="33" t="s">
        <v>2</v>
      </c>
      <c r="H87" s="212"/>
      <c r="I87" s="212"/>
      <c r="J87" s="212"/>
      <c r="K87" s="212"/>
      <c r="L87" s="212"/>
      <c r="M87" s="212"/>
      <c r="N87" s="212"/>
      <c r="O87" s="33" t="s">
        <v>2</v>
      </c>
      <c r="P87" s="35"/>
      <c r="Q87" s="231"/>
      <c r="R87" s="231"/>
      <c r="S87" s="345"/>
      <c r="T87" s="345"/>
      <c r="U87" s="345"/>
      <c r="V87" s="345"/>
      <c r="W87" s="345"/>
      <c r="X87" s="36"/>
      <c r="Y87" s="224"/>
      <c r="Z87" s="224"/>
      <c r="AA87" s="16" t="str">
        <f t="shared" si="5"/>
        <v/>
      </c>
    </row>
    <row r="88" spans="3:28" ht="33" customHeight="1">
      <c r="C88" s="32">
        <v>40</v>
      </c>
      <c r="D88" s="33"/>
      <c r="E88" s="34"/>
      <c r="F88" s="33"/>
      <c r="G88" s="33" t="s">
        <v>2</v>
      </c>
      <c r="H88" s="212"/>
      <c r="I88" s="212"/>
      <c r="J88" s="212"/>
      <c r="K88" s="212"/>
      <c r="L88" s="212"/>
      <c r="M88" s="212"/>
      <c r="N88" s="212"/>
      <c r="O88" s="33" t="s">
        <v>2</v>
      </c>
      <c r="P88" s="35"/>
      <c r="Q88" s="231"/>
      <c r="R88" s="231"/>
      <c r="S88" s="345"/>
      <c r="T88" s="345"/>
      <c r="U88" s="345"/>
      <c r="V88" s="345"/>
      <c r="W88" s="345"/>
      <c r="X88" s="36"/>
      <c r="Y88" s="224"/>
      <c r="Z88" s="224"/>
      <c r="AA88" s="16" t="str">
        <f t="shared" si="5"/>
        <v/>
      </c>
    </row>
    <row r="89" spans="3:28" ht="33" customHeight="1">
      <c r="C89" s="32">
        <v>41</v>
      </c>
      <c r="D89" s="33"/>
      <c r="E89" s="34"/>
      <c r="F89" s="33"/>
      <c r="G89" s="33" t="s">
        <v>2</v>
      </c>
      <c r="H89" s="212"/>
      <c r="I89" s="212"/>
      <c r="J89" s="212"/>
      <c r="K89" s="212"/>
      <c r="L89" s="212"/>
      <c r="M89" s="212"/>
      <c r="N89" s="212"/>
      <c r="O89" s="33" t="s">
        <v>2</v>
      </c>
      <c r="P89" s="35"/>
      <c r="Q89" s="231"/>
      <c r="R89" s="231"/>
      <c r="S89" s="345"/>
      <c r="T89" s="345"/>
      <c r="U89" s="345"/>
      <c r="V89" s="345"/>
      <c r="W89" s="345"/>
      <c r="X89" s="36"/>
      <c r="Y89" s="224"/>
      <c r="Z89" s="224"/>
      <c r="AA89" s="16" t="str">
        <f t="shared" si="5"/>
        <v/>
      </c>
    </row>
    <row r="90" spans="3:28" ht="33" customHeight="1">
      <c r="C90" s="32">
        <v>42</v>
      </c>
      <c r="D90" s="33"/>
      <c r="E90" s="34"/>
      <c r="F90" s="33"/>
      <c r="G90" s="33" t="s">
        <v>2</v>
      </c>
      <c r="H90" s="212"/>
      <c r="I90" s="212"/>
      <c r="J90" s="212"/>
      <c r="K90" s="212"/>
      <c r="L90" s="212"/>
      <c r="M90" s="212"/>
      <c r="N90" s="212"/>
      <c r="O90" s="33" t="s">
        <v>2</v>
      </c>
      <c r="P90" s="35"/>
      <c r="Q90" s="231"/>
      <c r="R90" s="231"/>
      <c r="S90" s="345"/>
      <c r="T90" s="345"/>
      <c r="U90" s="345"/>
      <c r="V90" s="345"/>
      <c r="W90" s="345"/>
      <c r="X90" s="36"/>
      <c r="Y90" s="224"/>
      <c r="Z90" s="224"/>
      <c r="AA90" s="16" t="str">
        <f t="shared" si="5"/>
        <v/>
      </c>
    </row>
    <row r="91" spans="3:28" ht="33" customHeight="1">
      <c r="C91" s="32">
        <v>43</v>
      </c>
      <c r="D91" s="33"/>
      <c r="E91" s="34"/>
      <c r="F91" s="33"/>
      <c r="G91" s="33" t="s">
        <v>2</v>
      </c>
      <c r="H91" s="212"/>
      <c r="I91" s="212"/>
      <c r="J91" s="212"/>
      <c r="K91" s="212"/>
      <c r="L91" s="212"/>
      <c r="M91" s="212"/>
      <c r="N91" s="212"/>
      <c r="O91" s="33" t="s">
        <v>2</v>
      </c>
      <c r="P91" s="35"/>
      <c r="Q91" s="231"/>
      <c r="R91" s="231"/>
      <c r="S91" s="345"/>
      <c r="T91" s="345"/>
      <c r="U91" s="345"/>
      <c r="V91" s="345"/>
      <c r="W91" s="345"/>
      <c r="X91" s="36"/>
      <c r="Y91" s="224"/>
      <c r="Z91" s="224"/>
      <c r="AA91" s="16" t="str">
        <f t="shared" si="5"/>
        <v/>
      </c>
    </row>
    <row r="92" spans="3:28" ht="33" customHeight="1">
      <c r="C92" s="32">
        <v>44</v>
      </c>
      <c r="D92" s="33"/>
      <c r="E92" s="34"/>
      <c r="F92" s="33"/>
      <c r="G92" s="33" t="s">
        <v>2</v>
      </c>
      <c r="H92" s="212"/>
      <c r="I92" s="212"/>
      <c r="J92" s="212"/>
      <c r="K92" s="212"/>
      <c r="L92" s="212"/>
      <c r="M92" s="212"/>
      <c r="N92" s="212"/>
      <c r="O92" s="33" t="s">
        <v>2</v>
      </c>
      <c r="P92" s="35"/>
      <c r="Q92" s="231"/>
      <c r="R92" s="231"/>
      <c r="S92" s="345"/>
      <c r="T92" s="345"/>
      <c r="U92" s="345"/>
      <c r="V92" s="345"/>
      <c r="W92" s="345"/>
      <c r="X92" s="36"/>
      <c r="Y92" s="224"/>
      <c r="Z92" s="224"/>
      <c r="AA92" s="16" t="str">
        <f t="shared" si="5"/>
        <v/>
      </c>
    </row>
    <row r="93" spans="3:28" ht="33" customHeight="1">
      <c r="C93" s="32">
        <v>45</v>
      </c>
      <c r="D93" s="33"/>
      <c r="E93" s="34"/>
      <c r="F93" s="33"/>
      <c r="G93" s="33" t="s">
        <v>2</v>
      </c>
      <c r="H93" s="212"/>
      <c r="I93" s="212"/>
      <c r="J93" s="212"/>
      <c r="K93" s="212"/>
      <c r="L93" s="212"/>
      <c r="M93" s="212"/>
      <c r="N93" s="212"/>
      <c r="O93" s="33" t="s">
        <v>2</v>
      </c>
      <c r="P93" s="35"/>
      <c r="Q93" s="231"/>
      <c r="R93" s="231"/>
      <c r="S93" s="345"/>
      <c r="T93" s="345"/>
      <c r="U93" s="345"/>
      <c r="V93" s="345"/>
      <c r="W93" s="345"/>
      <c r="X93" s="36"/>
      <c r="Y93" s="224"/>
      <c r="Z93" s="224"/>
      <c r="AA93" s="16" t="str">
        <f t="shared" si="5"/>
        <v/>
      </c>
    </row>
    <row r="94" spans="3:28" ht="33" customHeight="1">
      <c r="C94" s="32">
        <v>46</v>
      </c>
      <c r="D94" s="33"/>
      <c r="E94" s="34"/>
      <c r="F94" s="33"/>
      <c r="G94" s="33" t="s">
        <v>2</v>
      </c>
      <c r="H94" s="212"/>
      <c r="I94" s="212"/>
      <c r="J94" s="212"/>
      <c r="K94" s="212"/>
      <c r="L94" s="212"/>
      <c r="M94" s="212"/>
      <c r="N94" s="212"/>
      <c r="O94" s="33" t="s">
        <v>2</v>
      </c>
      <c r="P94" s="35"/>
      <c r="Q94" s="231"/>
      <c r="R94" s="231"/>
      <c r="S94" s="345"/>
      <c r="T94" s="345"/>
      <c r="U94" s="345"/>
      <c r="V94" s="345"/>
      <c r="W94" s="345"/>
      <c r="X94" s="36"/>
      <c r="Y94" s="224"/>
      <c r="Z94" s="224"/>
      <c r="AA94" s="16" t="str">
        <f t="shared" si="5"/>
        <v/>
      </c>
    </row>
    <row r="95" spans="3:28" ht="33" customHeight="1">
      <c r="C95" s="32">
        <v>47</v>
      </c>
      <c r="D95" s="33"/>
      <c r="E95" s="34"/>
      <c r="F95" s="33"/>
      <c r="G95" s="33" t="s">
        <v>2</v>
      </c>
      <c r="H95" s="212"/>
      <c r="I95" s="212"/>
      <c r="J95" s="212"/>
      <c r="K95" s="212"/>
      <c r="L95" s="212"/>
      <c r="M95" s="212"/>
      <c r="N95" s="212"/>
      <c r="O95" s="33" t="s">
        <v>2</v>
      </c>
      <c r="P95" s="35"/>
      <c r="Q95" s="231"/>
      <c r="R95" s="231"/>
      <c r="S95" s="345"/>
      <c r="T95" s="345"/>
      <c r="U95" s="345"/>
      <c r="V95" s="345"/>
      <c r="W95" s="345"/>
      <c r="X95" s="36"/>
      <c r="Y95" s="224"/>
      <c r="Z95" s="224"/>
      <c r="AA95" s="16" t="str">
        <f t="shared" si="5"/>
        <v/>
      </c>
    </row>
    <row r="96" spans="3:28" ht="9.9499999999999993" customHeight="1">
      <c r="C96" s="37"/>
      <c r="D96" s="38"/>
      <c r="E96" s="39"/>
      <c r="F96" s="38"/>
      <c r="G96" s="38"/>
      <c r="H96" s="346"/>
      <c r="I96" s="346"/>
      <c r="J96" s="346"/>
      <c r="K96" s="346"/>
      <c r="L96" s="346"/>
      <c r="M96" s="346"/>
      <c r="N96" s="346"/>
      <c r="O96" s="38"/>
      <c r="P96" s="40"/>
      <c r="Q96" s="347"/>
      <c r="R96" s="347"/>
      <c r="S96" s="349"/>
      <c r="T96" s="349"/>
      <c r="U96" s="349"/>
      <c r="V96" s="349"/>
      <c r="W96" s="349"/>
      <c r="X96" s="41"/>
      <c r="Y96" s="348"/>
      <c r="Z96" s="348"/>
      <c r="AA96" s="42" t="str">
        <f>IF(G96="Issue",D96,"")</f>
        <v/>
      </c>
      <c r="AB96" s="42"/>
    </row>
    <row r="97" spans="3:26" s="14" customFormat="1" ht="16.5">
      <c r="C97" s="14" t="s">
        <v>68</v>
      </c>
    </row>
    <row r="98" spans="3:26" ht="52.5" customHeight="1">
      <c r="C98" s="186" t="s">
        <v>69</v>
      </c>
      <c r="D98" s="199"/>
      <c r="E98" s="199"/>
      <c r="F98" s="199"/>
      <c r="G98" s="199"/>
      <c r="H98" s="343" t="s">
        <v>561</v>
      </c>
      <c r="I98" s="344"/>
      <c r="J98" s="344"/>
      <c r="K98" s="344"/>
      <c r="L98" s="344"/>
      <c r="M98" s="344"/>
      <c r="N98" s="344"/>
      <c r="O98" s="344"/>
      <c r="P98" s="344"/>
      <c r="Q98" s="344"/>
      <c r="R98" s="344"/>
      <c r="S98" s="344"/>
      <c r="T98" s="344"/>
      <c r="U98" s="344"/>
      <c r="V98" s="344"/>
      <c r="W98" s="344"/>
      <c r="X98" s="344"/>
      <c r="Y98" s="344"/>
      <c r="Z98" s="344"/>
    </row>
    <row r="99" spans="3:26">
      <c r="K99" s="43"/>
      <c r="L99" s="43"/>
      <c r="M99" s="43"/>
      <c r="N99" s="43"/>
      <c r="O99" s="43"/>
      <c r="P99" s="43"/>
      <c r="Q99" s="43"/>
      <c r="R99" s="43"/>
      <c r="S99" s="43"/>
      <c r="T99" s="43"/>
      <c r="U99" s="43"/>
      <c r="V99" s="43"/>
      <c r="W99" s="43"/>
      <c r="X99" s="43"/>
      <c r="Y99" s="43"/>
      <c r="Z99" s="43"/>
    </row>
    <row r="100" spans="3:26" ht="16.5">
      <c r="C100" s="16" t="s">
        <v>70</v>
      </c>
      <c r="K100" s="44"/>
      <c r="L100" s="44"/>
      <c r="M100" s="44"/>
      <c r="N100" s="44"/>
      <c r="O100" s="44"/>
      <c r="P100" s="44"/>
      <c r="Q100" s="44"/>
      <c r="R100" s="44"/>
      <c r="S100" s="44"/>
      <c r="T100" s="44"/>
      <c r="U100" s="44"/>
      <c r="V100" s="44"/>
      <c r="W100" s="44"/>
      <c r="X100" s="44"/>
      <c r="Y100" s="44"/>
      <c r="Z100" s="44"/>
    </row>
    <row r="101" spans="3:26" ht="59.25" customHeight="1">
      <c r="C101" s="225" t="s">
        <v>560</v>
      </c>
      <c r="D101" s="226"/>
      <c r="E101" s="226"/>
      <c r="F101" s="226"/>
      <c r="G101" s="226"/>
      <c r="H101" s="226"/>
      <c r="I101" s="226"/>
      <c r="J101" s="226"/>
      <c r="K101" s="226"/>
      <c r="L101" s="226"/>
      <c r="M101" s="226"/>
      <c r="N101" s="226"/>
      <c r="O101" s="226"/>
      <c r="P101" s="226"/>
      <c r="Q101" s="226"/>
      <c r="R101" s="226"/>
      <c r="S101" s="226"/>
      <c r="T101" s="226"/>
      <c r="U101" s="226"/>
      <c r="V101" s="226"/>
      <c r="W101" s="226"/>
      <c r="X101" s="226"/>
      <c r="Y101" s="226"/>
      <c r="Z101" s="227"/>
    </row>
  </sheetData>
  <dataConsolidate/>
  <mergeCells count="355">
    <mergeCell ref="Q52:R52"/>
    <mergeCell ref="N28:S28"/>
    <mergeCell ref="N29:O29"/>
    <mergeCell ref="P29:Q29"/>
    <mergeCell ref="R29:S29"/>
    <mergeCell ref="N30:O30"/>
    <mergeCell ref="P30:Q30"/>
    <mergeCell ref="R30:S30"/>
    <mergeCell ref="S79:W79"/>
    <mergeCell ref="H62:N62"/>
    <mergeCell ref="Q62:R62"/>
    <mergeCell ref="S62:W62"/>
    <mergeCell ref="H58:N58"/>
    <mergeCell ref="Q58:R58"/>
    <mergeCell ref="S58:W58"/>
    <mergeCell ref="H49:N49"/>
    <mergeCell ref="Q49:R49"/>
    <mergeCell ref="S49:W49"/>
    <mergeCell ref="H52:N52"/>
    <mergeCell ref="S52:W52"/>
    <mergeCell ref="H57:N57"/>
    <mergeCell ref="Q57:R57"/>
    <mergeCell ref="S57:W57"/>
    <mergeCell ref="S74:W74"/>
    <mergeCell ref="Y83:Z83"/>
    <mergeCell ref="S64:W64"/>
    <mergeCell ref="H65:N65"/>
    <mergeCell ref="Q65:R65"/>
    <mergeCell ref="S65:W65"/>
    <mergeCell ref="Y65:Z65"/>
    <mergeCell ref="H76:N76"/>
    <mergeCell ref="Q76:R76"/>
    <mergeCell ref="S76:W76"/>
    <mergeCell ref="Y76:Z76"/>
    <mergeCell ref="H73:N73"/>
    <mergeCell ref="Q73:R73"/>
    <mergeCell ref="S73:W73"/>
    <mergeCell ref="Y73:Z73"/>
    <mergeCell ref="H74:N74"/>
    <mergeCell ref="Q74:R74"/>
    <mergeCell ref="S77:W77"/>
    <mergeCell ref="Y77:Z77"/>
    <mergeCell ref="H78:N78"/>
    <mergeCell ref="Q78:R78"/>
    <mergeCell ref="S78:W78"/>
    <mergeCell ref="Y78:Z78"/>
    <mergeCell ref="H79:N79"/>
    <mergeCell ref="Q79:R79"/>
    <mergeCell ref="Y79:Z79"/>
    <mergeCell ref="H77:N77"/>
    <mergeCell ref="Q77:R77"/>
    <mergeCell ref="S85:W85"/>
    <mergeCell ref="Y85:Z85"/>
    <mergeCell ref="H80:N80"/>
    <mergeCell ref="Q80:R80"/>
    <mergeCell ref="S80:W80"/>
    <mergeCell ref="Y80:Z80"/>
    <mergeCell ref="H81:N81"/>
    <mergeCell ref="Q81:R81"/>
    <mergeCell ref="S81:W81"/>
    <mergeCell ref="Y81:Z81"/>
    <mergeCell ref="H82:N82"/>
    <mergeCell ref="Q82:R82"/>
    <mergeCell ref="S82:W82"/>
    <mergeCell ref="Y82:Z82"/>
    <mergeCell ref="H83:N83"/>
    <mergeCell ref="Q83:R83"/>
    <mergeCell ref="H84:N84"/>
    <mergeCell ref="Q84:R84"/>
    <mergeCell ref="S84:W84"/>
    <mergeCell ref="Y84:Z84"/>
    <mergeCell ref="S83:W83"/>
    <mergeCell ref="Y74:Z74"/>
    <mergeCell ref="H75:N75"/>
    <mergeCell ref="Q75:R75"/>
    <mergeCell ref="S75:W75"/>
    <mergeCell ref="Y75:Z75"/>
    <mergeCell ref="S70:W70"/>
    <mergeCell ref="H71:N71"/>
    <mergeCell ref="S72:W72"/>
    <mergeCell ref="Y72:Z72"/>
    <mergeCell ref="Y63:Z63"/>
    <mergeCell ref="Y64:Z64"/>
    <mergeCell ref="Q71:R71"/>
    <mergeCell ref="S71:W71"/>
    <mergeCell ref="Y71:Z71"/>
    <mergeCell ref="H68:N68"/>
    <mergeCell ref="Q68:R68"/>
    <mergeCell ref="S68:W68"/>
    <mergeCell ref="Y68:Z68"/>
    <mergeCell ref="Y58:Z58"/>
    <mergeCell ref="S69:W69"/>
    <mergeCell ref="Y69:Z69"/>
    <mergeCell ref="H64:N64"/>
    <mergeCell ref="Q64:R64"/>
    <mergeCell ref="S59:W59"/>
    <mergeCell ref="Y59:Z59"/>
    <mergeCell ref="H60:N60"/>
    <mergeCell ref="Q60:R60"/>
    <mergeCell ref="S60:W60"/>
    <mergeCell ref="Y60:Z60"/>
    <mergeCell ref="H61:N61"/>
    <mergeCell ref="Q61:R61"/>
    <mergeCell ref="S61:W61"/>
    <mergeCell ref="Y61:Z61"/>
    <mergeCell ref="S66:W66"/>
    <mergeCell ref="H67:N67"/>
    <mergeCell ref="Q67:R67"/>
    <mergeCell ref="S67:W67"/>
    <mergeCell ref="Y67:Z67"/>
    <mergeCell ref="Y62:Z62"/>
    <mergeCell ref="H63:N63"/>
    <mergeCell ref="Q63:R63"/>
    <mergeCell ref="S63:W63"/>
    <mergeCell ref="Y94:Z94"/>
    <mergeCell ref="Y49:Z49"/>
    <mergeCell ref="H50:N50"/>
    <mergeCell ref="Q50:R50"/>
    <mergeCell ref="S50:W50"/>
    <mergeCell ref="Y50:Z50"/>
    <mergeCell ref="H51:N51"/>
    <mergeCell ref="Q51:R51"/>
    <mergeCell ref="S51:W51"/>
    <mergeCell ref="Y51:Z51"/>
    <mergeCell ref="Y57:Z57"/>
    <mergeCell ref="S53:W53"/>
    <mergeCell ref="Y53:Z53"/>
    <mergeCell ref="H54:N54"/>
    <mergeCell ref="Q54:R54"/>
    <mergeCell ref="S54:W54"/>
    <mergeCell ref="Y54:Z54"/>
    <mergeCell ref="S55:W55"/>
    <mergeCell ref="Y55:Z55"/>
    <mergeCell ref="H56:N56"/>
    <mergeCell ref="Q56:R56"/>
    <mergeCell ref="S56:W56"/>
    <mergeCell ref="Y56:Z56"/>
    <mergeCell ref="Q53:R53"/>
    <mergeCell ref="Q44:S44"/>
    <mergeCell ref="Y52:Z52"/>
    <mergeCell ref="H53:N53"/>
    <mergeCell ref="C98:G98"/>
    <mergeCell ref="H98:Z98"/>
    <mergeCell ref="S86:W86"/>
    <mergeCell ref="S87:W87"/>
    <mergeCell ref="S88:W88"/>
    <mergeCell ref="S89:W89"/>
    <mergeCell ref="S90:W90"/>
    <mergeCell ref="S91:W91"/>
    <mergeCell ref="S92:W92"/>
    <mergeCell ref="S93:W93"/>
    <mergeCell ref="S94:W94"/>
    <mergeCell ref="S95:W95"/>
    <mergeCell ref="H94:N94"/>
    <mergeCell ref="H95:N95"/>
    <mergeCell ref="H96:N96"/>
    <mergeCell ref="Q94:R94"/>
    <mergeCell ref="Q95:R95"/>
    <mergeCell ref="Q96:R96"/>
    <mergeCell ref="Y96:Z96"/>
    <mergeCell ref="S96:W96"/>
    <mergeCell ref="Y93:Z93"/>
    <mergeCell ref="G24:H24"/>
    <mergeCell ref="I24:Z24"/>
    <mergeCell ref="C26:F26"/>
    <mergeCell ref="G26:H26"/>
    <mergeCell ref="Y95:Z95"/>
    <mergeCell ref="H93:N93"/>
    <mergeCell ref="T33:U34"/>
    <mergeCell ref="V33:V34"/>
    <mergeCell ref="W33:X33"/>
    <mergeCell ref="Y33:Z33"/>
    <mergeCell ref="C40:D40"/>
    <mergeCell ref="C41:D41"/>
    <mergeCell ref="C42:D42"/>
    <mergeCell ref="C43:D43"/>
    <mergeCell ref="C45:D45"/>
    <mergeCell ref="T45:U45"/>
    <mergeCell ref="Q45:S45"/>
    <mergeCell ref="L45:P45"/>
    <mergeCell ref="E45:K45"/>
    <mergeCell ref="E39:K39"/>
    <mergeCell ref="L39:P39"/>
    <mergeCell ref="Q39:S39"/>
    <mergeCell ref="T39:U39"/>
    <mergeCell ref="C39:D39"/>
    <mergeCell ref="C19:F19"/>
    <mergeCell ref="G19:Z19"/>
    <mergeCell ref="C21:F21"/>
    <mergeCell ref="G23:H23"/>
    <mergeCell ref="I23:J23"/>
    <mergeCell ref="K23:L23"/>
    <mergeCell ref="M23:N23"/>
    <mergeCell ref="O23:P23"/>
    <mergeCell ref="Q23:R23"/>
    <mergeCell ref="S23:T23"/>
    <mergeCell ref="U23:Z23"/>
    <mergeCell ref="G20:J20"/>
    <mergeCell ref="G21:J21"/>
    <mergeCell ref="C20:F20"/>
    <mergeCell ref="K21:M21"/>
    <mergeCell ref="N21:T21"/>
    <mergeCell ref="K20:M20"/>
    <mergeCell ref="N20:T20"/>
    <mergeCell ref="C3:F3"/>
    <mergeCell ref="G3:Q3"/>
    <mergeCell ref="R3:T4"/>
    <mergeCell ref="U3:Z4"/>
    <mergeCell ref="C4:F16"/>
    <mergeCell ref="G4:Q6"/>
    <mergeCell ref="R5:T6"/>
    <mergeCell ref="U5:Z6"/>
    <mergeCell ref="G7:Q7"/>
    <mergeCell ref="R7:T8"/>
    <mergeCell ref="U7:Z8"/>
    <mergeCell ref="G8:Q10"/>
    <mergeCell ref="R9:T10"/>
    <mergeCell ref="U9:Z10"/>
    <mergeCell ref="G11:T11"/>
    <mergeCell ref="U11:W11"/>
    <mergeCell ref="X11:Z11"/>
    <mergeCell ref="U12:W16"/>
    <mergeCell ref="X12:Z16"/>
    <mergeCell ref="G16:K16"/>
    <mergeCell ref="L16:T16"/>
    <mergeCell ref="G12:T15"/>
    <mergeCell ref="Q26:R26"/>
    <mergeCell ref="S26:T26"/>
    <mergeCell ref="U26:V26"/>
    <mergeCell ref="K25:L25"/>
    <mergeCell ref="M25:N25"/>
    <mergeCell ref="O25:P25"/>
    <mergeCell ref="Q25:R25"/>
    <mergeCell ref="S25:T25"/>
    <mergeCell ref="U25:V25"/>
    <mergeCell ref="X25:Z25"/>
    <mergeCell ref="C25:F25"/>
    <mergeCell ref="G25:H25"/>
    <mergeCell ref="I25:J25"/>
    <mergeCell ref="E40:K40"/>
    <mergeCell ref="E41:K41"/>
    <mergeCell ref="E42:K42"/>
    <mergeCell ref="E43:K43"/>
    <mergeCell ref="H29:I29"/>
    <mergeCell ref="E33:K34"/>
    <mergeCell ref="L33:P34"/>
    <mergeCell ref="Q33:S34"/>
    <mergeCell ref="C30:G30"/>
    <mergeCell ref="C31:G31"/>
    <mergeCell ref="H30:I30"/>
    <mergeCell ref="H31:I31"/>
    <mergeCell ref="C33:D34"/>
    <mergeCell ref="N31:O31"/>
    <mergeCell ref="P31:Q31"/>
    <mergeCell ref="R31:S31"/>
    <mergeCell ref="I26:J26"/>
    <mergeCell ref="K26:L26"/>
    <mergeCell ref="M26:N26"/>
    <mergeCell ref="O26:P26"/>
    <mergeCell ref="Q93:R93"/>
    <mergeCell ref="H66:N66"/>
    <mergeCell ref="Q66:R66"/>
    <mergeCell ref="H72:N72"/>
    <mergeCell ref="Q72:R72"/>
    <mergeCell ref="H55:N55"/>
    <mergeCell ref="Q55:R55"/>
    <mergeCell ref="H59:N59"/>
    <mergeCell ref="Q59:R59"/>
    <mergeCell ref="H70:N70"/>
    <mergeCell ref="Q70:R70"/>
    <mergeCell ref="Q86:R86"/>
    <mergeCell ref="Q87:R87"/>
    <mergeCell ref="H91:N91"/>
    <mergeCell ref="H92:N92"/>
    <mergeCell ref="Q88:R88"/>
    <mergeCell ref="Q89:R89"/>
    <mergeCell ref="Q90:R90"/>
    <mergeCell ref="Q91:R91"/>
    <mergeCell ref="Q92:R92"/>
    <mergeCell ref="H69:N69"/>
    <mergeCell ref="Q69:R69"/>
    <mergeCell ref="Q85:R85"/>
    <mergeCell ref="H85:N85"/>
    <mergeCell ref="Y91:Z91"/>
    <mergeCell ref="Y92:Z92"/>
    <mergeCell ref="Y66:Z66"/>
    <mergeCell ref="Y70:Z70"/>
    <mergeCell ref="C101:Z101"/>
    <mergeCell ref="C35:D35"/>
    <mergeCell ref="E35:K35"/>
    <mergeCell ref="L35:P35"/>
    <mergeCell ref="Q35:S35"/>
    <mergeCell ref="T35:U35"/>
    <mergeCell ref="L36:P36"/>
    <mergeCell ref="C36:D36"/>
    <mergeCell ref="E36:K36"/>
    <mergeCell ref="Q36:S36"/>
    <mergeCell ref="T36:U36"/>
    <mergeCell ref="C38:D38"/>
    <mergeCell ref="H47:N48"/>
    <mergeCell ref="Y86:Z86"/>
    <mergeCell ref="Y87:Z87"/>
    <mergeCell ref="Y88:Z88"/>
    <mergeCell ref="Y89:Z89"/>
    <mergeCell ref="Y90:Z90"/>
    <mergeCell ref="H87:N87"/>
    <mergeCell ref="H88:N88"/>
    <mergeCell ref="H89:N89"/>
    <mergeCell ref="H90:N90"/>
    <mergeCell ref="H86:N86"/>
    <mergeCell ref="C37:D37"/>
    <mergeCell ref="E37:K37"/>
    <mergeCell ref="L37:P37"/>
    <mergeCell ref="Q37:S37"/>
    <mergeCell ref="T37:U37"/>
    <mergeCell ref="T40:U40"/>
    <mergeCell ref="T41:U41"/>
    <mergeCell ref="T42:U42"/>
    <mergeCell ref="T43:U43"/>
    <mergeCell ref="Q40:S40"/>
    <mergeCell ref="Q41:S41"/>
    <mergeCell ref="Q42:S42"/>
    <mergeCell ref="Q43:S43"/>
    <mergeCell ref="L40:P40"/>
    <mergeCell ref="L41:P41"/>
    <mergeCell ref="L42:P42"/>
    <mergeCell ref="T44:U44"/>
    <mergeCell ref="E38:K38"/>
    <mergeCell ref="C44:D44"/>
    <mergeCell ref="E44:K44"/>
    <mergeCell ref="L44:P44"/>
    <mergeCell ref="J2:X2"/>
    <mergeCell ref="C23:F24"/>
    <mergeCell ref="X47:X48"/>
    <mergeCell ref="Y47:Z48"/>
    <mergeCell ref="L38:P38"/>
    <mergeCell ref="Q38:S38"/>
    <mergeCell ref="T38:U38"/>
    <mergeCell ref="C47:C48"/>
    <mergeCell ref="D47:E47"/>
    <mergeCell ref="F47:F48"/>
    <mergeCell ref="G47:G48"/>
    <mergeCell ref="P47:P48"/>
    <mergeCell ref="S47:W48"/>
    <mergeCell ref="O47:O48"/>
    <mergeCell ref="Q47:R48"/>
    <mergeCell ref="J30:K30"/>
    <mergeCell ref="J31:K31"/>
    <mergeCell ref="L30:M30"/>
    <mergeCell ref="L31:M31"/>
    <mergeCell ref="J29:K29"/>
    <mergeCell ref="L29:M29"/>
    <mergeCell ref="H28:M28"/>
    <mergeCell ref="C28:G29"/>
    <mergeCell ref="L43:P43"/>
  </mergeCells>
  <phoneticPr fontId="6"/>
  <conditionalFormatting sqref="C25:H25 G23:H23">
    <cfRule type="expression" dxfId="285" priority="701">
      <formula>$G$20="Pass-around"</formula>
    </cfRule>
  </conditionalFormatting>
  <conditionalFormatting sqref="C26:H26 G23:H23">
    <cfRule type="expression" dxfId="284" priority="700">
      <formula>$G$20="Walk-through"</formula>
    </cfRule>
  </conditionalFormatting>
  <conditionalFormatting sqref="X59:Z96 O49:O50 O59:R96 O56:P58">
    <cfRule type="expression" dxfId="283" priority="689">
      <formula>$G49="Q&amp;A"</formula>
    </cfRule>
  </conditionalFormatting>
  <conditionalFormatting sqref="A1:XFD1 AA2:XFD2 A3:XFD3 A2:J2 A23:C23 A24:B24 A22:XFD22 A20:J20 AA5:XFD10 A32:XFD34 A30:G31 N30:XFD31 A45:XFD48 A17:XFD18 AA12:XFD16 A19:F19 AA19:XFD19 A21:M21 U20:XFD21 G23:H24 A27:XFD29 A25:H26 A102:XFD1048576 A101:B101 AA101:XFD101 AA23:XFD26 U12:W15 W38:XFD44 A38:B44 A96:XFD100 G16:W16 G5:T10 G11:XFD11 A4:B16 G4:XFD4 S56:W58 P57:P58 D61:XFD95 W35:XFD36 A35:D36 Q36:U36 C37:D44 O49:O50 AA49:XFD58 O59:XFD60 G49:G51 O56:O58 G54:G60 A49:C95">
    <cfRule type="cellIs" dxfId="282" priority="703" operator="equal">
      <formula>"(Select)"</formula>
    </cfRule>
  </conditionalFormatting>
  <conditionalFormatting sqref="K21:M21">
    <cfRule type="expression" dxfId="281" priority="686">
      <formula>$G21="use 'Peer Review Checklist' sheet"</formula>
    </cfRule>
  </conditionalFormatting>
  <conditionalFormatting sqref="N20">
    <cfRule type="cellIs" dxfId="280" priority="680" operator="equal">
      <formula>"(Select)"</formula>
    </cfRule>
  </conditionalFormatting>
  <conditionalFormatting sqref="K20:M20">
    <cfRule type="cellIs" dxfId="279" priority="679" operator="equal">
      <formula>"(Select)"</formula>
    </cfRule>
  </conditionalFormatting>
  <conditionalFormatting sqref="K20:M20">
    <cfRule type="expression" dxfId="278" priority="678">
      <formula>$G20="use 'Peer Review Checklist' sheet"</formula>
    </cfRule>
  </conditionalFormatting>
  <conditionalFormatting sqref="S56:W58 O49:O50 O59:Z95 O56:P58">
    <cfRule type="expression" dxfId="277" priority="676">
      <formula>$G49="proceedings"</formula>
    </cfRule>
  </conditionalFormatting>
  <conditionalFormatting sqref="S56:W58 O49:O50 O59:Z95 O56:P58">
    <cfRule type="expression" dxfId="276" priority="675">
      <formula>$G49="proceedings"</formula>
    </cfRule>
  </conditionalFormatting>
  <conditionalFormatting sqref="S56:W58 O49:O50 O59:Z95 O56:P58">
    <cfRule type="expression" dxfId="275" priority="674">
      <formula>$G49="proceedings"</formula>
    </cfRule>
  </conditionalFormatting>
  <conditionalFormatting sqref="U5:Z6">
    <cfRule type="cellIs" dxfId="274" priority="555" operator="equal">
      <formula>"(Select)"</formula>
    </cfRule>
  </conditionalFormatting>
  <conditionalFormatting sqref="U7:Z8">
    <cfRule type="cellIs" dxfId="273" priority="554" operator="equal">
      <formula>"(Select)"</formula>
    </cfRule>
  </conditionalFormatting>
  <conditionalFormatting sqref="X12:Z16">
    <cfRule type="cellIs" dxfId="272" priority="553" operator="equal">
      <formula>"(Select)"</formula>
    </cfRule>
  </conditionalFormatting>
  <conditionalFormatting sqref="Q35:V35 V41:V44 E41:U43 T38:V38 V39">
    <cfRule type="cellIs" dxfId="271" priority="508" operator="equal">
      <formula>"(Select)"</formula>
    </cfRule>
  </conditionalFormatting>
  <conditionalFormatting sqref="V40 T39:U39">
    <cfRule type="cellIs" dxfId="270" priority="502" operator="equal">
      <formula>"(Select)"</formula>
    </cfRule>
  </conditionalFormatting>
  <conditionalFormatting sqref="E36:K36">
    <cfRule type="cellIs" dxfId="269" priority="503" operator="equal">
      <formula>"(Select)"</formula>
    </cfRule>
  </conditionalFormatting>
  <conditionalFormatting sqref="Q44:U44">
    <cfRule type="cellIs" dxfId="268" priority="501" operator="equal">
      <formula>"(Select)"</formula>
    </cfRule>
  </conditionalFormatting>
  <conditionalFormatting sqref="E44:P44">
    <cfRule type="cellIs" dxfId="267" priority="500" operator="equal">
      <formula>"(Select)"</formula>
    </cfRule>
  </conditionalFormatting>
  <conditionalFormatting sqref="J30:M31">
    <cfRule type="cellIs" dxfId="266" priority="494" operator="equal">
      <formula>"(Select)"</formula>
    </cfRule>
  </conditionalFormatting>
  <conditionalFormatting sqref="O23:R23">
    <cfRule type="expression" dxfId="265" priority="484">
      <formula>$G$20="Team"</formula>
    </cfRule>
  </conditionalFormatting>
  <conditionalFormatting sqref="I25:Z25 I23:R23">
    <cfRule type="expression" dxfId="264" priority="486">
      <formula>$G$20="Pass-around"</formula>
    </cfRule>
  </conditionalFormatting>
  <conditionalFormatting sqref="I23:J23 O23:R23 K26:L26 O26:P26 S26:T26">
    <cfRule type="expression" dxfId="263" priority="485">
      <formula>$G$20="Walk-through"</formula>
    </cfRule>
  </conditionalFormatting>
  <conditionalFormatting sqref="I25:Z25 I23:T23 K26:L26 O26:P26 S26:T26 W26:Z26">
    <cfRule type="cellIs" dxfId="262" priority="487" operator="equal">
      <formula>"(Select)"</formula>
    </cfRule>
  </conditionalFormatting>
  <conditionalFormatting sqref="U23:Z23">
    <cfRule type="cellIs" dxfId="261" priority="483" operator="equal">
      <formula>"(Select)"</formula>
    </cfRule>
  </conditionalFormatting>
  <conditionalFormatting sqref="I24:Z24">
    <cfRule type="cellIs" dxfId="260" priority="482" operator="equal">
      <formula>"(Select)"</formula>
    </cfRule>
  </conditionalFormatting>
  <conditionalFormatting sqref="Q26:R26">
    <cfRule type="expression" dxfId="259" priority="478">
      <formula>$G$20="Inspection"</formula>
    </cfRule>
  </conditionalFormatting>
  <conditionalFormatting sqref="Q26:R26">
    <cfRule type="expression" dxfId="258" priority="479">
      <formula>$G$20="Team"</formula>
    </cfRule>
  </conditionalFormatting>
  <conditionalFormatting sqref="Q26:R26">
    <cfRule type="expression" dxfId="257" priority="480">
      <formula>$G$20="Walk-through"</formula>
    </cfRule>
  </conditionalFormatting>
  <conditionalFormatting sqref="Q26:R26">
    <cfRule type="cellIs" dxfId="256" priority="481" operator="equal">
      <formula>"(Select)"</formula>
    </cfRule>
  </conditionalFormatting>
  <conditionalFormatting sqref="U26:V26">
    <cfRule type="expression" dxfId="255" priority="474">
      <formula>$G$20="Inspection"</formula>
    </cfRule>
  </conditionalFormatting>
  <conditionalFormatting sqref="U26:V26">
    <cfRule type="expression" dxfId="254" priority="475">
      <formula>$G$20="Team"</formula>
    </cfRule>
  </conditionalFormatting>
  <conditionalFormatting sqref="U26:V26">
    <cfRule type="expression" dxfId="253" priority="476">
      <formula>$G$20="Walk-through"</formula>
    </cfRule>
  </conditionalFormatting>
  <conditionalFormatting sqref="U26:V26">
    <cfRule type="cellIs" dxfId="252" priority="477" operator="equal">
      <formula>"(Select)"</formula>
    </cfRule>
  </conditionalFormatting>
  <conditionalFormatting sqref="I26:J26">
    <cfRule type="expression" dxfId="251" priority="472">
      <formula>$G26="Q&amp;A"</formula>
    </cfRule>
  </conditionalFormatting>
  <conditionalFormatting sqref="I26:J26">
    <cfRule type="cellIs" dxfId="250" priority="473" operator="equal">
      <formula>"(Select)"</formula>
    </cfRule>
  </conditionalFormatting>
  <conditionalFormatting sqref="I26:J26">
    <cfRule type="expression" dxfId="249" priority="471">
      <formula>$G26="proceedings"</formula>
    </cfRule>
  </conditionalFormatting>
  <conditionalFormatting sqref="I26:J26">
    <cfRule type="expression" dxfId="248" priority="470">
      <formula>$G26="proceedings"</formula>
    </cfRule>
  </conditionalFormatting>
  <conditionalFormatting sqref="I26:J26">
    <cfRule type="expression" dxfId="247" priority="469">
      <formula>$G26="proceedings"</formula>
    </cfRule>
  </conditionalFormatting>
  <conditionalFormatting sqref="M26:N26">
    <cfRule type="expression" dxfId="246" priority="467">
      <formula>$G26="Q&amp;A"</formula>
    </cfRule>
  </conditionalFormatting>
  <conditionalFormatting sqref="M26:N26">
    <cfRule type="cellIs" dxfId="245" priority="468" operator="equal">
      <formula>"(Select)"</formula>
    </cfRule>
  </conditionalFormatting>
  <conditionalFormatting sqref="M26:N26">
    <cfRule type="expression" dxfId="244" priority="466">
      <formula>$G26="proceedings"</formula>
    </cfRule>
  </conditionalFormatting>
  <conditionalFormatting sqref="M26:N26">
    <cfRule type="expression" dxfId="243" priority="465">
      <formula>$G26="proceedings"</formula>
    </cfRule>
  </conditionalFormatting>
  <conditionalFormatting sqref="M26:N26">
    <cfRule type="expression" dxfId="242" priority="464">
      <formula>$G26="proceedings"</formula>
    </cfRule>
  </conditionalFormatting>
  <conditionalFormatting sqref="G19:Z19">
    <cfRule type="cellIs" dxfId="241" priority="463" operator="equal">
      <formula>"(Select)"</formula>
    </cfRule>
  </conditionalFormatting>
  <conditionalFormatting sqref="G12:T15">
    <cfRule type="cellIs" dxfId="240" priority="462" operator="equal">
      <formula>"(Select)"</formula>
    </cfRule>
  </conditionalFormatting>
  <conditionalFormatting sqref="N21:T21">
    <cfRule type="cellIs" dxfId="239" priority="461" operator="equal">
      <formula>"(Select)"</formula>
    </cfRule>
  </conditionalFormatting>
  <conditionalFormatting sqref="N21:T21">
    <cfRule type="expression" dxfId="238" priority="460">
      <formula>$G21="use 'Peer Review Checklist' sheet"</formula>
    </cfRule>
  </conditionalFormatting>
  <conditionalFormatting sqref="A37:B37 W37:XFD37">
    <cfRule type="cellIs" dxfId="237" priority="459" operator="equal">
      <formula>"(Select)"</formula>
    </cfRule>
  </conditionalFormatting>
  <conditionalFormatting sqref="V37">
    <cfRule type="cellIs" dxfId="236" priority="457" operator="equal">
      <formula>"(Select)"</formula>
    </cfRule>
  </conditionalFormatting>
  <conditionalFormatting sqref="H30:I31">
    <cfRule type="cellIs" dxfId="235" priority="454" operator="equal">
      <formula>"(Select)"</formula>
    </cfRule>
  </conditionalFormatting>
  <conditionalFormatting sqref="T37:U37">
    <cfRule type="cellIs" dxfId="234" priority="453" operator="equal">
      <formula>"(Select)"</formula>
    </cfRule>
  </conditionalFormatting>
  <conditionalFormatting sqref="E40:U40">
    <cfRule type="cellIs" dxfId="233" priority="451" operator="equal">
      <formula>"(Select)"</formula>
    </cfRule>
  </conditionalFormatting>
  <conditionalFormatting sqref="P49 Q57:R57">
    <cfRule type="expression" dxfId="232" priority="449">
      <formula>$G49="Q&amp;A"</formula>
    </cfRule>
  </conditionalFormatting>
  <conditionalFormatting sqref="H49:N50 P49 Q57:R57 D49:F50 E51:F51 S49:W50 F52:F55">
    <cfRule type="cellIs" dxfId="231" priority="450" operator="equal">
      <formula>"(Select)"</formula>
    </cfRule>
  </conditionalFormatting>
  <conditionalFormatting sqref="P49 Q57:R57 S49:W50">
    <cfRule type="expression" dxfId="230" priority="448">
      <formula>$G49="proceedings"</formula>
    </cfRule>
  </conditionalFormatting>
  <conditionalFormatting sqref="P49 Q57:R57 S49:W50">
    <cfRule type="expression" dxfId="229" priority="447">
      <formula>$G49="proceedings"</formula>
    </cfRule>
  </conditionalFormatting>
  <conditionalFormatting sqref="P49 Q57:R57 S49:W50">
    <cfRule type="expression" dxfId="228" priority="446">
      <formula>$G49="proceedings"</formula>
    </cfRule>
  </conditionalFormatting>
  <conditionalFormatting sqref="C101:Z101">
    <cfRule type="cellIs" dxfId="227" priority="445" operator="equal">
      <formula>"(Select)"</formula>
    </cfRule>
  </conditionalFormatting>
  <conditionalFormatting sqref="Q39:S39">
    <cfRule type="cellIs" dxfId="226" priority="371" operator="equal">
      <formula>"(Select)"</formula>
    </cfRule>
  </conditionalFormatting>
  <conditionalFormatting sqref="V36">
    <cfRule type="cellIs" dxfId="225" priority="368" operator="equal">
      <formula>"(Select)"</formula>
    </cfRule>
  </conditionalFormatting>
  <conditionalFormatting sqref="P50:R50 Q56:R56 Q58:R58">
    <cfRule type="expression" dxfId="224" priority="335">
      <formula>$G50="Q&amp;A"</formula>
    </cfRule>
  </conditionalFormatting>
  <conditionalFormatting sqref="P50:R50 Q58:R58 P56:R56">
    <cfRule type="cellIs" dxfId="223" priority="336" operator="equal">
      <formula>"(Select)"</formula>
    </cfRule>
  </conditionalFormatting>
  <conditionalFormatting sqref="P50:R50 Q56:R56 Q58:R58">
    <cfRule type="expression" dxfId="222" priority="334">
      <formula>$G50="proceedings"</formula>
    </cfRule>
  </conditionalFormatting>
  <conditionalFormatting sqref="P50:R50 Q56:R56 Q58:R58">
    <cfRule type="expression" dxfId="221" priority="333">
      <formula>$G50="proceedings"</formula>
    </cfRule>
  </conditionalFormatting>
  <conditionalFormatting sqref="P50:R50 Q56:R56 Q58:R58">
    <cfRule type="expression" dxfId="220" priority="332">
      <formula>$G50="proceedings"</formula>
    </cfRule>
  </conditionalFormatting>
  <conditionalFormatting sqref="X59:Z59">
    <cfRule type="cellIs" dxfId="219" priority="258" operator="equal">
      <formula>"(Select)"</formula>
    </cfRule>
  </conditionalFormatting>
  <conditionalFormatting sqref="D59:E59">
    <cfRule type="cellIs" dxfId="218" priority="261" operator="equal">
      <formula>"(Select)"</formula>
    </cfRule>
  </conditionalFormatting>
  <conditionalFormatting sqref="D60:E60">
    <cfRule type="cellIs" dxfId="217" priority="259" operator="equal">
      <formula>"(Select)"</formula>
    </cfRule>
  </conditionalFormatting>
  <conditionalFormatting sqref="X59:Z59">
    <cfRule type="expression" dxfId="216" priority="257">
      <formula>$G59="proceedings"</formula>
    </cfRule>
  </conditionalFormatting>
  <conditionalFormatting sqref="X59:Z59">
    <cfRule type="expression" dxfId="215" priority="256">
      <formula>$G59="proceedings"</formula>
    </cfRule>
  </conditionalFormatting>
  <conditionalFormatting sqref="X59:Z59">
    <cfRule type="expression" dxfId="214" priority="255">
      <formula>$G59="proceedings"</formula>
    </cfRule>
  </conditionalFormatting>
  <conditionalFormatting sqref="Y59:Z59">
    <cfRule type="expression" dxfId="213" priority="254">
      <formula>$G59="Q&amp;A"</formula>
    </cfRule>
  </conditionalFormatting>
  <conditionalFormatting sqref="U9:Z10">
    <cfRule type="cellIs" dxfId="212" priority="253" operator="equal">
      <formula>"(Select)"</formula>
    </cfRule>
  </conditionalFormatting>
  <conditionalFormatting sqref="C4:F16">
    <cfRule type="cellIs" dxfId="211" priority="252" operator="equal">
      <formula>"(Select)"</formula>
    </cfRule>
  </conditionalFormatting>
  <conditionalFormatting sqref="H56:N58">
    <cfRule type="cellIs" dxfId="210" priority="251" operator="equal">
      <formula>"(Select)"</formula>
    </cfRule>
  </conditionalFormatting>
  <conditionalFormatting sqref="L38:P38">
    <cfRule type="cellIs" dxfId="209" priority="201" operator="equal">
      <formula>"(Select)"</formula>
    </cfRule>
  </conditionalFormatting>
  <conditionalFormatting sqref="E38:K38">
    <cfRule type="cellIs" dxfId="208" priority="200" operator="equal">
      <formula>"(Select)"</formula>
    </cfRule>
  </conditionalFormatting>
  <conditionalFormatting sqref="E37:P37">
    <cfRule type="cellIs" dxfId="207" priority="199" operator="equal">
      <formula>"(Select)"</formula>
    </cfRule>
  </conditionalFormatting>
  <conditionalFormatting sqref="Q37:S37">
    <cfRule type="cellIs" dxfId="206" priority="198" operator="equal">
      <formula>"(Select)"</formula>
    </cfRule>
  </conditionalFormatting>
  <conditionalFormatting sqref="Q38:S38">
    <cfRule type="cellIs" dxfId="205" priority="197" operator="equal">
      <formula>"(Select)"</formula>
    </cfRule>
  </conditionalFormatting>
  <conditionalFormatting sqref="E35:K35">
    <cfRule type="cellIs" dxfId="204" priority="196" operator="equal">
      <formula>"(Select)"</formula>
    </cfRule>
  </conditionalFormatting>
  <conditionalFormatting sqref="L35:P35">
    <cfRule type="cellIs" dxfId="203" priority="195" operator="equal">
      <formula>"(Select)"</formula>
    </cfRule>
  </conditionalFormatting>
  <conditionalFormatting sqref="L36:P36">
    <cfRule type="cellIs" dxfId="202" priority="194" operator="equal">
      <formula>"(Select)"</formula>
    </cfRule>
  </conditionalFormatting>
  <conditionalFormatting sqref="D54 F54">
    <cfRule type="cellIs" dxfId="201" priority="191" operator="equal">
      <formula>"(Select)"</formula>
    </cfRule>
  </conditionalFormatting>
  <conditionalFormatting sqref="E54">
    <cfRule type="cellIs" dxfId="200" priority="190" operator="equal">
      <formula>"(Select)"</formula>
    </cfRule>
  </conditionalFormatting>
  <conditionalFormatting sqref="F55 D55:D58">
    <cfRule type="cellIs" dxfId="199" priority="188" operator="equal">
      <formula>"(Select)"</formula>
    </cfRule>
  </conditionalFormatting>
  <conditionalFormatting sqref="E55:E58">
    <cfRule type="cellIs" dxfId="198" priority="187" operator="equal">
      <formula>"(Select)"</formula>
    </cfRule>
  </conditionalFormatting>
  <conditionalFormatting sqref="F56:F58">
    <cfRule type="cellIs" dxfId="197" priority="185" operator="equal">
      <formula>"(Select)"</formula>
    </cfRule>
  </conditionalFormatting>
  <conditionalFormatting sqref="X49:X50">
    <cfRule type="cellIs" dxfId="196" priority="181" operator="equal">
      <formula>"(Select)"</formula>
    </cfRule>
  </conditionalFormatting>
  <conditionalFormatting sqref="X57">
    <cfRule type="cellIs" dxfId="195" priority="180" operator="equal">
      <formula>"(Select)"</formula>
    </cfRule>
  </conditionalFormatting>
  <conditionalFormatting sqref="X56">
    <cfRule type="cellIs" dxfId="194" priority="177" operator="equal">
      <formula>"(Select)"</formula>
    </cfRule>
  </conditionalFormatting>
  <conditionalFormatting sqref="X58">
    <cfRule type="cellIs" dxfId="193" priority="176" operator="equal">
      <formula>"(Select)"</formula>
    </cfRule>
  </conditionalFormatting>
  <conditionalFormatting sqref="Y49:Z49 Y57:Z57">
    <cfRule type="expression" dxfId="192" priority="174">
      <formula>$G49="Q&amp;A"</formula>
    </cfRule>
  </conditionalFormatting>
  <conditionalFormatting sqref="Y49:Z49 Y57:Z57">
    <cfRule type="cellIs" dxfId="191" priority="175" operator="equal">
      <formula>"(Select)"</formula>
    </cfRule>
  </conditionalFormatting>
  <conditionalFormatting sqref="Y49:Z49 Y57:Z57">
    <cfRule type="expression" dxfId="190" priority="173">
      <formula>$G49="proceedings"</formula>
    </cfRule>
  </conditionalFormatting>
  <conditionalFormatting sqref="Y49:Z49 Y57:Z57">
    <cfRule type="expression" dxfId="189" priority="172">
      <formula>$G49="proceedings"</formula>
    </cfRule>
  </conditionalFormatting>
  <conditionalFormatting sqref="Y49:Z49 Y57:Z57">
    <cfRule type="expression" dxfId="188" priority="171">
      <formula>$G49="proceedings"</formula>
    </cfRule>
  </conditionalFormatting>
  <conditionalFormatting sqref="Y50:Z50 Y56:Z56 Y58:Z58">
    <cfRule type="expression" dxfId="187" priority="169">
      <formula>$G50="Q&amp;A"</formula>
    </cfRule>
  </conditionalFormatting>
  <conditionalFormatting sqref="Y50:Z50 Y56:Z56 Y58:Z58">
    <cfRule type="cellIs" dxfId="186" priority="170" operator="equal">
      <formula>"(Select)"</formula>
    </cfRule>
  </conditionalFormatting>
  <conditionalFormatting sqref="Y50:Z50 Y56:Z56 Y58:Z58">
    <cfRule type="expression" dxfId="185" priority="168">
      <formula>$G50="proceedings"</formula>
    </cfRule>
  </conditionalFormatting>
  <conditionalFormatting sqref="Y50:Z50 Y56:Z56 Y58:Z58">
    <cfRule type="expression" dxfId="184" priority="167">
      <formula>$G50="proceedings"</formula>
    </cfRule>
  </conditionalFormatting>
  <conditionalFormatting sqref="Y50:Z50 Y56:Z56 Y58:Z58">
    <cfRule type="expression" dxfId="183" priority="166">
      <formula>$G50="proceedings"</formula>
    </cfRule>
  </conditionalFormatting>
  <conditionalFormatting sqref="E39:K39">
    <cfRule type="cellIs" dxfId="182" priority="165" operator="equal">
      <formula>"(Select)"</formula>
    </cfRule>
  </conditionalFormatting>
  <conditionalFormatting sqref="L39:P39">
    <cfRule type="cellIs" dxfId="181" priority="164" operator="equal">
      <formula>"(Select)"</formula>
    </cfRule>
  </conditionalFormatting>
  <conditionalFormatting sqref="F59:F60">
    <cfRule type="cellIs" dxfId="180" priority="163" operator="equal">
      <formula>"(Select)"</formula>
    </cfRule>
  </conditionalFormatting>
  <conditionalFormatting sqref="H60:N60">
    <cfRule type="cellIs" dxfId="179" priority="161" operator="equal">
      <formula>"(Select)"</formula>
    </cfRule>
  </conditionalFormatting>
  <conditionalFormatting sqref="H59:N59">
    <cfRule type="cellIs" dxfId="178" priority="160" operator="equal">
      <formula>"(Select)"</formula>
    </cfRule>
  </conditionalFormatting>
  <conditionalFormatting sqref="O51:R52">
    <cfRule type="expression" dxfId="177" priority="158">
      <formula>$G51="Q&amp;A"</formula>
    </cfRule>
  </conditionalFormatting>
  <conditionalFormatting sqref="O51:W52">
    <cfRule type="cellIs" dxfId="176" priority="159" operator="equal">
      <formula>"(Select)"</formula>
    </cfRule>
  </conditionalFormatting>
  <conditionalFormatting sqref="O51:W52">
    <cfRule type="expression" dxfId="175" priority="157">
      <formula>$G51="proceedings"</formula>
    </cfRule>
  </conditionalFormatting>
  <conditionalFormatting sqref="O51:W52">
    <cfRule type="expression" dxfId="174" priority="156">
      <formula>$G51="proceedings"</formula>
    </cfRule>
  </conditionalFormatting>
  <conditionalFormatting sqref="O51:W52">
    <cfRule type="expression" dxfId="173" priority="155">
      <formula>$G51="proceedings"</formula>
    </cfRule>
  </conditionalFormatting>
  <conditionalFormatting sqref="D51">
    <cfRule type="cellIs" dxfId="172" priority="154" operator="equal">
      <formula>"(Select)"</formula>
    </cfRule>
  </conditionalFormatting>
  <conditionalFormatting sqref="H51:N51">
    <cfRule type="cellIs" dxfId="171" priority="144" operator="equal">
      <formula>"(Select)"</formula>
    </cfRule>
  </conditionalFormatting>
  <conditionalFormatting sqref="Q49:R49">
    <cfRule type="expression" dxfId="170" priority="122">
      <formula>$G49="Q&amp;A"</formula>
    </cfRule>
  </conditionalFormatting>
  <conditionalFormatting sqref="Q49:R49">
    <cfRule type="cellIs" dxfId="169" priority="123" operator="equal">
      <formula>"(Select)"</formula>
    </cfRule>
  </conditionalFormatting>
  <conditionalFormatting sqref="Q49:R49">
    <cfRule type="expression" dxfId="168" priority="121">
      <formula>$G49="proceedings"</formula>
    </cfRule>
  </conditionalFormatting>
  <conditionalFormatting sqref="Q49:R49">
    <cfRule type="expression" dxfId="167" priority="120">
      <formula>$G49="proceedings"</formula>
    </cfRule>
  </conditionalFormatting>
  <conditionalFormatting sqref="Q49:R49">
    <cfRule type="expression" dxfId="166" priority="119">
      <formula>$G49="proceedings"</formula>
    </cfRule>
  </conditionalFormatting>
  <conditionalFormatting sqref="D52:E52">
    <cfRule type="cellIs" dxfId="165" priority="118" operator="equal">
      <formula>"(Select)"</formula>
    </cfRule>
  </conditionalFormatting>
  <conditionalFormatting sqref="D53:E53">
    <cfRule type="cellIs" dxfId="164" priority="117" operator="equal">
      <formula>"(Select)"</formula>
    </cfRule>
  </conditionalFormatting>
  <conditionalFormatting sqref="G52:G55">
    <cfRule type="cellIs" dxfId="163" priority="115" operator="equal">
      <formula>"(Select)"</formula>
    </cfRule>
  </conditionalFormatting>
  <conditionalFormatting sqref="H53:N53">
    <cfRule type="cellIs" dxfId="162" priority="114" operator="equal">
      <formula>"(Select)"</formula>
    </cfRule>
  </conditionalFormatting>
  <conditionalFormatting sqref="H52:N52">
    <cfRule type="cellIs" dxfId="161" priority="113" operator="equal">
      <formula>"(Select)"</formula>
    </cfRule>
  </conditionalFormatting>
  <conditionalFormatting sqref="X51">
    <cfRule type="cellIs" dxfId="160" priority="112" operator="equal">
      <formula>"(Select)"</formula>
    </cfRule>
  </conditionalFormatting>
  <conditionalFormatting sqref="Y51:Z51">
    <cfRule type="expression" dxfId="159" priority="110">
      <formula>$G51="Q&amp;A"</formula>
    </cfRule>
  </conditionalFormatting>
  <conditionalFormatting sqref="Y51:Z51">
    <cfRule type="cellIs" dxfId="158" priority="111" operator="equal">
      <formula>"(Select)"</formula>
    </cfRule>
  </conditionalFormatting>
  <conditionalFormatting sqref="Y51:Z51">
    <cfRule type="expression" dxfId="157" priority="109">
      <formula>$G51="proceedings"</formula>
    </cfRule>
  </conditionalFormatting>
  <conditionalFormatting sqref="Y51:Z51">
    <cfRule type="expression" dxfId="156" priority="108">
      <formula>$G51="proceedings"</formula>
    </cfRule>
  </conditionalFormatting>
  <conditionalFormatting sqref="Y51:Z51">
    <cfRule type="expression" dxfId="155" priority="107">
      <formula>$G51="proceedings"</formula>
    </cfRule>
  </conditionalFormatting>
  <conditionalFormatting sqref="D53:E53">
    <cfRule type="cellIs" dxfId="154" priority="106" operator="equal">
      <formula>"(Select)"</formula>
    </cfRule>
  </conditionalFormatting>
  <conditionalFormatting sqref="D54:E54">
    <cfRule type="cellIs" dxfId="153" priority="105" operator="equal">
      <formula>"(Select)"</formula>
    </cfRule>
  </conditionalFormatting>
  <conditionalFormatting sqref="H53:N53">
    <cfRule type="cellIs" dxfId="152" priority="103" operator="equal">
      <formula>"(Select)"</formula>
    </cfRule>
  </conditionalFormatting>
  <conditionalFormatting sqref="H54:N54">
    <cfRule type="cellIs" dxfId="151" priority="102" operator="equal">
      <formula>"(Select)"</formula>
    </cfRule>
  </conditionalFormatting>
  <conditionalFormatting sqref="H54:N54">
    <cfRule type="cellIs" dxfId="150" priority="101" operator="equal">
      <formula>"(Select)"</formula>
    </cfRule>
  </conditionalFormatting>
  <conditionalFormatting sqref="X52">
    <cfRule type="cellIs" dxfId="149" priority="100" operator="equal">
      <formula>"(Select)"</formula>
    </cfRule>
  </conditionalFormatting>
  <conditionalFormatting sqref="Y52:Z52">
    <cfRule type="expression" dxfId="148" priority="98">
      <formula>$G52="Q&amp;A"</formula>
    </cfRule>
  </conditionalFormatting>
  <conditionalFormatting sqref="Y52:Z52">
    <cfRule type="cellIs" dxfId="147" priority="99" operator="equal">
      <formula>"(Select)"</formula>
    </cfRule>
  </conditionalFormatting>
  <conditionalFormatting sqref="Y52:Z52">
    <cfRule type="expression" dxfId="146" priority="97">
      <formula>$G52="proceedings"</formula>
    </cfRule>
  </conditionalFormatting>
  <conditionalFormatting sqref="Y52:Z52">
    <cfRule type="expression" dxfId="145" priority="96">
      <formula>$G52="proceedings"</formula>
    </cfRule>
  </conditionalFormatting>
  <conditionalFormatting sqref="Y52:Z52">
    <cfRule type="expression" dxfId="144" priority="95">
      <formula>$G52="proceedings"</formula>
    </cfRule>
  </conditionalFormatting>
  <conditionalFormatting sqref="O54:P54">
    <cfRule type="expression" dxfId="143" priority="77">
      <formula>$G54="Q&amp;A"</formula>
    </cfRule>
  </conditionalFormatting>
  <conditionalFormatting sqref="O54">
    <cfRule type="cellIs" dxfId="142" priority="78" operator="equal">
      <formula>"(Select)"</formula>
    </cfRule>
  </conditionalFormatting>
  <conditionalFormatting sqref="O54:P54">
    <cfRule type="expression" dxfId="141" priority="76">
      <formula>$G54="proceedings"</formula>
    </cfRule>
  </conditionalFormatting>
  <conditionalFormatting sqref="O54:P54">
    <cfRule type="expression" dxfId="140" priority="75">
      <formula>$G54="proceedings"</formula>
    </cfRule>
  </conditionalFormatting>
  <conditionalFormatting sqref="O54:P54">
    <cfRule type="expression" dxfId="139" priority="74">
      <formula>$G54="proceedings"</formula>
    </cfRule>
  </conditionalFormatting>
  <conditionalFormatting sqref="Q54:R54">
    <cfRule type="expression" dxfId="138" priority="72">
      <formula>$G54="Q&amp;A"</formula>
    </cfRule>
  </conditionalFormatting>
  <conditionalFormatting sqref="Q54:R54">
    <cfRule type="cellIs" dxfId="137" priority="73" operator="equal">
      <formula>"(Select)"</formula>
    </cfRule>
  </conditionalFormatting>
  <conditionalFormatting sqref="Q54:R54">
    <cfRule type="expression" dxfId="136" priority="71">
      <formula>$G54="proceedings"</formula>
    </cfRule>
  </conditionalFormatting>
  <conditionalFormatting sqref="Q54:R54">
    <cfRule type="expression" dxfId="135" priority="70">
      <formula>$G54="proceedings"</formula>
    </cfRule>
  </conditionalFormatting>
  <conditionalFormatting sqref="Q54:R54">
    <cfRule type="expression" dxfId="134" priority="69">
      <formula>$G54="proceedings"</formula>
    </cfRule>
  </conditionalFormatting>
  <conditionalFormatting sqref="S54:W54">
    <cfRule type="cellIs" dxfId="133" priority="68" operator="equal">
      <formula>"(Select)"</formula>
    </cfRule>
  </conditionalFormatting>
  <conditionalFormatting sqref="S54:W54">
    <cfRule type="expression" dxfId="132" priority="67">
      <formula>$G54="proceedings"</formula>
    </cfRule>
  </conditionalFormatting>
  <conditionalFormatting sqref="S54:W54">
    <cfRule type="expression" dxfId="131" priority="66">
      <formula>$G54="proceedings"</formula>
    </cfRule>
  </conditionalFormatting>
  <conditionalFormatting sqref="S54:W54">
    <cfRule type="expression" dxfId="130" priority="65">
      <formula>$G54="proceedings"</formula>
    </cfRule>
  </conditionalFormatting>
  <conditionalFormatting sqref="P54">
    <cfRule type="cellIs" dxfId="129" priority="64" operator="equal">
      <formula>"(Select)"</formula>
    </cfRule>
  </conditionalFormatting>
  <conditionalFormatting sqref="Y54:Z54">
    <cfRule type="expression" dxfId="128" priority="62">
      <formula>$G54="Q&amp;A"</formula>
    </cfRule>
  </conditionalFormatting>
  <conditionalFormatting sqref="Y54:Z54">
    <cfRule type="cellIs" dxfId="127" priority="63" operator="equal">
      <formula>"(Select)"</formula>
    </cfRule>
  </conditionalFormatting>
  <conditionalFormatting sqref="Y54:Z54">
    <cfRule type="expression" dxfId="126" priority="61">
      <formula>$G54="proceedings"</formula>
    </cfRule>
  </conditionalFormatting>
  <conditionalFormatting sqref="Y54:Z54">
    <cfRule type="expression" dxfId="125" priority="60">
      <formula>$G54="proceedings"</formula>
    </cfRule>
  </conditionalFormatting>
  <conditionalFormatting sqref="Y54:Z54">
    <cfRule type="expression" dxfId="124" priority="59">
      <formula>$G54="proceedings"</formula>
    </cfRule>
  </conditionalFormatting>
  <conditionalFormatting sqref="X54">
    <cfRule type="expression" dxfId="123" priority="57">
      <formula>$G54="Q&amp;A"</formula>
    </cfRule>
  </conditionalFormatting>
  <conditionalFormatting sqref="X54">
    <cfRule type="cellIs" dxfId="122" priority="58" operator="equal">
      <formula>"(Select)"</formula>
    </cfRule>
  </conditionalFormatting>
  <conditionalFormatting sqref="X54">
    <cfRule type="expression" dxfId="121" priority="56">
      <formula>$G54="proceedings"</formula>
    </cfRule>
  </conditionalFormatting>
  <conditionalFormatting sqref="X54">
    <cfRule type="expression" dxfId="120" priority="55">
      <formula>$G54="proceedings"</formula>
    </cfRule>
  </conditionalFormatting>
  <conditionalFormatting sqref="X54">
    <cfRule type="expression" dxfId="119" priority="54">
      <formula>$G54="proceedings"</formula>
    </cfRule>
  </conditionalFormatting>
  <conditionalFormatting sqref="D55 F55">
    <cfRule type="cellIs" dxfId="118" priority="53" operator="equal">
      <formula>"(Select)"</formula>
    </cfRule>
  </conditionalFormatting>
  <conditionalFormatting sqref="E55">
    <cfRule type="cellIs" dxfId="117" priority="52" operator="equal">
      <formula>"(Select)"</formula>
    </cfRule>
  </conditionalFormatting>
  <conditionalFormatting sqref="D54:E54">
    <cfRule type="cellIs" dxfId="116" priority="51" operator="equal">
      <formula>"(Select)"</formula>
    </cfRule>
  </conditionalFormatting>
  <conditionalFormatting sqref="H54:N54">
    <cfRule type="cellIs" dxfId="115" priority="50" operator="equal">
      <formula>"(Select)"</formula>
    </cfRule>
  </conditionalFormatting>
  <conditionalFormatting sqref="D54:E54">
    <cfRule type="cellIs" dxfId="114" priority="49" operator="equal">
      <formula>"(Select)"</formula>
    </cfRule>
  </conditionalFormatting>
  <conditionalFormatting sqref="D55:E55">
    <cfRule type="cellIs" dxfId="113" priority="48" operator="equal">
      <formula>"(Select)"</formula>
    </cfRule>
  </conditionalFormatting>
  <conditionalFormatting sqref="H54:N54">
    <cfRule type="cellIs" dxfId="112" priority="47" operator="equal">
      <formula>"(Select)"</formula>
    </cfRule>
  </conditionalFormatting>
  <conditionalFormatting sqref="H55:N55">
    <cfRule type="cellIs" dxfId="111" priority="44" operator="equal">
      <formula>"(Select)"</formula>
    </cfRule>
  </conditionalFormatting>
  <conditionalFormatting sqref="H55:N55">
    <cfRule type="cellIs" dxfId="110" priority="43" operator="equal">
      <formula>"(Select)"</formula>
    </cfRule>
  </conditionalFormatting>
  <conditionalFormatting sqref="H55:N55">
    <cfRule type="cellIs" dxfId="109" priority="42" operator="equal">
      <formula>"(Select)"</formula>
    </cfRule>
  </conditionalFormatting>
  <conditionalFormatting sqref="H55:N55">
    <cfRule type="cellIs" dxfId="108" priority="41" operator="equal">
      <formula>"(Select)"</formula>
    </cfRule>
  </conditionalFormatting>
  <conditionalFormatting sqref="O55:P55">
    <cfRule type="expression" dxfId="107" priority="39">
      <formula>$G55="Q&amp;A"</formula>
    </cfRule>
  </conditionalFormatting>
  <conditionalFormatting sqref="O55">
    <cfRule type="cellIs" dxfId="106" priority="40" operator="equal">
      <formula>"(Select)"</formula>
    </cfRule>
  </conditionalFormatting>
  <conditionalFormatting sqref="O55:P55">
    <cfRule type="expression" dxfId="105" priority="38">
      <formula>$G55="proceedings"</formula>
    </cfRule>
  </conditionalFormatting>
  <conditionalFormatting sqref="O55:P55">
    <cfRule type="expression" dxfId="104" priority="37">
      <formula>$G55="proceedings"</formula>
    </cfRule>
  </conditionalFormatting>
  <conditionalFormatting sqref="O55:P55">
    <cfRule type="expression" dxfId="103" priority="36">
      <formula>$G55="proceedings"</formula>
    </cfRule>
  </conditionalFormatting>
  <conditionalFormatting sqref="Q55:R55">
    <cfRule type="expression" dxfId="102" priority="34">
      <formula>$G55="Q&amp;A"</formula>
    </cfRule>
  </conditionalFormatting>
  <conditionalFormatting sqref="Q55:R55">
    <cfRule type="cellIs" dxfId="101" priority="35" operator="equal">
      <formula>"(Select)"</formula>
    </cfRule>
  </conditionalFormatting>
  <conditionalFormatting sqref="Q55:R55">
    <cfRule type="expression" dxfId="100" priority="33">
      <formula>$G55="proceedings"</formula>
    </cfRule>
  </conditionalFormatting>
  <conditionalFormatting sqref="Q55:R55">
    <cfRule type="expression" dxfId="99" priority="32">
      <formula>$G55="proceedings"</formula>
    </cfRule>
  </conditionalFormatting>
  <conditionalFormatting sqref="Q55:R55">
    <cfRule type="expression" dxfId="98" priority="31">
      <formula>$G55="proceedings"</formula>
    </cfRule>
  </conditionalFormatting>
  <conditionalFormatting sqref="S55:W55">
    <cfRule type="cellIs" dxfId="97" priority="30" operator="equal">
      <formula>"(Select)"</formula>
    </cfRule>
  </conditionalFormatting>
  <conditionalFormatting sqref="S55:W55">
    <cfRule type="expression" dxfId="96" priority="29">
      <formula>$G55="proceedings"</formula>
    </cfRule>
  </conditionalFormatting>
  <conditionalFormatting sqref="S55:W55">
    <cfRule type="expression" dxfId="95" priority="28">
      <formula>$G55="proceedings"</formula>
    </cfRule>
  </conditionalFormatting>
  <conditionalFormatting sqref="S55:W55">
    <cfRule type="expression" dxfId="94" priority="27">
      <formula>$G55="proceedings"</formula>
    </cfRule>
  </conditionalFormatting>
  <conditionalFormatting sqref="P55">
    <cfRule type="cellIs" dxfId="93" priority="26" operator="equal">
      <formula>"(Select)"</formula>
    </cfRule>
  </conditionalFormatting>
  <conditionalFormatting sqref="Y55:Z55">
    <cfRule type="expression" dxfId="92" priority="24">
      <formula>$G55="Q&amp;A"</formula>
    </cfRule>
  </conditionalFormatting>
  <conditionalFormatting sqref="Y55:Z55">
    <cfRule type="cellIs" dxfId="91" priority="25" operator="equal">
      <formula>"(Select)"</formula>
    </cfRule>
  </conditionalFormatting>
  <conditionalFormatting sqref="Y55:Z55">
    <cfRule type="expression" dxfId="90" priority="23">
      <formula>$G55="proceedings"</formula>
    </cfRule>
  </conditionalFormatting>
  <conditionalFormatting sqref="Y55:Z55">
    <cfRule type="expression" dxfId="89" priority="22">
      <formula>$G55="proceedings"</formula>
    </cfRule>
  </conditionalFormatting>
  <conditionalFormatting sqref="Y55:Z55">
    <cfRule type="expression" dxfId="88" priority="21">
      <formula>$G55="proceedings"</formula>
    </cfRule>
  </conditionalFormatting>
  <conditionalFormatting sqref="X55">
    <cfRule type="expression" dxfId="87" priority="19">
      <formula>$G55="Q&amp;A"</formula>
    </cfRule>
  </conditionalFormatting>
  <conditionalFormatting sqref="X55">
    <cfRule type="cellIs" dxfId="86" priority="20" operator="equal">
      <formula>"(Select)"</formula>
    </cfRule>
  </conditionalFormatting>
  <conditionalFormatting sqref="X55">
    <cfRule type="expression" dxfId="85" priority="18">
      <formula>$G55="proceedings"</formula>
    </cfRule>
  </conditionalFormatting>
  <conditionalFormatting sqref="X55">
    <cfRule type="expression" dxfId="84" priority="17">
      <formula>$G55="proceedings"</formula>
    </cfRule>
  </conditionalFormatting>
  <conditionalFormatting sqref="X55">
    <cfRule type="expression" dxfId="83" priority="16">
      <formula>$G55="proceedings"</formula>
    </cfRule>
  </conditionalFormatting>
  <conditionalFormatting sqref="S53:W53">
    <cfRule type="cellIs" dxfId="82" priority="15" operator="equal">
      <formula>"(Select)"</formula>
    </cfRule>
  </conditionalFormatting>
  <conditionalFormatting sqref="S53:W53">
    <cfRule type="expression" dxfId="81" priority="14">
      <formula>$G53="proceedings"</formula>
    </cfRule>
  </conditionalFormatting>
  <conditionalFormatting sqref="S53:W53">
    <cfRule type="expression" dxfId="80" priority="13">
      <formula>$G53="proceedings"</formula>
    </cfRule>
  </conditionalFormatting>
  <conditionalFormatting sqref="S53:W53">
    <cfRule type="expression" dxfId="79" priority="12">
      <formula>$G53="proceedings"</formula>
    </cfRule>
  </conditionalFormatting>
  <conditionalFormatting sqref="O53:R53">
    <cfRule type="expression" dxfId="78" priority="10">
      <formula>$G53="Q&amp;A"</formula>
    </cfRule>
  </conditionalFormatting>
  <conditionalFormatting sqref="O53:R53">
    <cfRule type="cellIs" dxfId="77" priority="11" operator="equal">
      <formula>"(Select)"</formula>
    </cfRule>
  </conditionalFormatting>
  <conditionalFormatting sqref="O53:R53">
    <cfRule type="expression" dxfId="76" priority="9">
      <formula>$G53="proceedings"</formula>
    </cfRule>
  </conditionalFormatting>
  <conditionalFormatting sqref="O53:R53">
    <cfRule type="expression" dxfId="75" priority="8">
      <formula>$G53="proceedings"</formula>
    </cfRule>
  </conditionalFormatting>
  <conditionalFormatting sqref="O53:R53">
    <cfRule type="expression" dxfId="74" priority="7">
      <formula>$G53="proceedings"</formula>
    </cfRule>
  </conditionalFormatting>
  <conditionalFormatting sqref="X53">
    <cfRule type="cellIs" dxfId="73" priority="6" operator="equal">
      <formula>"(Select)"</formula>
    </cfRule>
  </conditionalFormatting>
  <conditionalFormatting sqref="Y53:Z53">
    <cfRule type="expression" dxfId="72" priority="4">
      <formula>$G53="Q&amp;A"</formula>
    </cfRule>
  </conditionalFormatting>
  <conditionalFormatting sqref="Y53:Z53">
    <cfRule type="cellIs" dxfId="71" priority="5" operator="equal">
      <formula>"(Select)"</formula>
    </cfRule>
  </conditionalFormatting>
  <conditionalFormatting sqref="Y53:Z53">
    <cfRule type="expression" dxfId="70" priority="3">
      <formula>$G53="proceedings"</formula>
    </cfRule>
  </conditionalFormatting>
  <conditionalFormatting sqref="Y53:Z53">
    <cfRule type="expression" dxfId="69" priority="2">
      <formula>$G53="proceedings"</formula>
    </cfRule>
  </conditionalFormatting>
  <conditionalFormatting sqref="Y53:Z53">
    <cfRule type="expression" dxfId="68" priority="1">
      <formula>$G53="proceedings"</formula>
    </cfRule>
  </conditionalFormatting>
  <dataValidations count="8">
    <dataValidation type="list" allowBlank="1" sqref="G21:J21" xr:uid="{00000000-0002-0000-0000-000000000000}">
      <formula1>"(Select), use department checklist, use 'Peer Review Checklist' sheet"</formula1>
    </dataValidation>
    <dataValidation type="list" allowBlank="1" sqref="G20:J20" xr:uid="{00000000-0002-0000-0000-000001000000}">
      <formula1>"(Select),Inspection,Team,Walk-through,Pass-around"</formula1>
    </dataValidation>
    <dataValidation type="list" allowBlank="1" sqref="G96" xr:uid="{00000000-0002-0000-0000-000002000000}">
      <formula1>"(Select),Issue,Q&amp;A"</formula1>
    </dataValidation>
    <dataValidation type="list" allowBlank="1" sqref="G8:Q10" xr:uid="{00000000-0002-0000-0000-000003000000}">
      <formula1>"(Select), Project planning process, Requirements development process, Functional design process, Detailed design process, Coding and debug process, Unit test process, Integration test process, System test process, -"</formula1>
    </dataValidation>
    <dataValidation type="list" allowBlank="1" showInputMessage="1" showErrorMessage="1" sqref="N20:T20" xr:uid="{00000000-0002-0000-0000-000004000000}">
      <formula1>"1st review,Re-review"</formula1>
    </dataValidation>
    <dataValidation type="list" allowBlank="1" sqref="O49:O96" xr:uid="{00000000-0002-0000-0000-000005000000}">
      <formula1>"(Select),Defect,Risk,Problem,AI"</formula1>
    </dataValidation>
    <dataValidation type="list" allowBlank="1" sqref="G49:G95" xr:uid="{00000000-0002-0000-0000-000006000000}">
      <formula1>"(Select),Issue,Q&amp;A,proceedings"</formula1>
    </dataValidation>
    <dataValidation type="list" allowBlank="1" sqref="V35:V45" xr:uid="{00000000-0002-0000-0000-000007000000}">
      <formula1>"(Select),Page,Line,Number"</formula1>
    </dataValidation>
  </dataValidations>
  <printOptions horizontalCentered="1"/>
  <pageMargins left="0.39370078740157483" right="0.39370078740157483" top="0.59055118110236227" bottom="0.39370078740157483" header="0.31496062992125984" footer="0.19685039370078741"/>
  <pageSetup paperSize="9" scale="60" fitToHeight="0" orientation="portrait" r:id="rId1"/>
  <headerFooter scaleWithDoc="0" alignWithMargins="0"/>
  <rowBreaks count="1" manualBreakCount="1">
    <brk id="68" max="26" man="1"/>
  </rowBreaks>
  <ignoredErrors>
    <ignoredError sqref="X38:X45 X35 X36" unlockedFormula="1"/>
  </ignoredErrors>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M89"/>
  <sheetViews>
    <sheetView tabSelected="1" topLeftCell="A39" zoomScale="70" zoomScaleNormal="70" workbookViewId="0">
      <selection activeCell="L55" sqref="L55"/>
    </sheetView>
  </sheetViews>
  <sheetFormatPr defaultRowHeight="12.75"/>
  <cols>
    <col min="1" max="1" width="1.21875" style="16" customWidth="1"/>
    <col min="2" max="2" width="6.109375" style="16" customWidth="1"/>
    <col min="3" max="3" width="11.44140625" style="31" customWidth="1"/>
    <col min="4" max="4" width="66.21875" style="31" customWidth="1"/>
    <col min="5" max="5" width="12.44140625" style="31" customWidth="1"/>
    <col min="6" max="6" width="9.44140625" style="51" customWidth="1"/>
    <col min="7" max="7" width="9.88671875" style="52" bestFit="1" customWidth="1"/>
    <col min="8" max="8" width="9.33203125" style="16" bestFit="1" customWidth="1"/>
    <col min="9" max="9" width="8.88671875" style="16" bestFit="1" customWidth="1"/>
    <col min="10" max="10" width="9.88671875" style="52" bestFit="1" customWidth="1"/>
    <col min="11" max="11" width="13.88671875" style="16" bestFit="1" customWidth="1"/>
    <col min="12" max="12" width="36.33203125" style="16" bestFit="1" customWidth="1"/>
    <col min="13" max="13" width="27" style="31" customWidth="1"/>
    <col min="14" max="256" width="9" style="16"/>
    <col min="257" max="257" width="1.21875" style="16" customWidth="1"/>
    <col min="258" max="258" width="6.109375" style="16" customWidth="1"/>
    <col min="259" max="259" width="11.44140625" style="16" customWidth="1"/>
    <col min="260" max="260" width="66.21875" style="16" customWidth="1"/>
    <col min="261" max="261" width="12.44140625" style="16" customWidth="1"/>
    <col min="262" max="267" width="9.44140625" style="16" customWidth="1"/>
    <col min="268" max="269" width="27" style="16" customWidth="1"/>
    <col min="270" max="512" width="9" style="16"/>
    <col min="513" max="513" width="1.21875" style="16" customWidth="1"/>
    <col min="514" max="514" width="6.109375" style="16" customWidth="1"/>
    <col min="515" max="515" width="11.44140625" style="16" customWidth="1"/>
    <col min="516" max="516" width="66.21875" style="16" customWidth="1"/>
    <col min="517" max="517" width="12.44140625" style="16" customWidth="1"/>
    <col min="518" max="523" width="9.44140625" style="16" customWidth="1"/>
    <col min="524" max="525" width="27" style="16" customWidth="1"/>
    <col min="526" max="768" width="9" style="16"/>
    <col min="769" max="769" width="1.21875" style="16" customWidth="1"/>
    <col min="770" max="770" width="6.109375" style="16" customWidth="1"/>
    <col min="771" max="771" width="11.44140625" style="16" customWidth="1"/>
    <col min="772" max="772" width="66.21875" style="16" customWidth="1"/>
    <col min="773" max="773" width="12.44140625" style="16" customWidth="1"/>
    <col min="774" max="779" width="9.44140625" style="16" customWidth="1"/>
    <col min="780" max="781" width="27" style="16" customWidth="1"/>
    <col min="782" max="1024" width="9" style="16"/>
    <col min="1025" max="1025" width="1.21875" style="16" customWidth="1"/>
    <col min="1026" max="1026" width="6.109375" style="16" customWidth="1"/>
    <col min="1027" max="1027" width="11.44140625" style="16" customWidth="1"/>
    <col min="1028" max="1028" width="66.21875" style="16" customWidth="1"/>
    <col min="1029" max="1029" width="12.44140625" style="16" customWidth="1"/>
    <col min="1030" max="1035" width="9.44140625" style="16" customWidth="1"/>
    <col min="1036" max="1037" width="27" style="16" customWidth="1"/>
    <col min="1038" max="1280" width="9" style="16"/>
    <col min="1281" max="1281" width="1.21875" style="16" customWidth="1"/>
    <col min="1282" max="1282" width="6.109375" style="16" customWidth="1"/>
    <col min="1283" max="1283" width="11.44140625" style="16" customWidth="1"/>
    <col min="1284" max="1284" width="66.21875" style="16" customWidth="1"/>
    <col min="1285" max="1285" width="12.44140625" style="16" customWidth="1"/>
    <col min="1286" max="1291" width="9.44140625" style="16" customWidth="1"/>
    <col min="1292" max="1293" width="27" style="16" customWidth="1"/>
    <col min="1294" max="1536" width="9" style="16"/>
    <col min="1537" max="1537" width="1.21875" style="16" customWidth="1"/>
    <col min="1538" max="1538" width="6.109375" style="16" customWidth="1"/>
    <col min="1539" max="1539" width="11.44140625" style="16" customWidth="1"/>
    <col min="1540" max="1540" width="66.21875" style="16" customWidth="1"/>
    <col min="1541" max="1541" width="12.44140625" style="16" customWidth="1"/>
    <col min="1542" max="1547" width="9.44140625" style="16" customWidth="1"/>
    <col min="1548" max="1549" width="27" style="16" customWidth="1"/>
    <col min="1550" max="1792" width="9" style="16"/>
    <col min="1793" max="1793" width="1.21875" style="16" customWidth="1"/>
    <col min="1794" max="1794" width="6.109375" style="16" customWidth="1"/>
    <col min="1795" max="1795" width="11.44140625" style="16" customWidth="1"/>
    <col min="1796" max="1796" width="66.21875" style="16" customWidth="1"/>
    <col min="1797" max="1797" width="12.44140625" style="16" customWidth="1"/>
    <col min="1798" max="1803" width="9.44140625" style="16" customWidth="1"/>
    <col min="1804" max="1805" width="27" style="16" customWidth="1"/>
    <col min="1806" max="2048" width="9" style="16"/>
    <col min="2049" max="2049" width="1.21875" style="16" customWidth="1"/>
    <col min="2050" max="2050" width="6.109375" style="16" customWidth="1"/>
    <col min="2051" max="2051" width="11.44140625" style="16" customWidth="1"/>
    <col min="2052" max="2052" width="66.21875" style="16" customWidth="1"/>
    <col min="2053" max="2053" width="12.44140625" style="16" customWidth="1"/>
    <col min="2054" max="2059" width="9.44140625" style="16" customWidth="1"/>
    <col min="2060" max="2061" width="27" style="16" customWidth="1"/>
    <col min="2062" max="2304" width="9" style="16"/>
    <col min="2305" max="2305" width="1.21875" style="16" customWidth="1"/>
    <col min="2306" max="2306" width="6.109375" style="16" customWidth="1"/>
    <col min="2307" max="2307" width="11.44140625" style="16" customWidth="1"/>
    <col min="2308" max="2308" width="66.21875" style="16" customWidth="1"/>
    <col min="2309" max="2309" width="12.44140625" style="16" customWidth="1"/>
    <col min="2310" max="2315" width="9.44140625" style="16" customWidth="1"/>
    <col min="2316" max="2317" width="27" style="16" customWidth="1"/>
    <col min="2318" max="2560" width="9" style="16"/>
    <col min="2561" max="2561" width="1.21875" style="16" customWidth="1"/>
    <col min="2562" max="2562" width="6.109375" style="16" customWidth="1"/>
    <col min="2563" max="2563" width="11.44140625" style="16" customWidth="1"/>
    <col min="2564" max="2564" width="66.21875" style="16" customWidth="1"/>
    <col min="2565" max="2565" width="12.44140625" style="16" customWidth="1"/>
    <col min="2566" max="2571" width="9.44140625" style="16" customWidth="1"/>
    <col min="2572" max="2573" width="27" style="16" customWidth="1"/>
    <col min="2574" max="2816" width="9" style="16"/>
    <col min="2817" max="2817" width="1.21875" style="16" customWidth="1"/>
    <col min="2818" max="2818" width="6.109375" style="16" customWidth="1"/>
    <col min="2819" max="2819" width="11.44140625" style="16" customWidth="1"/>
    <col min="2820" max="2820" width="66.21875" style="16" customWidth="1"/>
    <col min="2821" max="2821" width="12.44140625" style="16" customWidth="1"/>
    <col min="2822" max="2827" width="9.44140625" style="16" customWidth="1"/>
    <col min="2828" max="2829" width="27" style="16" customWidth="1"/>
    <col min="2830" max="3072" width="9" style="16"/>
    <col min="3073" max="3073" width="1.21875" style="16" customWidth="1"/>
    <col min="3074" max="3074" width="6.109375" style="16" customWidth="1"/>
    <col min="3075" max="3075" width="11.44140625" style="16" customWidth="1"/>
    <col min="3076" max="3076" width="66.21875" style="16" customWidth="1"/>
    <col min="3077" max="3077" width="12.44140625" style="16" customWidth="1"/>
    <col min="3078" max="3083" width="9.44140625" style="16" customWidth="1"/>
    <col min="3084" max="3085" width="27" style="16" customWidth="1"/>
    <col min="3086" max="3328" width="9" style="16"/>
    <col min="3329" max="3329" width="1.21875" style="16" customWidth="1"/>
    <col min="3330" max="3330" width="6.109375" style="16" customWidth="1"/>
    <col min="3331" max="3331" width="11.44140625" style="16" customWidth="1"/>
    <col min="3332" max="3332" width="66.21875" style="16" customWidth="1"/>
    <col min="3333" max="3333" width="12.44140625" style="16" customWidth="1"/>
    <col min="3334" max="3339" width="9.44140625" style="16" customWidth="1"/>
    <col min="3340" max="3341" width="27" style="16" customWidth="1"/>
    <col min="3342" max="3584" width="9" style="16"/>
    <col min="3585" max="3585" width="1.21875" style="16" customWidth="1"/>
    <col min="3586" max="3586" width="6.109375" style="16" customWidth="1"/>
    <col min="3587" max="3587" width="11.44140625" style="16" customWidth="1"/>
    <col min="3588" max="3588" width="66.21875" style="16" customWidth="1"/>
    <col min="3589" max="3589" width="12.44140625" style="16" customWidth="1"/>
    <col min="3590" max="3595" width="9.44140625" style="16" customWidth="1"/>
    <col min="3596" max="3597" width="27" style="16" customWidth="1"/>
    <col min="3598" max="3840" width="9" style="16"/>
    <col min="3841" max="3841" width="1.21875" style="16" customWidth="1"/>
    <col min="3842" max="3842" width="6.109375" style="16" customWidth="1"/>
    <col min="3843" max="3843" width="11.44140625" style="16" customWidth="1"/>
    <col min="3844" max="3844" width="66.21875" style="16" customWidth="1"/>
    <col min="3845" max="3845" width="12.44140625" style="16" customWidth="1"/>
    <col min="3846" max="3851" width="9.44140625" style="16" customWidth="1"/>
    <col min="3852" max="3853" width="27" style="16" customWidth="1"/>
    <col min="3854" max="4096" width="9" style="16"/>
    <col min="4097" max="4097" width="1.21875" style="16" customWidth="1"/>
    <col min="4098" max="4098" width="6.109375" style="16" customWidth="1"/>
    <col min="4099" max="4099" width="11.44140625" style="16" customWidth="1"/>
    <col min="4100" max="4100" width="66.21875" style="16" customWidth="1"/>
    <col min="4101" max="4101" width="12.44140625" style="16" customWidth="1"/>
    <col min="4102" max="4107" width="9.44140625" style="16" customWidth="1"/>
    <col min="4108" max="4109" width="27" style="16" customWidth="1"/>
    <col min="4110" max="4352" width="9" style="16"/>
    <col min="4353" max="4353" width="1.21875" style="16" customWidth="1"/>
    <col min="4354" max="4354" width="6.109375" style="16" customWidth="1"/>
    <col min="4355" max="4355" width="11.44140625" style="16" customWidth="1"/>
    <col min="4356" max="4356" width="66.21875" style="16" customWidth="1"/>
    <col min="4357" max="4357" width="12.44140625" style="16" customWidth="1"/>
    <col min="4358" max="4363" width="9.44140625" style="16" customWidth="1"/>
    <col min="4364" max="4365" width="27" style="16" customWidth="1"/>
    <col min="4366" max="4608" width="9" style="16"/>
    <col min="4609" max="4609" width="1.21875" style="16" customWidth="1"/>
    <col min="4610" max="4610" width="6.109375" style="16" customWidth="1"/>
    <col min="4611" max="4611" width="11.44140625" style="16" customWidth="1"/>
    <col min="4612" max="4612" width="66.21875" style="16" customWidth="1"/>
    <col min="4613" max="4613" width="12.44140625" style="16" customWidth="1"/>
    <col min="4614" max="4619" width="9.44140625" style="16" customWidth="1"/>
    <col min="4620" max="4621" width="27" style="16" customWidth="1"/>
    <col min="4622" max="4864" width="9" style="16"/>
    <col min="4865" max="4865" width="1.21875" style="16" customWidth="1"/>
    <col min="4866" max="4866" width="6.109375" style="16" customWidth="1"/>
    <col min="4867" max="4867" width="11.44140625" style="16" customWidth="1"/>
    <col min="4868" max="4868" width="66.21875" style="16" customWidth="1"/>
    <col min="4869" max="4869" width="12.44140625" style="16" customWidth="1"/>
    <col min="4870" max="4875" width="9.44140625" style="16" customWidth="1"/>
    <col min="4876" max="4877" width="27" style="16" customWidth="1"/>
    <col min="4878" max="5120" width="9" style="16"/>
    <col min="5121" max="5121" width="1.21875" style="16" customWidth="1"/>
    <col min="5122" max="5122" width="6.109375" style="16" customWidth="1"/>
    <col min="5123" max="5123" width="11.44140625" style="16" customWidth="1"/>
    <col min="5124" max="5124" width="66.21875" style="16" customWidth="1"/>
    <col min="5125" max="5125" width="12.44140625" style="16" customWidth="1"/>
    <col min="5126" max="5131" width="9.44140625" style="16" customWidth="1"/>
    <col min="5132" max="5133" width="27" style="16" customWidth="1"/>
    <col min="5134" max="5376" width="9" style="16"/>
    <col min="5377" max="5377" width="1.21875" style="16" customWidth="1"/>
    <col min="5378" max="5378" width="6.109375" style="16" customWidth="1"/>
    <col min="5379" max="5379" width="11.44140625" style="16" customWidth="1"/>
    <col min="5380" max="5380" width="66.21875" style="16" customWidth="1"/>
    <col min="5381" max="5381" width="12.44140625" style="16" customWidth="1"/>
    <col min="5382" max="5387" width="9.44140625" style="16" customWidth="1"/>
    <col min="5388" max="5389" width="27" style="16" customWidth="1"/>
    <col min="5390" max="5632" width="9" style="16"/>
    <col min="5633" max="5633" width="1.21875" style="16" customWidth="1"/>
    <col min="5634" max="5634" width="6.109375" style="16" customWidth="1"/>
    <col min="5635" max="5635" width="11.44140625" style="16" customWidth="1"/>
    <col min="5636" max="5636" width="66.21875" style="16" customWidth="1"/>
    <col min="5637" max="5637" width="12.44140625" style="16" customWidth="1"/>
    <col min="5638" max="5643" width="9.44140625" style="16" customWidth="1"/>
    <col min="5644" max="5645" width="27" style="16" customWidth="1"/>
    <col min="5646" max="5888" width="9" style="16"/>
    <col min="5889" max="5889" width="1.21875" style="16" customWidth="1"/>
    <col min="5890" max="5890" width="6.109375" style="16" customWidth="1"/>
    <col min="5891" max="5891" width="11.44140625" style="16" customWidth="1"/>
    <col min="5892" max="5892" width="66.21875" style="16" customWidth="1"/>
    <col min="5893" max="5893" width="12.44140625" style="16" customWidth="1"/>
    <col min="5894" max="5899" width="9.44140625" style="16" customWidth="1"/>
    <col min="5900" max="5901" width="27" style="16" customWidth="1"/>
    <col min="5902" max="6144" width="9" style="16"/>
    <col min="6145" max="6145" width="1.21875" style="16" customWidth="1"/>
    <col min="6146" max="6146" width="6.109375" style="16" customWidth="1"/>
    <col min="6147" max="6147" width="11.44140625" style="16" customWidth="1"/>
    <col min="6148" max="6148" width="66.21875" style="16" customWidth="1"/>
    <col min="6149" max="6149" width="12.44140625" style="16" customWidth="1"/>
    <col min="6150" max="6155" width="9.44140625" style="16" customWidth="1"/>
    <col min="6156" max="6157" width="27" style="16" customWidth="1"/>
    <col min="6158" max="6400" width="9" style="16"/>
    <col min="6401" max="6401" width="1.21875" style="16" customWidth="1"/>
    <col min="6402" max="6402" width="6.109375" style="16" customWidth="1"/>
    <col min="6403" max="6403" width="11.44140625" style="16" customWidth="1"/>
    <col min="6404" max="6404" width="66.21875" style="16" customWidth="1"/>
    <col min="6405" max="6405" width="12.44140625" style="16" customWidth="1"/>
    <col min="6406" max="6411" width="9.44140625" style="16" customWidth="1"/>
    <col min="6412" max="6413" width="27" style="16" customWidth="1"/>
    <col min="6414" max="6656" width="9" style="16"/>
    <col min="6657" max="6657" width="1.21875" style="16" customWidth="1"/>
    <col min="6658" max="6658" width="6.109375" style="16" customWidth="1"/>
    <col min="6659" max="6659" width="11.44140625" style="16" customWidth="1"/>
    <col min="6660" max="6660" width="66.21875" style="16" customWidth="1"/>
    <col min="6661" max="6661" width="12.44140625" style="16" customWidth="1"/>
    <col min="6662" max="6667" width="9.44140625" style="16" customWidth="1"/>
    <col min="6668" max="6669" width="27" style="16" customWidth="1"/>
    <col min="6670" max="6912" width="9" style="16"/>
    <col min="6913" max="6913" width="1.21875" style="16" customWidth="1"/>
    <col min="6914" max="6914" width="6.109375" style="16" customWidth="1"/>
    <col min="6915" max="6915" width="11.44140625" style="16" customWidth="1"/>
    <col min="6916" max="6916" width="66.21875" style="16" customWidth="1"/>
    <col min="6917" max="6917" width="12.44140625" style="16" customWidth="1"/>
    <col min="6918" max="6923" width="9.44140625" style="16" customWidth="1"/>
    <col min="6924" max="6925" width="27" style="16" customWidth="1"/>
    <col min="6926" max="7168" width="9" style="16"/>
    <col min="7169" max="7169" width="1.21875" style="16" customWidth="1"/>
    <col min="7170" max="7170" width="6.109375" style="16" customWidth="1"/>
    <col min="7171" max="7171" width="11.44140625" style="16" customWidth="1"/>
    <col min="7172" max="7172" width="66.21875" style="16" customWidth="1"/>
    <col min="7173" max="7173" width="12.44140625" style="16" customWidth="1"/>
    <col min="7174" max="7179" width="9.44140625" style="16" customWidth="1"/>
    <col min="7180" max="7181" width="27" style="16" customWidth="1"/>
    <col min="7182" max="7424" width="9" style="16"/>
    <col min="7425" max="7425" width="1.21875" style="16" customWidth="1"/>
    <col min="7426" max="7426" width="6.109375" style="16" customWidth="1"/>
    <col min="7427" max="7427" width="11.44140625" style="16" customWidth="1"/>
    <col min="7428" max="7428" width="66.21875" style="16" customWidth="1"/>
    <col min="7429" max="7429" width="12.44140625" style="16" customWidth="1"/>
    <col min="7430" max="7435" width="9.44140625" style="16" customWidth="1"/>
    <col min="7436" max="7437" width="27" style="16" customWidth="1"/>
    <col min="7438" max="7680" width="9" style="16"/>
    <col min="7681" max="7681" width="1.21875" style="16" customWidth="1"/>
    <col min="7682" max="7682" width="6.109375" style="16" customWidth="1"/>
    <col min="7683" max="7683" width="11.44140625" style="16" customWidth="1"/>
    <col min="7684" max="7684" width="66.21875" style="16" customWidth="1"/>
    <col min="7685" max="7685" width="12.44140625" style="16" customWidth="1"/>
    <col min="7686" max="7691" width="9.44140625" style="16" customWidth="1"/>
    <col min="7692" max="7693" width="27" style="16" customWidth="1"/>
    <col min="7694" max="7936" width="9" style="16"/>
    <col min="7937" max="7937" width="1.21875" style="16" customWidth="1"/>
    <col min="7938" max="7938" width="6.109375" style="16" customWidth="1"/>
    <col min="7939" max="7939" width="11.44140625" style="16" customWidth="1"/>
    <col min="7940" max="7940" width="66.21875" style="16" customWidth="1"/>
    <col min="7941" max="7941" width="12.44140625" style="16" customWidth="1"/>
    <col min="7942" max="7947" width="9.44140625" style="16" customWidth="1"/>
    <col min="7948" max="7949" width="27" style="16" customWidth="1"/>
    <col min="7950" max="8192" width="9" style="16"/>
    <col min="8193" max="8193" width="1.21875" style="16" customWidth="1"/>
    <col min="8194" max="8194" width="6.109375" style="16" customWidth="1"/>
    <col min="8195" max="8195" width="11.44140625" style="16" customWidth="1"/>
    <col min="8196" max="8196" width="66.21875" style="16" customWidth="1"/>
    <col min="8197" max="8197" width="12.44140625" style="16" customWidth="1"/>
    <col min="8198" max="8203" width="9.44140625" style="16" customWidth="1"/>
    <col min="8204" max="8205" width="27" style="16" customWidth="1"/>
    <col min="8206" max="8448" width="9" style="16"/>
    <col min="8449" max="8449" width="1.21875" style="16" customWidth="1"/>
    <col min="8450" max="8450" width="6.109375" style="16" customWidth="1"/>
    <col min="8451" max="8451" width="11.44140625" style="16" customWidth="1"/>
    <col min="8452" max="8452" width="66.21875" style="16" customWidth="1"/>
    <col min="8453" max="8453" width="12.44140625" style="16" customWidth="1"/>
    <col min="8454" max="8459" width="9.44140625" style="16" customWidth="1"/>
    <col min="8460" max="8461" width="27" style="16" customWidth="1"/>
    <col min="8462" max="8704" width="9" style="16"/>
    <col min="8705" max="8705" width="1.21875" style="16" customWidth="1"/>
    <col min="8706" max="8706" width="6.109375" style="16" customWidth="1"/>
    <col min="8707" max="8707" width="11.44140625" style="16" customWidth="1"/>
    <col min="8708" max="8708" width="66.21875" style="16" customWidth="1"/>
    <col min="8709" max="8709" width="12.44140625" style="16" customWidth="1"/>
    <col min="8710" max="8715" width="9.44140625" style="16" customWidth="1"/>
    <col min="8716" max="8717" width="27" style="16" customWidth="1"/>
    <col min="8718" max="8960" width="9" style="16"/>
    <col min="8961" max="8961" width="1.21875" style="16" customWidth="1"/>
    <col min="8962" max="8962" width="6.109375" style="16" customWidth="1"/>
    <col min="8963" max="8963" width="11.44140625" style="16" customWidth="1"/>
    <col min="8964" max="8964" width="66.21875" style="16" customWidth="1"/>
    <col min="8965" max="8965" width="12.44140625" style="16" customWidth="1"/>
    <col min="8966" max="8971" width="9.44140625" style="16" customWidth="1"/>
    <col min="8972" max="8973" width="27" style="16" customWidth="1"/>
    <col min="8974" max="9216" width="9" style="16"/>
    <col min="9217" max="9217" width="1.21875" style="16" customWidth="1"/>
    <col min="9218" max="9218" width="6.109375" style="16" customWidth="1"/>
    <col min="9219" max="9219" width="11.44140625" style="16" customWidth="1"/>
    <col min="9220" max="9220" width="66.21875" style="16" customWidth="1"/>
    <col min="9221" max="9221" width="12.44140625" style="16" customWidth="1"/>
    <col min="9222" max="9227" width="9.44140625" style="16" customWidth="1"/>
    <col min="9228" max="9229" width="27" style="16" customWidth="1"/>
    <col min="9230" max="9472" width="9" style="16"/>
    <col min="9473" max="9473" width="1.21875" style="16" customWidth="1"/>
    <col min="9474" max="9474" width="6.109375" style="16" customWidth="1"/>
    <col min="9475" max="9475" width="11.44140625" style="16" customWidth="1"/>
    <col min="9476" max="9476" width="66.21875" style="16" customWidth="1"/>
    <col min="9477" max="9477" width="12.44140625" style="16" customWidth="1"/>
    <col min="9478" max="9483" width="9.44140625" style="16" customWidth="1"/>
    <col min="9484" max="9485" width="27" style="16" customWidth="1"/>
    <col min="9486" max="9728" width="9" style="16"/>
    <col min="9729" max="9729" width="1.21875" style="16" customWidth="1"/>
    <col min="9730" max="9730" width="6.109375" style="16" customWidth="1"/>
    <col min="9731" max="9731" width="11.44140625" style="16" customWidth="1"/>
    <col min="9732" max="9732" width="66.21875" style="16" customWidth="1"/>
    <col min="9733" max="9733" width="12.44140625" style="16" customWidth="1"/>
    <col min="9734" max="9739" width="9.44140625" style="16" customWidth="1"/>
    <col min="9740" max="9741" width="27" style="16" customWidth="1"/>
    <col min="9742" max="9984" width="9" style="16"/>
    <col min="9985" max="9985" width="1.21875" style="16" customWidth="1"/>
    <col min="9986" max="9986" width="6.109375" style="16" customWidth="1"/>
    <col min="9987" max="9987" width="11.44140625" style="16" customWidth="1"/>
    <col min="9988" max="9988" width="66.21875" style="16" customWidth="1"/>
    <col min="9989" max="9989" width="12.44140625" style="16" customWidth="1"/>
    <col min="9990" max="9995" width="9.44140625" style="16" customWidth="1"/>
    <col min="9996" max="9997" width="27" style="16" customWidth="1"/>
    <col min="9998" max="10240" width="9" style="16"/>
    <col min="10241" max="10241" width="1.21875" style="16" customWidth="1"/>
    <col min="10242" max="10242" width="6.109375" style="16" customWidth="1"/>
    <col min="10243" max="10243" width="11.44140625" style="16" customWidth="1"/>
    <col min="10244" max="10244" width="66.21875" style="16" customWidth="1"/>
    <col min="10245" max="10245" width="12.44140625" style="16" customWidth="1"/>
    <col min="10246" max="10251" width="9.44140625" style="16" customWidth="1"/>
    <col min="10252" max="10253" width="27" style="16" customWidth="1"/>
    <col min="10254" max="10496" width="9" style="16"/>
    <col min="10497" max="10497" width="1.21875" style="16" customWidth="1"/>
    <col min="10498" max="10498" width="6.109375" style="16" customWidth="1"/>
    <col min="10499" max="10499" width="11.44140625" style="16" customWidth="1"/>
    <col min="10500" max="10500" width="66.21875" style="16" customWidth="1"/>
    <col min="10501" max="10501" width="12.44140625" style="16" customWidth="1"/>
    <col min="10502" max="10507" width="9.44140625" style="16" customWidth="1"/>
    <col min="10508" max="10509" width="27" style="16" customWidth="1"/>
    <col min="10510" max="10752" width="9" style="16"/>
    <col min="10753" max="10753" width="1.21875" style="16" customWidth="1"/>
    <col min="10754" max="10754" width="6.109375" style="16" customWidth="1"/>
    <col min="10755" max="10755" width="11.44140625" style="16" customWidth="1"/>
    <col min="10756" max="10756" width="66.21875" style="16" customWidth="1"/>
    <col min="10757" max="10757" width="12.44140625" style="16" customWidth="1"/>
    <col min="10758" max="10763" width="9.44140625" style="16" customWidth="1"/>
    <col min="10764" max="10765" width="27" style="16" customWidth="1"/>
    <col min="10766" max="11008" width="9" style="16"/>
    <col min="11009" max="11009" width="1.21875" style="16" customWidth="1"/>
    <col min="11010" max="11010" width="6.109375" style="16" customWidth="1"/>
    <col min="11011" max="11011" width="11.44140625" style="16" customWidth="1"/>
    <col min="11012" max="11012" width="66.21875" style="16" customWidth="1"/>
    <col min="11013" max="11013" width="12.44140625" style="16" customWidth="1"/>
    <col min="11014" max="11019" width="9.44140625" style="16" customWidth="1"/>
    <col min="11020" max="11021" width="27" style="16" customWidth="1"/>
    <col min="11022" max="11264" width="9" style="16"/>
    <col min="11265" max="11265" width="1.21875" style="16" customWidth="1"/>
    <col min="11266" max="11266" width="6.109375" style="16" customWidth="1"/>
    <col min="11267" max="11267" width="11.44140625" style="16" customWidth="1"/>
    <col min="11268" max="11268" width="66.21875" style="16" customWidth="1"/>
    <col min="11269" max="11269" width="12.44140625" style="16" customWidth="1"/>
    <col min="11270" max="11275" width="9.44140625" style="16" customWidth="1"/>
    <col min="11276" max="11277" width="27" style="16" customWidth="1"/>
    <col min="11278" max="11520" width="9" style="16"/>
    <col min="11521" max="11521" width="1.21875" style="16" customWidth="1"/>
    <col min="11522" max="11522" width="6.109375" style="16" customWidth="1"/>
    <col min="11523" max="11523" width="11.44140625" style="16" customWidth="1"/>
    <col min="11524" max="11524" width="66.21875" style="16" customWidth="1"/>
    <col min="11525" max="11525" width="12.44140625" style="16" customWidth="1"/>
    <col min="11526" max="11531" width="9.44140625" style="16" customWidth="1"/>
    <col min="11532" max="11533" width="27" style="16" customWidth="1"/>
    <col min="11534" max="11776" width="9" style="16"/>
    <col min="11777" max="11777" width="1.21875" style="16" customWidth="1"/>
    <col min="11778" max="11778" width="6.109375" style="16" customWidth="1"/>
    <col min="11779" max="11779" width="11.44140625" style="16" customWidth="1"/>
    <col min="11780" max="11780" width="66.21875" style="16" customWidth="1"/>
    <col min="11781" max="11781" width="12.44140625" style="16" customWidth="1"/>
    <col min="11782" max="11787" width="9.44140625" style="16" customWidth="1"/>
    <col min="11788" max="11789" width="27" style="16" customWidth="1"/>
    <col min="11790" max="12032" width="9" style="16"/>
    <col min="12033" max="12033" width="1.21875" style="16" customWidth="1"/>
    <col min="12034" max="12034" width="6.109375" style="16" customWidth="1"/>
    <col min="12035" max="12035" width="11.44140625" style="16" customWidth="1"/>
    <col min="12036" max="12036" width="66.21875" style="16" customWidth="1"/>
    <col min="12037" max="12037" width="12.44140625" style="16" customWidth="1"/>
    <col min="12038" max="12043" width="9.44140625" style="16" customWidth="1"/>
    <col min="12044" max="12045" width="27" style="16" customWidth="1"/>
    <col min="12046" max="12288" width="9" style="16"/>
    <col min="12289" max="12289" width="1.21875" style="16" customWidth="1"/>
    <col min="12290" max="12290" width="6.109375" style="16" customWidth="1"/>
    <col min="12291" max="12291" width="11.44140625" style="16" customWidth="1"/>
    <col min="12292" max="12292" width="66.21875" style="16" customWidth="1"/>
    <col min="12293" max="12293" width="12.44140625" style="16" customWidth="1"/>
    <col min="12294" max="12299" width="9.44140625" style="16" customWidth="1"/>
    <col min="12300" max="12301" width="27" style="16" customWidth="1"/>
    <col min="12302" max="12544" width="9" style="16"/>
    <col min="12545" max="12545" width="1.21875" style="16" customWidth="1"/>
    <col min="12546" max="12546" width="6.109375" style="16" customWidth="1"/>
    <col min="12547" max="12547" width="11.44140625" style="16" customWidth="1"/>
    <col min="12548" max="12548" width="66.21875" style="16" customWidth="1"/>
    <col min="12549" max="12549" width="12.44140625" style="16" customWidth="1"/>
    <col min="12550" max="12555" width="9.44140625" style="16" customWidth="1"/>
    <col min="12556" max="12557" width="27" style="16" customWidth="1"/>
    <col min="12558" max="12800" width="9" style="16"/>
    <col min="12801" max="12801" width="1.21875" style="16" customWidth="1"/>
    <col min="12802" max="12802" width="6.109375" style="16" customWidth="1"/>
    <col min="12803" max="12803" width="11.44140625" style="16" customWidth="1"/>
    <col min="12804" max="12804" width="66.21875" style="16" customWidth="1"/>
    <col min="12805" max="12805" width="12.44140625" style="16" customWidth="1"/>
    <col min="12806" max="12811" width="9.44140625" style="16" customWidth="1"/>
    <col min="12812" max="12813" width="27" style="16" customWidth="1"/>
    <col min="12814" max="13056" width="9" style="16"/>
    <col min="13057" max="13057" width="1.21875" style="16" customWidth="1"/>
    <col min="13058" max="13058" width="6.109375" style="16" customWidth="1"/>
    <col min="13059" max="13059" width="11.44140625" style="16" customWidth="1"/>
    <col min="13060" max="13060" width="66.21875" style="16" customWidth="1"/>
    <col min="13061" max="13061" width="12.44140625" style="16" customWidth="1"/>
    <col min="13062" max="13067" width="9.44140625" style="16" customWidth="1"/>
    <col min="13068" max="13069" width="27" style="16" customWidth="1"/>
    <col min="13070" max="13312" width="9" style="16"/>
    <col min="13313" max="13313" width="1.21875" style="16" customWidth="1"/>
    <col min="13314" max="13314" width="6.109375" style="16" customWidth="1"/>
    <col min="13315" max="13315" width="11.44140625" style="16" customWidth="1"/>
    <col min="13316" max="13316" width="66.21875" style="16" customWidth="1"/>
    <col min="13317" max="13317" width="12.44140625" style="16" customWidth="1"/>
    <col min="13318" max="13323" width="9.44140625" style="16" customWidth="1"/>
    <col min="13324" max="13325" width="27" style="16" customWidth="1"/>
    <col min="13326" max="13568" width="9" style="16"/>
    <col min="13569" max="13569" width="1.21875" style="16" customWidth="1"/>
    <col min="13570" max="13570" width="6.109375" style="16" customWidth="1"/>
    <col min="13571" max="13571" width="11.44140625" style="16" customWidth="1"/>
    <col min="13572" max="13572" width="66.21875" style="16" customWidth="1"/>
    <col min="13573" max="13573" width="12.44140625" style="16" customWidth="1"/>
    <col min="13574" max="13579" width="9.44140625" style="16" customWidth="1"/>
    <col min="13580" max="13581" width="27" style="16" customWidth="1"/>
    <col min="13582" max="13824" width="9" style="16"/>
    <col min="13825" max="13825" width="1.21875" style="16" customWidth="1"/>
    <col min="13826" max="13826" width="6.109375" style="16" customWidth="1"/>
    <col min="13827" max="13827" width="11.44140625" style="16" customWidth="1"/>
    <col min="13828" max="13828" width="66.21875" style="16" customWidth="1"/>
    <col min="13829" max="13829" width="12.44140625" style="16" customWidth="1"/>
    <col min="13830" max="13835" width="9.44140625" style="16" customWidth="1"/>
    <col min="13836" max="13837" width="27" style="16" customWidth="1"/>
    <col min="13838" max="14080" width="9" style="16"/>
    <col min="14081" max="14081" width="1.21875" style="16" customWidth="1"/>
    <col min="14082" max="14082" width="6.109375" style="16" customWidth="1"/>
    <col min="14083" max="14083" width="11.44140625" style="16" customWidth="1"/>
    <col min="14084" max="14084" width="66.21875" style="16" customWidth="1"/>
    <col min="14085" max="14085" width="12.44140625" style="16" customWidth="1"/>
    <col min="14086" max="14091" width="9.44140625" style="16" customWidth="1"/>
    <col min="14092" max="14093" width="27" style="16" customWidth="1"/>
    <col min="14094" max="14336" width="9" style="16"/>
    <col min="14337" max="14337" width="1.21875" style="16" customWidth="1"/>
    <col min="14338" max="14338" width="6.109375" style="16" customWidth="1"/>
    <col min="14339" max="14339" width="11.44140625" style="16" customWidth="1"/>
    <col min="14340" max="14340" width="66.21875" style="16" customWidth="1"/>
    <col min="14341" max="14341" width="12.44140625" style="16" customWidth="1"/>
    <col min="14342" max="14347" width="9.44140625" style="16" customWidth="1"/>
    <col min="14348" max="14349" width="27" style="16" customWidth="1"/>
    <col min="14350" max="14592" width="9" style="16"/>
    <col min="14593" max="14593" width="1.21875" style="16" customWidth="1"/>
    <col min="14594" max="14594" width="6.109375" style="16" customWidth="1"/>
    <col min="14595" max="14595" width="11.44140625" style="16" customWidth="1"/>
    <col min="14596" max="14596" width="66.21875" style="16" customWidth="1"/>
    <col min="14597" max="14597" width="12.44140625" style="16" customWidth="1"/>
    <col min="14598" max="14603" width="9.44140625" style="16" customWidth="1"/>
    <col min="14604" max="14605" width="27" style="16" customWidth="1"/>
    <col min="14606" max="14848" width="9" style="16"/>
    <col min="14849" max="14849" width="1.21875" style="16" customWidth="1"/>
    <col min="14850" max="14850" width="6.109375" style="16" customWidth="1"/>
    <col min="14851" max="14851" width="11.44140625" style="16" customWidth="1"/>
    <col min="14852" max="14852" width="66.21875" style="16" customWidth="1"/>
    <col min="14853" max="14853" width="12.44140625" style="16" customWidth="1"/>
    <col min="14854" max="14859" width="9.44140625" style="16" customWidth="1"/>
    <col min="14860" max="14861" width="27" style="16" customWidth="1"/>
    <col min="14862" max="15104" width="9" style="16"/>
    <col min="15105" max="15105" width="1.21875" style="16" customWidth="1"/>
    <col min="15106" max="15106" width="6.109375" style="16" customWidth="1"/>
    <col min="15107" max="15107" width="11.44140625" style="16" customWidth="1"/>
    <col min="15108" max="15108" width="66.21875" style="16" customWidth="1"/>
    <col min="15109" max="15109" width="12.44140625" style="16" customWidth="1"/>
    <col min="15110" max="15115" width="9.44140625" style="16" customWidth="1"/>
    <col min="15116" max="15117" width="27" style="16" customWidth="1"/>
    <col min="15118" max="15360" width="9" style="16"/>
    <col min="15361" max="15361" width="1.21875" style="16" customWidth="1"/>
    <col min="15362" max="15362" width="6.109375" style="16" customWidth="1"/>
    <col min="15363" max="15363" width="11.44140625" style="16" customWidth="1"/>
    <col min="15364" max="15364" width="66.21875" style="16" customWidth="1"/>
    <col min="15365" max="15365" width="12.44140625" style="16" customWidth="1"/>
    <col min="15366" max="15371" width="9.44140625" style="16" customWidth="1"/>
    <col min="15372" max="15373" width="27" style="16" customWidth="1"/>
    <col min="15374" max="15616" width="9" style="16"/>
    <col min="15617" max="15617" width="1.21875" style="16" customWidth="1"/>
    <col min="15618" max="15618" width="6.109375" style="16" customWidth="1"/>
    <col min="15619" max="15619" width="11.44140625" style="16" customWidth="1"/>
    <col min="15620" max="15620" width="66.21875" style="16" customWidth="1"/>
    <col min="15621" max="15621" width="12.44140625" style="16" customWidth="1"/>
    <col min="15622" max="15627" width="9.44140625" style="16" customWidth="1"/>
    <col min="15628" max="15629" width="27" style="16" customWidth="1"/>
    <col min="15630" max="15872" width="9" style="16"/>
    <col min="15873" max="15873" width="1.21875" style="16" customWidth="1"/>
    <col min="15874" max="15874" width="6.109375" style="16" customWidth="1"/>
    <col min="15875" max="15875" width="11.44140625" style="16" customWidth="1"/>
    <col min="15876" max="15876" width="66.21875" style="16" customWidth="1"/>
    <col min="15877" max="15877" width="12.44140625" style="16" customWidth="1"/>
    <col min="15878" max="15883" width="9.44140625" style="16" customWidth="1"/>
    <col min="15884" max="15885" width="27" style="16" customWidth="1"/>
    <col min="15886" max="16128" width="9" style="16"/>
    <col min="16129" max="16129" width="1.21875" style="16" customWidth="1"/>
    <col min="16130" max="16130" width="6.109375" style="16" customWidth="1"/>
    <col min="16131" max="16131" width="11.44140625" style="16" customWidth="1"/>
    <col min="16132" max="16132" width="66.21875" style="16" customWidth="1"/>
    <col min="16133" max="16133" width="12.44140625" style="16" customWidth="1"/>
    <col min="16134" max="16139" width="9.44140625" style="16" customWidth="1"/>
    <col min="16140" max="16141" width="27" style="16" customWidth="1"/>
    <col min="16142" max="16384" width="9" style="16"/>
  </cols>
  <sheetData>
    <row r="2" spans="1:13" ht="18">
      <c r="B2" s="50" t="s">
        <v>99</v>
      </c>
      <c r="E2" s="163" t="s">
        <v>481</v>
      </c>
    </row>
    <row r="3" spans="1:13">
      <c r="B3" s="53"/>
    </row>
    <row r="4" spans="1:13">
      <c r="B4" s="54" t="s">
        <v>100</v>
      </c>
    </row>
    <row r="5" spans="1:13" ht="13.5" thickBot="1"/>
    <row r="6" spans="1:13" s="54" customFormat="1" ht="13.9" customHeight="1">
      <c r="B6" s="394" t="s">
        <v>482</v>
      </c>
      <c r="C6" s="395"/>
      <c r="D6" s="398" t="s">
        <v>532</v>
      </c>
      <c r="E6" s="400" t="s">
        <v>483</v>
      </c>
      <c r="F6" s="401"/>
      <c r="G6" s="404" t="s">
        <v>516</v>
      </c>
      <c r="H6" s="405"/>
      <c r="I6" s="405"/>
      <c r="J6" s="405"/>
      <c r="K6" s="406"/>
      <c r="L6" s="55"/>
      <c r="M6" s="90"/>
    </row>
    <row r="7" spans="1:13" s="54" customFormat="1" ht="14.25" customHeight="1" thickBot="1">
      <c r="B7" s="396"/>
      <c r="C7" s="397"/>
      <c r="D7" s="399"/>
      <c r="E7" s="402"/>
      <c r="F7" s="403"/>
      <c r="G7" s="407"/>
      <c r="H7" s="408"/>
      <c r="I7" s="408"/>
      <c r="J7" s="408"/>
      <c r="K7" s="409"/>
      <c r="L7" s="55"/>
      <c r="M7" s="90"/>
    </row>
    <row r="8" spans="1:13" s="54" customFormat="1" ht="14.25" customHeight="1" thickBot="1">
      <c r="B8" s="410" t="s">
        <v>484</v>
      </c>
      <c r="C8" s="411"/>
      <c r="D8" s="56" t="s">
        <v>245</v>
      </c>
      <c r="E8" s="412" t="s">
        <v>485</v>
      </c>
      <c r="F8" s="413"/>
      <c r="G8" s="416" t="s">
        <v>540</v>
      </c>
      <c r="H8" s="417"/>
      <c r="I8" s="417"/>
      <c r="J8" s="417"/>
      <c r="K8" s="418"/>
      <c r="L8" s="55"/>
      <c r="M8" s="90"/>
    </row>
    <row r="9" spans="1:13" s="54" customFormat="1" ht="14.25" customHeight="1" thickBot="1">
      <c r="B9" s="410" t="s">
        <v>486</v>
      </c>
      <c r="C9" s="411"/>
      <c r="D9" s="142" t="s">
        <v>530</v>
      </c>
      <c r="E9" s="414"/>
      <c r="F9" s="415"/>
      <c r="G9" s="419"/>
      <c r="H9" s="420"/>
      <c r="I9" s="420"/>
      <c r="J9" s="420"/>
      <c r="K9" s="421"/>
      <c r="L9" s="55"/>
      <c r="M9" s="90"/>
    </row>
    <row r="10" spans="1:13" s="54" customFormat="1" ht="13.5" thickBot="1">
      <c r="B10" s="57"/>
      <c r="C10" s="58"/>
      <c r="D10" s="59"/>
      <c r="E10" s="57"/>
      <c r="F10" s="55"/>
      <c r="G10" s="60"/>
      <c r="H10" s="128"/>
      <c r="I10" s="61"/>
      <c r="J10" s="62"/>
      <c r="K10" s="61"/>
      <c r="L10" s="61"/>
      <c r="M10" s="164"/>
    </row>
    <row r="11" spans="1:13" ht="24.75" thickBot="1">
      <c r="B11" s="63" t="s">
        <v>487</v>
      </c>
      <c r="C11" s="422" t="s">
        <v>488</v>
      </c>
      <c r="D11" s="423"/>
      <c r="E11" s="64" t="s">
        <v>101</v>
      </c>
      <c r="F11" s="65" t="s">
        <v>489</v>
      </c>
      <c r="G11" s="66" t="s">
        <v>490</v>
      </c>
      <c r="H11" s="67" t="s">
        <v>491</v>
      </c>
      <c r="I11" s="68" t="s">
        <v>492</v>
      </c>
      <c r="J11" s="69" t="s">
        <v>490</v>
      </c>
      <c r="K11" s="70" t="s">
        <v>491</v>
      </c>
      <c r="L11" s="129" t="s">
        <v>493</v>
      </c>
      <c r="M11" s="165" t="s">
        <v>494</v>
      </c>
    </row>
    <row r="12" spans="1:13" ht="14.25" customHeight="1">
      <c r="B12" s="424" t="s">
        <v>102</v>
      </c>
      <c r="C12" s="425"/>
      <c r="D12" s="425"/>
      <c r="E12" s="425"/>
      <c r="F12" s="425"/>
      <c r="G12" s="425"/>
      <c r="H12" s="425"/>
      <c r="I12" s="425"/>
      <c r="J12" s="425"/>
      <c r="K12" s="425"/>
      <c r="L12" s="425"/>
      <c r="M12" s="426"/>
    </row>
    <row r="13" spans="1:13" s="99" customFormat="1">
      <c r="A13" s="79"/>
      <c r="B13" s="95" t="s">
        <v>146</v>
      </c>
      <c r="C13" s="96"/>
      <c r="D13" s="96"/>
      <c r="E13" s="97"/>
      <c r="F13" s="97"/>
      <c r="G13" s="98"/>
      <c r="H13" s="97"/>
      <c r="I13" s="97"/>
      <c r="J13" s="98"/>
      <c r="K13" s="97"/>
      <c r="L13" s="97"/>
      <c r="M13" s="166"/>
    </row>
    <row r="14" spans="1:13" ht="25.5" customHeight="1">
      <c r="B14" s="71">
        <v>1</v>
      </c>
      <c r="C14" s="427" t="s">
        <v>103</v>
      </c>
      <c r="D14" s="428"/>
      <c r="E14" s="72" t="s">
        <v>104</v>
      </c>
      <c r="F14" s="73"/>
      <c r="G14" s="74"/>
      <c r="H14" s="130"/>
      <c r="I14" s="73"/>
      <c r="J14" s="74"/>
      <c r="K14" s="130"/>
      <c r="L14" s="75"/>
      <c r="M14" s="167" t="s">
        <v>71</v>
      </c>
    </row>
    <row r="15" spans="1:13">
      <c r="B15" s="71">
        <v>2</v>
      </c>
      <c r="C15" s="388" t="s">
        <v>105</v>
      </c>
      <c r="D15" s="389"/>
      <c r="E15" s="72" t="s">
        <v>104</v>
      </c>
      <c r="F15" s="73"/>
      <c r="G15" s="74"/>
      <c r="H15" s="130"/>
      <c r="I15" s="73"/>
      <c r="J15" s="74"/>
      <c r="K15" s="130"/>
      <c r="L15" s="75"/>
      <c r="M15" s="167" t="s">
        <v>71</v>
      </c>
    </row>
    <row r="16" spans="1:13">
      <c r="B16" s="71">
        <v>3</v>
      </c>
      <c r="C16" s="388" t="s">
        <v>106</v>
      </c>
      <c r="D16" s="389"/>
      <c r="E16" s="72" t="s">
        <v>104</v>
      </c>
      <c r="F16" s="73"/>
      <c r="G16" s="74"/>
      <c r="H16" s="130"/>
      <c r="I16" s="73"/>
      <c r="J16" s="74"/>
      <c r="K16" s="130"/>
      <c r="L16" s="75"/>
      <c r="M16" s="167" t="s">
        <v>71</v>
      </c>
    </row>
    <row r="17" spans="1:13">
      <c r="B17" s="71">
        <v>4</v>
      </c>
      <c r="C17" s="388" t="s">
        <v>107</v>
      </c>
      <c r="D17" s="389"/>
      <c r="E17" s="72" t="s">
        <v>104</v>
      </c>
      <c r="F17" s="73"/>
      <c r="G17" s="74"/>
      <c r="H17" s="130"/>
      <c r="I17" s="73"/>
      <c r="J17" s="74"/>
      <c r="K17" s="130"/>
      <c r="L17" s="75"/>
      <c r="M17" s="167" t="s">
        <v>71</v>
      </c>
    </row>
    <row r="18" spans="1:13" ht="27" customHeight="1">
      <c r="B18" s="71">
        <v>5</v>
      </c>
      <c r="C18" s="388" t="s">
        <v>147</v>
      </c>
      <c r="D18" s="389"/>
      <c r="E18" s="72" t="s">
        <v>104</v>
      </c>
      <c r="F18" s="73"/>
      <c r="G18" s="74"/>
      <c r="H18" s="130"/>
      <c r="I18" s="73"/>
      <c r="J18" s="74"/>
      <c r="K18" s="130"/>
      <c r="L18" s="75"/>
      <c r="M18" s="167" t="s">
        <v>71</v>
      </c>
    </row>
    <row r="19" spans="1:13">
      <c r="B19" s="71">
        <v>6</v>
      </c>
      <c r="C19" s="388" t="s">
        <v>148</v>
      </c>
      <c r="D19" s="389"/>
      <c r="E19" s="72" t="s">
        <v>104</v>
      </c>
      <c r="F19" s="73"/>
      <c r="G19" s="74"/>
      <c r="H19" s="130"/>
      <c r="I19" s="73"/>
      <c r="J19" s="74"/>
      <c r="K19" s="130"/>
      <c r="L19" s="75"/>
      <c r="M19" s="167" t="s">
        <v>71</v>
      </c>
    </row>
    <row r="20" spans="1:13">
      <c r="B20" s="71">
        <v>7</v>
      </c>
      <c r="C20" s="388" t="s">
        <v>149</v>
      </c>
      <c r="D20" s="389"/>
      <c r="E20" s="72" t="s">
        <v>104</v>
      </c>
      <c r="F20" s="73"/>
      <c r="G20" s="74"/>
      <c r="H20" s="130"/>
      <c r="I20" s="73"/>
      <c r="J20" s="74"/>
      <c r="K20" s="130"/>
      <c r="L20" s="75"/>
      <c r="M20" s="167" t="s">
        <v>71</v>
      </c>
    </row>
    <row r="21" spans="1:13">
      <c r="B21" s="71">
        <v>8</v>
      </c>
      <c r="C21" s="390" t="s">
        <v>150</v>
      </c>
      <c r="D21" s="391"/>
      <c r="E21" s="72" t="s">
        <v>104</v>
      </c>
      <c r="F21" s="73"/>
      <c r="G21" s="74"/>
      <c r="H21" s="130"/>
      <c r="I21" s="73"/>
      <c r="J21" s="74"/>
      <c r="K21" s="130"/>
      <c r="L21" s="75"/>
      <c r="M21" s="167" t="s">
        <v>71</v>
      </c>
    </row>
    <row r="22" spans="1:13">
      <c r="B22" s="71">
        <v>9</v>
      </c>
      <c r="C22" s="363" t="s">
        <v>108</v>
      </c>
      <c r="D22" s="364"/>
      <c r="E22" s="72" t="s">
        <v>104</v>
      </c>
      <c r="F22" s="73"/>
      <c r="G22" s="74"/>
      <c r="H22" s="130"/>
      <c r="I22" s="73"/>
      <c r="J22" s="74"/>
      <c r="K22" s="130"/>
      <c r="L22" s="75"/>
      <c r="M22" s="167" t="s">
        <v>71</v>
      </c>
    </row>
    <row r="23" spans="1:13">
      <c r="B23" s="71">
        <v>10</v>
      </c>
      <c r="C23" s="363" t="s">
        <v>109</v>
      </c>
      <c r="D23" s="364"/>
      <c r="E23" s="72" t="s">
        <v>104</v>
      </c>
      <c r="F23" s="73"/>
      <c r="G23" s="74"/>
      <c r="H23" s="130"/>
      <c r="I23" s="73"/>
      <c r="J23" s="74"/>
      <c r="K23" s="130"/>
      <c r="L23" s="75"/>
      <c r="M23" s="167" t="s">
        <v>71</v>
      </c>
    </row>
    <row r="24" spans="1:13" s="79" customFormat="1" ht="12.75" customHeight="1">
      <c r="B24" s="76" t="s">
        <v>110</v>
      </c>
      <c r="C24" s="381" t="s">
        <v>111</v>
      </c>
      <c r="D24" s="382"/>
      <c r="E24" s="77" t="s">
        <v>104</v>
      </c>
      <c r="F24" s="78"/>
      <c r="G24" s="74"/>
      <c r="H24" s="131"/>
      <c r="I24" s="78"/>
      <c r="J24" s="74"/>
      <c r="K24" s="131"/>
      <c r="L24" s="132"/>
      <c r="M24" s="167" t="s">
        <v>71</v>
      </c>
    </row>
    <row r="25" spans="1:13" s="79" customFormat="1" ht="56.25" customHeight="1">
      <c r="B25" s="100" t="s">
        <v>112</v>
      </c>
      <c r="C25" s="392" t="s">
        <v>113</v>
      </c>
      <c r="D25" s="393"/>
      <c r="E25" s="101" t="s">
        <v>114</v>
      </c>
      <c r="F25" s="102"/>
      <c r="G25" s="103"/>
      <c r="H25" s="133"/>
      <c r="I25" s="102"/>
      <c r="J25" s="103"/>
      <c r="K25" s="133"/>
      <c r="L25" s="104"/>
      <c r="M25" s="168" t="s">
        <v>151</v>
      </c>
    </row>
    <row r="26" spans="1:13" s="79" customFormat="1" ht="30" customHeight="1">
      <c r="B26" s="76" t="s">
        <v>115</v>
      </c>
      <c r="C26" s="381" t="s">
        <v>495</v>
      </c>
      <c r="D26" s="382"/>
      <c r="E26" s="77" t="s">
        <v>104</v>
      </c>
      <c r="F26" s="105"/>
      <c r="G26" s="92"/>
      <c r="H26" s="134"/>
      <c r="I26" s="105"/>
      <c r="J26" s="92"/>
      <c r="K26" s="134"/>
      <c r="L26" s="106"/>
      <c r="M26" s="167" t="s">
        <v>496</v>
      </c>
    </row>
    <row r="27" spans="1:13" ht="14.25" customHeight="1">
      <c r="B27" s="383" t="s">
        <v>497</v>
      </c>
      <c r="C27" s="384"/>
      <c r="D27" s="384"/>
      <c r="E27" s="384"/>
      <c r="F27" s="384"/>
      <c r="G27" s="384"/>
      <c r="H27" s="384"/>
      <c r="I27" s="384"/>
      <c r="J27" s="384"/>
      <c r="K27" s="384"/>
      <c r="L27" s="384"/>
      <c r="M27" s="385"/>
    </row>
    <row r="28" spans="1:13" s="99" customFormat="1">
      <c r="A28" s="79"/>
      <c r="B28" s="95" t="s">
        <v>498</v>
      </c>
      <c r="C28" s="96"/>
      <c r="D28" s="96"/>
      <c r="E28" s="97"/>
      <c r="F28" s="97"/>
      <c r="G28" s="98"/>
      <c r="H28" s="97"/>
      <c r="I28" s="97"/>
      <c r="J28" s="98"/>
      <c r="K28" s="97"/>
      <c r="L28" s="97"/>
      <c r="M28" s="166"/>
    </row>
    <row r="29" spans="1:13" s="79" customFormat="1" ht="12.75" customHeight="1">
      <c r="B29" s="76" t="s">
        <v>152</v>
      </c>
      <c r="C29" s="381" t="s">
        <v>499</v>
      </c>
      <c r="D29" s="382"/>
      <c r="E29" s="77" t="s">
        <v>104</v>
      </c>
      <c r="F29" s="73" t="s">
        <v>142</v>
      </c>
      <c r="G29" s="74" t="s">
        <v>516</v>
      </c>
      <c r="H29" s="130" t="s">
        <v>518</v>
      </c>
      <c r="I29" s="73" t="s">
        <v>142</v>
      </c>
      <c r="J29" s="74" t="s">
        <v>516</v>
      </c>
      <c r="K29" s="130" t="s">
        <v>540</v>
      </c>
      <c r="L29" s="132"/>
      <c r="M29" s="167" t="s">
        <v>71</v>
      </c>
    </row>
    <row r="30" spans="1:13" s="79" customFormat="1" ht="12.75" customHeight="1">
      <c r="B30" s="76" t="s">
        <v>153</v>
      </c>
      <c r="C30" s="381" t="s">
        <v>154</v>
      </c>
      <c r="D30" s="382"/>
      <c r="E30" s="77" t="s">
        <v>104</v>
      </c>
      <c r="F30" s="73" t="s">
        <v>142</v>
      </c>
      <c r="G30" s="74" t="s">
        <v>516</v>
      </c>
      <c r="H30" s="130" t="s">
        <v>518</v>
      </c>
      <c r="I30" s="73" t="s">
        <v>142</v>
      </c>
      <c r="J30" s="74" t="s">
        <v>516</v>
      </c>
      <c r="K30" s="130" t="s">
        <v>540</v>
      </c>
      <c r="L30" s="135"/>
      <c r="M30" s="167" t="s">
        <v>71</v>
      </c>
    </row>
    <row r="31" spans="1:13" s="79" customFormat="1" ht="82.5" customHeight="1">
      <c r="B31" s="76" t="s">
        <v>500</v>
      </c>
      <c r="C31" s="381" t="s">
        <v>501</v>
      </c>
      <c r="D31" s="382"/>
      <c r="E31" s="77" t="s">
        <v>104</v>
      </c>
      <c r="F31" s="73" t="s">
        <v>142</v>
      </c>
      <c r="G31" s="74" t="s">
        <v>516</v>
      </c>
      <c r="H31" s="130" t="s">
        <v>518</v>
      </c>
      <c r="I31" s="73" t="s">
        <v>142</v>
      </c>
      <c r="J31" s="74" t="s">
        <v>516</v>
      </c>
      <c r="K31" s="130" t="s">
        <v>540</v>
      </c>
      <c r="L31" s="135"/>
      <c r="M31" s="169" t="s">
        <v>502</v>
      </c>
    </row>
    <row r="32" spans="1:13" ht="14.25" customHeight="1">
      <c r="B32" s="383" t="s">
        <v>116</v>
      </c>
      <c r="C32" s="384"/>
      <c r="D32" s="384"/>
      <c r="E32" s="384"/>
      <c r="F32" s="384"/>
      <c r="G32" s="384"/>
      <c r="H32" s="384"/>
      <c r="I32" s="384"/>
      <c r="J32" s="384"/>
      <c r="K32" s="384"/>
      <c r="L32" s="384"/>
      <c r="M32" s="385"/>
    </row>
    <row r="33" spans="1:13" s="99" customFormat="1">
      <c r="A33" s="79"/>
      <c r="B33" s="95" t="s">
        <v>146</v>
      </c>
      <c r="C33" s="96"/>
      <c r="D33" s="96"/>
      <c r="E33" s="97"/>
      <c r="F33" s="97"/>
      <c r="G33" s="98"/>
      <c r="H33" s="97"/>
      <c r="I33" s="97"/>
      <c r="J33" s="98"/>
      <c r="K33" s="97"/>
      <c r="L33" s="97"/>
      <c r="M33" s="166"/>
    </row>
    <row r="34" spans="1:13">
      <c r="B34" s="71">
        <v>1</v>
      </c>
      <c r="C34" s="386" t="s">
        <v>117</v>
      </c>
      <c r="D34" s="387"/>
      <c r="E34" s="72" t="s">
        <v>104</v>
      </c>
      <c r="F34" s="73" t="s">
        <v>142</v>
      </c>
      <c r="G34" s="74" t="s">
        <v>516</v>
      </c>
      <c r="H34" s="130" t="s">
        <v>518</v>
      </c>
      <c r="I34" s="73" t="s">
        <v>142</v>
      </c>
      <c r="J34" s="74" t="s">
        <v>516</v>
      </c>
      <c r="K34" s="130" t="s">
        <v>540</v>
      </c>
      <c r="L34" s="75"/>
      <c r="M34" s="167" t="s">
        <v>71</v>
      </c>
    </row>
    <row r="35" spans="1:13" ht="29.25" customHeight="1">
      <c r="B35" s="71">
        <v>2</v>
      </c>
      <c r="C35" s="235" t="s">
        <v>103</v>
      </c>
      <c r="D35" s="380"/>
      <c r="E35" s="72" t="s">
        <v>104</v>
      </c>
      <c r="F35" s="73" t="s">
        <v>142</v>
      </c>
      <c r="G35" s="74" t="s">
        <v>516</v>
      </c>
      <c r="H35" s="130" t="s">
        <v>518</v>
      </c>
      <c r="I35" s="73" t="s">
        <v>142</v>
      </c>
      <c r="J35" s="74" t="s">
        <v>516</v>
      </c>
      <c r="K35" s="130" t="s">
        <v>540</v>
      </c>
      <c r="L35" s="75"/>
      <c r="M35" s="167" t="s">
        <v>71</v>
      </c>
    </row>
    <row r="36" spans="1:13">
      <c r="B36" s="71">
        <v>3</v>
      </c>
      <c r="C36" s="235" t="s">
        <v>118</v>
      </c>
      <c r="D36" s="380"/>
      <c r="E36" s="72" t="s">
        <v>104</v>
      </c>
      <c r="F36" s="73" t="s">
        <v>142</v>
      </c>
      <c r="G36" s="74" t="s">
        <v>516</v>
      </c>
      <c r="H36" s="130" t="s">
        <v>518</v>
      </c>
      <c r="I36" s="73" t="s">
        <v>142</v>
      </c>
      <c r="J36" s="74" t="s">
        <v>516</v>
      </c>
      <c r="K36" s="130" t="s">
        <v>540</v>
      </c>
      <c r="L36" s="75"/>
      <c r="M36" s="167" t="s">
        <v>71</v>
      </c>
    </row>
    <row r="37" spans="1:13">
      <c r="B37" s="71">
        <v>4</v>
      </c>
      <c r="C37" s="235" t="s">
        <v>106</v>
      </c>
      <c r="D37" s="380"/>
      <c r="E37" s="72" t="s">
        <v>104</v>
      </c>
      <c r="F37" s="73" t="s">
        <v>142</v>
      </c>
      <c r="G37" s="74" t="s">
        <v>516</v>
      </c>
      <c r="H37" s="130" t="s">
        <v>518</v>
      </c>
      <c r="I37" s="73" t="s">
        <v>142</v>
      </c>
      <c r="J37" s="74" t="s">
        <v>516</v>
      </c>
      <c r="K37" s="130" t="s">
        <v>540</v>
      </c>
      <c r="L37" s="75"/>
      <c r="M37" s="167" t="s">
        <v>71</v>
      </c>
    </row>
    <row r="38" spans="1:13">
      <c r="B38" s="71">
        <v>5</v>
      </c>
      <c r="C38" s="235" t="s">
        <v>119</v>
      </c>
      <c r="D38" s="380"/>
      <c r="E38" s="72" t="s">
        <v>104</v>
      </c>
      <c r="F38" s="73" t="s">
        <v>142</v>
      </c>
      <c r="G38" s="74" t="s">
        <v>516</v>
      </c>
      <c r="H38" s="130" t="s">
        <v>518</v>
      </c>
      <c r="I38" s="73" t="s">
        <v>142</v>
      </c>
      <c r="J38" s="74" t="s">
        <v>516</v>
      </c>
      <c r="K38" s="130" t="s">
        <v>540</v>
      </c>
      <c r="L38" s="75"/>
      <c r="M38" s="167" t="s">
        <v>71</v>
      </c>
    </row>
    <row r="39" spans="1:13">
      <c r="B39" s="71">
        <v>6</v>
      </c>
      <c r="C39" s="235" t="s">
        <v>120</v>
      </c>
      <c r="D39" s="380"/>
      <c r="E39" s="72" t="s">
        <v>104</v>
      </c>
      <c r="F39" s="73" t="s">
        <v>90</v>
      </c>
      <c r="G39" s="74" t="s">
        <v>516</v>
      </c>
      <c r="H39" s="130" t="s">
        <v>518</v>
      </c>
      <c r="I39" s="73" t="s">
        <v>90</v>
      </c>
      <c r="J39" s="74" t="s">
        <v>516</v>
      </c>
      <c r="K39" s="130" t="s">
        <v>540</v>
      </c>
      <c r="L39" s="75" t="s">
        <v>551</v>
      </c>
      <c r="M39" s="167" t="s">
        <v>71</v>
      </c>
    </row>
    <row r="40" spans="1:13" ht="39.75" customHeight="1">
      <c r="B40" s="71">
        <v>7</v>
      </c>
      <c r="C40" s="235" t="s">
        <v>121</v>
      </c>
      <c r="D40" s="380"/>
      <c r="E40" s="72" t="s">
        <v>104</v>
      </c>
      <c r="F40" s="73" t="s">
        <v>90</v>
      </c>
      <c r="G40" s="74" t="s">
        <v>516</v>
      </c>
      <c r="H40" s="130" t="s">
        <v>518</v>
      </c>
      <c r="I40" s="73" t="s">
        <v>90</v>
      </c>
      <c r="J40" s="74" t="s">
        <v>516</v>
      </c>
      <c r="K40" s="130" t="s">
        <v>540</v>
      </c>
      <c r="L40" s="75" t="s">
        <v>551</v>
      </c>
      <c r="M40" s="167" t="s">
        <v>71</v>
      </c>
    </row>
    <row r="41" spans="1:13" ht="30.75" customHeight="1">
      <c r="B41" s="71">
        <v>8</v>
      </c>
      <c r="C41" s="235" t="s">
        <v>122</v>
      </c>
      <c r="D41" s="380"/>
      <c r="E41" s="72" t="s">
        <v>104</v>
      </c>
      <c r="F41" s="73" t="s">
        <v>142</v>
      </c>
      <c r="G41" s="74" t="s">
        <v>516</v>
      </c>
      <c r="H41" s="130" t="s">
        <v>518</v>
      </c>
      <c r="I41" s="73" t="s">
        <v>142</v>
      </c>
      <c r="J41" s="74" t="s">
        <v>516</v>
      </c>
      <c r="K41" s="130" t="s">
        <v>540</v>
      </c>
      <c r="L41" s="75"/>
      <c r="M41" s="167" t="s">
        <v>71</v>
      </c>
    </row>
    <row r="42" spans="1:13" ht="42" customHeight="1">
      <c r="B42" s="71">
        <v>9</v>
      </c>
      <c r="C42" s="235" t="s">
        <v>155</v>
      </c>
      <c r="D42" s="380"/>
      <c r="E42" s="72" t="s">
        <v>104</v>
      </c>
      <c r="F42" s="73" t="s">
        <v>142</v>
      </c>
      <c r="G42" s="74" t="s">
        <v>516</v>
      </c>
      <c r="H42" s="130" t="s">
        <v>518</v>
      </c>
      <c r="I42" s="73" t="s">
        <v>142</v>
      </c>
      <c r="J42" s="74" t="s">
        <v>516</v>
      </c>
      <c r="K42" s="130" t="s">
        <v>540</v>
      </c>
      <c r="L42" s="75"/>
      <c r="M42" s="167" t="s">
        <v>71</v>
      </c>
    </row>
    <row r="43" spans="1:13">
      <c r="B43" s="71">
        <v>10</v>
      </c>
      <c r="C43" s="235" t="s">
        <v>123</v>
      </c>
      <c r="D43" s="380"/>
      <c r="E43" s="72" t="s">
        <v>104</v>
      </c>
      <c r="F43" s="73" t="s">
        <v>142</v>
      </c>
      <c r="G43" s="74" t="s">
        <v>516</v>
      </c>
      <c r="H43" s="130" t="s">
        <v>518</v>
      </c>
      <c r="I43" s="73" t="s">
        <v>142</v>
      </c>
      <c r="J43" s="74" t="s">
        <v>516</v>
      </c>
      <c r="K43" s="130" t="s">
        <v>540</v>
      </c>
      <c r="L43" s="75"/>
      <c r="M43" s="167" t="s">
        <v>71</v>
      </c>
    </row>
    <row r="44" spans="1:13">
      <c r="B44" s="71">
        <v>11</v>
      </c>
      <c r="C44" s="235" t="s">
        <v>124</v>
      </c>
      <c r="D44" s="380"/>
      <c r="E44" s="72" t="s">
        <v>104</v>
      </c>
      <c r="F44" s="73" t="s">
        <v>142</v>
      </c>
      <c r="G44" s="74" t="s">
        <v>516</v>
      </c>
      <c r="H44" s="130" t="s">
        <v>518</v>
      </c>
      <c r="I44" s="73" t="s">
        <v>142</v>
      </c>
      <c r="J44" s="74" t="s">
        <v>516</v>
      </c>
      <c r="K44" s="130" t="s">
        <v>540</v>
      </c>
      <c r="L44" s="75"/>
      <c r="M44" s="167" t="s">
        <v>71</v>
      </c>
    </row>
    <row r="45" spans="1:13">
      <c r="B45" s="71">
        <v>12</v>
      </c>
      <c r="C45" s="235" t="s">
        <v>125</v>
      </c>
      <c r="D45" s="380"/>
      <c r="E45" s="72" t="s">
        <v>104</v>
      </c>
      <c r="F45" s="73" t="s">
        <v>142</v>
      </c>
      <c r="G45" s="74" t="s">
        <v>516</v>
      </c>
      <c r="H45" s="130" t="s">
        <v>518</v>
      </c>
      <c r="I45" s="73" t="s">
        <v>142</v>
      </c>
      <c r="J45" s="74" t="s">
        <v>516</v>
      </c>
      <c r="K45" s="130" t="s">
        <v>540</v>
      </c>
      <c r="L45" s="75"/>
      <c r="M45" s="167" t="s">
        <v>71</v>
      </c>
    </row>
    <row r="46" spans="1:13">
      <c r="B46" s="71">
        <v>13</v>
      </c>
      <c r="C46" s="235" t="s">
        <v>126</v>
      </c>
      <c r="D46" s="380"/>
      <c r="E46" s="72" t="s">
        <v>104</v>
      </c>
      <c r="F46" s="73" t="s">
        <v>90</v>
      </c>
      <c r="G46" s="74" t="s">
        <v>516</v>
      </c>
      <c r="H46" s="130" t="s">
        <v>518</v>
      </c>
      <c r="I46" s="73" t="s">
        <v>90</v>
      </c>
      <c r="J46" s="74" t="s">
        <v>516</v>
      </c>
      <c r="K46" s="130" t="s">
        <v>540</v>
      </c>
      <c r="L46" s="75" t="s">
        <v>551</v>
      </c>
      <c r="M46" s="167" t="s">
        <v>71</v>
      </c>
    </row>
    <row r="47" spans="1:13">
      <c r="B47" s="71">
        <v>14</v>
      </c>
      <c r="C47" s="235" t="s">
        <v>127</v>
      </c>
      <c r="D47" s="380"/>
      <c r="E47" s="72" t="s">
        <v>104</v>
      </c>
      <c r="F47" s="73" t="s">
        <v>142</v>
      </c>
      <c r="G47" s="74" t="s">
        <v>516</v>
      </c>
      <c r="H47" s="130" t="s">
        <v>518</v>
      </c>
      <c r="I47" s="73" t="s">
        <v>142</v>
      </c>
      <c r="J47" s="74" t="s">
        <v>516</v>
      </c>
      <c r="K47" s="130" t="s">
        <v>540</v>
      </c>
      <c r="L47" s="75"/>
      <c r="M47" s="167" t="s">
        <v>71</v>
      </c>
    </row>
    <row r="48" spans="1:13" ht="30.75" customHeight="1">
      <c r="B48" s="71">
        <v>15</v>
      </c>
      <c r="C48" s="235" t="s">
        <v>128</v>
      </c>
      <c r="D48" s="380"/>
      <c r="E48" s="72" t="s">
        <v>104</v>
      </c>
      <c r="F48" s="73" t="s">
        <v>142</v>
      </c>
      <c r="G48" s="74" t="s">
        <v>516</v>
      </c>
      <c r="H48" s="130" t="s">
        <v>518</v>
      </c>
      <c r="I48" s="73" t="s">
        <v>142</v>
      </c>
      <c r="J48" s="74" t="s">
        <v>516</v>
      </c>
      <c r="K48" s="130" t="s">
        <v>540</v>
      </c>
      <c r="L48" s="75"/>
      <c r="M48" s="167" t="s">
        <v>71</v>
      </c>
    </row>
    <row r="49" spans="1:13">
      <c r="B49" s="93">
        <v>16</v>
      </c>
      <c r="C49" s="363" t="s">
        <v>129</v>
      </c>
      <c r="D49" s="364"/>
      <c r="E49" s="77" t="s">
        <v>114</v>
      </c>
      <c r="F49" s="73" t="s">
        <v>142</v>
      </c>
      <c r="G49" s="74" t="s">
        <v>516</v>
      </c>
      <c r="H49" s="130" t="s">
        <v>518</v>
      </c>
      <c r="I49" s="73" t="s">
        <v>142</v>
      </c>
      <c r="J49" s="74" t="s">
        <v>516</v>
      </c>
      <c r="K49" s="130" t="s">
        <v>540</v>
      </c>
      <c r="L49" s="136"/>
      <c r="M49" s="167" t="s">
        <v>71</v>
      </c>
    </row>
    <row r="50" spans="1:13">
      <c r="B50" s="80">
        <v>17</v>
      </c>
      <c r="C50" s="363" t="s">
        <v>156</v>
      </c>
      <c r="D50" s="364"/>
      <c r="E50" s="72" t="s">
        <v>104</v>
      </c>
      <c r="F50" s="73" t="s">
        <v>142</v>
      </c>
      <c r="G50" s="74" t="s">
        <v>516</v>
      </c>
      <c r="H50" s="130" t="s">
        <v>518</v>
      </c>
      <c r="I50" s="73" t="s">
        <v>142</v>
      </c>
      <c r="J50" s="74" t="s">
        <v>516</v>
      </c>
      <c r="K50" s="130" t="s">
        <v>540</v>
      </c>
      <c r="L50" s="138" t="s">
        <v>240</v>
      </c>
      <c r="M50" s="167" t="s">
        <v>71</v>
      </c>
    </row>
    <row r="51" spans="1:13">
      <c r="B51" s="80">
        <v>18</v>
      </c>
      <c r="C51" s="363" t="s">
        <v>130</v>
      </c>
      <c r="D51" s="364"/>
      <c r="E51" s="72" t="s">
        <v>104</v>
      </c>
      <c r="F51" s="73" t="s">
        <v>142</v>
      </c>
      <c r="G51" s="74" t="s">
        <v>516</v>
      </c>
      <c r="H51" s="130" t="s">
        <v>518</v>
      </c>
      <c r="I51" s="73" t="s">
        <v>142</v>
      </c>
      <c r="J51" s="74" t="s">
        <v>516</v>
      </c>
      <c r="K51" s="130" t="s">
        <v>540</v>
      </c>
      <c r="L51" s="138" t="s">
        <v>244</v>
      </c>
      <c r="M51" s="167" t="s">
        <v>71</v>
      </c>
    </row>
    <row r="52" spans="1:13">
      <c r="B52" s="80">
        <v>19</v>
      </c>
      <c r="C52" s="361" t="s">
        <v>132</v>
      </c>
      <c r="D52" s="362"/>
      <c r="E52" s="81" t="s">
        <v>104</v>
      </c>
      <c r="F52" s="80" t="s">
        <v>142</v>
      </c>
      <c r="G52" s="74" t="s">
        <v>516</v>
      </c>
      <c r="H52" s="130" t="s">
        <v>518</v>
      </c>
      <c r="I52" s="80" t="s">
        <v>142</v>
      </c>
      <c r="J52" s="74" t="s">
        <v>516</v>
      </c>
      <c r="K52" s="130" t="s">
        <v>540</v>
      </c>
      <c r="L52" s="138" t="s">
        <v>564</v>
      </c>
      <c r="M52" s="167" t="s">
        <v>71</v>
      </c>
    </row>
    <row r="53" spans="1:13" ht="26.25" customHeight="1">
      <c r="B53" s="80">
        <v>20</v>
      </c>
      <c r="C53" s="361" t="s">
        <v>133</v>
      </c>
      <c r="D53" s="362"/>
      <c r="E53" s="81" t="s">
        <v>104</v>
      </c>
      <c r="F53" s="80" t="s">
        <v>90</v>
      </c>
      <c r="G53" s="74" t="s">
        <v>516</v>
      </c>
      <c r="H53" s="130" t="s">
        <v>518</v>
      </c>
      <c r="I53" s="80" t="s">
        <v>90</v>
      </c>
      <c r="J53" s="74" t="s">
        <v>516</v>
      </c>
      <c r="K53" s="130" t="s">
        <v>540</v>
      </c>
      <c r="L53" s="138" t="s">
        <v>553</v>
      </c>
      <c r="M53" s="167" t="s">
        <v>71</v>
      </c>
    </row>
    <row r="54" spans="1:13">
      <c r="B54" s="80">
        <v>21</v>
      </c>
      <c r="C54" s="361" t="s">
        <v>134</v>
      </c>
      <c r="D54" s="362"/>
      <c r="E54" s="81" t="s">
        <v>104</v>
      </c>
      <c r="F54" s="80" t="s">
        <v>142</v>
      </c>
      <c r="G54" s="74" t="s">
        <v>516</v>
      </c>
      <c r="H54" s="130" t="s">
        <v>518</v>
      </c>
      <c r="I54" s="80" t="s">
        <v>142</v>
      </c>
      <c r="J54" s="74" t="s">
        <v>516</v>
      </c>
      <c r="K54" s="130" t="s">
        <v>540</v>
      </c>
      <c r="L54" s="138" t="s">
        <v>239</v>
      </c>
      <c r="M54" s="167" t="s">
        <v>71</v>
      </c>
    </row>
    <row r="55" spans="1:13">
      <c r="B55" s="80">
        <v>22</v>
      </c>
      <c r="C55" s="361" t="s">
        <v>157</v>
      </c>
      <c r="D55" s="362"/>
      <c r="E55" s="81" t="s">
        <v>104</v>
      </c>
      <c r="F55" s="80" t="s">
        <v>142</v>
      </c>
      <c r="G55" s="74" t="s">
        <v>516</v>
      </c>
      <c r="H55" s="130" t="s">
        <v>518</v>
      </c>
      <c r="I55" s="80" t="s">
        <v>142</v>
      </c>
      <c r="J55" s="74" t="s">
        <v>516</v>
      </c>
      <c r="K55" s="130" t="s">
        <v>540</v>
      </c>
      <c r="L55" s="94" t="s">
        <v>563</v>
      </c>
      <c r="M55" s="167" t="s">
        <v>71</v>
      </c>
    </row>
    <row r="56" spans="1:13" ht="26.25" customHeight="1">
      <c r="B56" s="80">
        <v>23</v>
      </c>
      <c r="C56" s="363" t="s">
        <v>158</v>
      </c>
      <c r="D56" s="364"/>
      <c r="E56" s="81" t="s">
        <v>104</v>
      </c>
      <c r="F56" s="80" t="s">
        <v>142</v>
      </c>
      <c r="G56" s="74" t="s">
        <v>516</v>
      </c>
      <c r="H56" s="130" t="s">
        <v>518</v>
      </c>
      <c r="I56" s="80" t="s">
        <v>142</v>
      </c>
      <c r="J56" s="74" t="s">
        <v>516</v>
      </c>
      <c r="K56" s="130" t="s">
        <v>540</v>
      </c>
      <c r="L56" s="138"/>
      <c r="M56" s="167" t="s">
        <v>71</v>
      </c>
    </row>
    <row r="57" spans="1:13" s="99" customFormat="1">
      <c r="A57" s="79"/>
      <c r="B57" s="95" t="s">
        <v>159</v>
      </c>
      <c r="C57" s="96"/>
      <c r="D57" s="96"/>
      <c r="E57" s="97"/>
      <c r="F57" s="97"/>
      <c r="G57" s="98"/>
      <c r="H57" s="97"/>
      <c r="I57" s="97"/>
      <c r="J57" s="98"/>
      <c r="K57" s="97"/>
      <c r="L57" s="97"/>
      <c r="M57" s="166"/>
    </row>
    <row r="58" spans="1:13" ht="42" customHeight="1">
      <c r="B58" s="80">
        <v>1</v>
      </c>
      <c r="C58" s="363" t="s">
        <v>160</v>
      </c>
      <c r="D58" s="364"/>
      <c r="E58" s="81" t="s">
        <v>104</v>
      </c>
      <c r="F58" s="80" t="s">
        <v>90</v>
      </c>
      <c r="G58" s="74" t="s">
        <v>516</v>
      </c>
      <c r="H58" s="137" t="s">
        <v>518</v>
      </c>
      <c r="I58" s="80" t="s">
        <v>90</v>
      </c>
      <c r="J58" s="74" t="s">
        <v>516</v>
      </c>
      <c r="K58" s="137" t="s">
        <v>540</v>
      </c>
      <c r="L58" s="94" t="s">
        <v>144</v>
      </c>
      <c r="M58" s="167" t="s">
        <v>71</v>
      </c>
    </row>
    <row r="59" spans="1:13">
      <c r="B59" s="80">
        <v>2</v>
      </c>
      <c r="C59" s="361" t="s">
        <v>161</v>
      </c>
      <c r="D59" s="362"/>
      <c r="E59" s="81" t="s">
        <v>104</v>
      </c>
      <c r="F59" s="80" t="s">
        <v>90</v>
      </c>
      <c r="G59" s="74" t="s">
        <v>516</v>
      </c>
      <c r="H59" s="137" t="s">
        <v>518</v>
      </c>
      <c r="I59" s="80" t="s">
        <v>90</v>
      </c>
      <c r="J59" s="74" t="s">
        <v>516</v>
      </c>
      <c r="K59" s="137" t="s">
        <v>540</v>
      </c>
      <c r="L59" s="94" t="s">
        <v>144</v>
      </c>
      <c r="M59" s="167" t="s">
        <v>71</v>
      </c>
    </row>
    <row r="60" spans="1:13">
      <c r="B60" s="107">
        <v>3</v>
      </c>
      <c r="C60" s="378" t="s">
        <v>162</v>
      </c>
      <c r="D60" s="379"/>
      <c r="E60" s="108" t="s">
        <v>104</v>
      </c>
      <c r="F60" s="109"/>
      <c r="G60" s="103"/>
      <c r="H60" s="139"/>
      <c r="I60" s="109"/>
      <c r="J60" s="103"/>
      <c r="K60" s="139"/>
      <c r="L60" s="140"/>
      <c r="M60" s="168" t="s">
        <v>163</v>
      </c>
    </row>
    <row r="61" spans="1:13" s="99" customFormat="1">
      <c r="A61" s="79"/>
      <c r="B61" s="95" t="s">
        <v>164</v>
      </c>
      <c r="C61" s="96"/>
      <c r="D61" s="96"/>
      <c r="E61" s="97"/>
      <c r="F61" s="97"/>
      <c r="G61" s="98"/>
      <c r="H61" s="97"/>
      <c r="I61" s="97"/>
      <c r="J61" s="98"/>
      <c r="K61" s="97"/>
      <c r="L61" s="97"/>
      <c r="M61" s="166"/>
    </row>
    <row r="62" spans="1:13">
      <c r="B62" s="80">
        <v>1</v>
      </c>
      <c r="C62" s="361" t="s">
        <v>165</v>
      </c>
      <c r="D62" s="362"/>
      <c r="E62" s="81" t="s">
        <v>104</v>
      </c>
      <c r="F62" s="80" t="s">
        <v>142</v>
      </c>
      <c r="G62" s="74" t="s">
        <v>516</v>
      </c>
      <c r="H62" s="137" t="s">
        <v>518</v>
      </c>
      <c r="I62" s="80" t="s">
        <v>142</v>
      </c>
      <c r="J62" s="74" t="s">
        <v>516</v>
      </c>
      <c r="K62" s="137" t="s">
        <v>540</v>
      </c>
      <c r="L62" s="138" t="s">
        <v>239</v>
      </c>
      <c r="M62" s="167" t="s">
        <v>71</v>
      </c>
    </row>
    <row r="63" spans="1:13">
      <c r="B63" s="80">
        <v>2</v>
      </c>
      <c r="C63" s="361" t="s">
        <v>166</v>
      </c>
      <c r="D63" s="362"/>
      <c r="E63" s="81" t="s">
        <v>104</v>
      </c>
      <c r="F63" s="80" t="s">
        <v>142</v>
      </c>
      <c r="G63" s="74" t="s">
        <v>516</v>
      </c>
      <c r="H63" s="137" t="s">
        <v>518</v>
      </c>
      <c r="I63" s="80" t="s">
        <v>142</v>
      </c>
      <c r="J63" s="74" t="s">
        <v>516</v>
      </c>
      <c r="K63" s="137" t="s">
        <v>540</v>
      </c>
      <c r="L63" s="138" t="s">
        <v>240</v>
      </c>
      <c r="M63" s="167" t="s">
        <v>71</v>
      </c>
    </row>
    <row r="64" spans="1:13" ht="26.25" customHeight="1">
      <c r="B64" s="80">
        <v>3</v>
      </c>
      <c r="C64" s="361" t="s">
        <v>167</v>
      </c>
      <c r="D64" s="362"/>
      <c r="E64" s="81" t="s">
        <v>104</v>
      </c>
      <c r="F64" s="80" t="s">
        <v>142</v>
      </c>
      <c r="G64" s="74" t="s">
        <v>516</v>
      </c>
      <c r="H64" s="137" t="s">
        <v>518</v>
      </c>
      <c r="I64" s="80" t="s">
        <v>142</v>
      </c>
      <c r="J64" s="74" t="s">
        <v>516</v>
      </c>
      <c r="K64" s="137" t="s">
        <v>540</v>
      </c>
      <c r="L64" s="138" t="s">
        <v>533</v>
      </c>
      <c r="M64" s="167" t="s">
        <v>71</v>
      </c>
    </row>
    <row r="65" spans="1:13" ht="69.75" customHeight="1">
      <c r="B65" s="80">
        <v>4</v>
      </c>
      <c r="C65" s="363" t="s">
        <v>503</v>
      </c>
      <c r="D65" s="364"/>
      <c r="E65" s="81" t="s">
        <v>131</v>
      </c>
      <c r="F65" s="80" t="s">
        <v>142</v>
      </c>
      <c r="G65" s="74" t="s">
        <v>516</v>
      </c>
      <c r="H65" s="137" t="s">
        <v>518</v>
      </c>
      <c r="I65" s="80" t="s">
        <v>142</v>
      </c>
      <c r="J65" s="74" t="s">
        <v>516</v>
      </c>
      <c r="K65" s="137" t="s">
        <v>540</v>
      </c>
      <c r="L65" s="138" t="s">
        <v>240</v>
      </c>
      <c r="M65" s="167" t="s">
        <v>504</v>
      </c>
    </row>
    <row r="66" spans="1:13" s="99" customFormat="1">
      <c r="A66" s="79"/>
      <c r="B66" s="95" t="s">
        <v>168</v>
      </c>
      <c r="C66" s="96"/>
      <c r="D66" s="96"/>
      <c r="E66" s="97"/>
      <c r="F66" s="97"/>
      <c r="G66" s="98"/>
      <c r="H66" s="97"/>
      <c r="I66" s="97"/>
      <c r="J66" s="98"/>
      <c r="K66" s="97"/>
      <c r="L66" s="97"/>
      <c r="M66" s="166"/>
    </row>
    <row r="67" spans="1:13" ht="25.5">
      <c r="B67" s="80">
        <v>1</v>
      </c>
      <c r="C67" s="363" t="s">
        <v>169</v>
      </c>
      <c r="D67" s="364"/>
      <c r="E67" s="81" t="s">
        <v>131</v>
      </c>
      <c r="F67" s="80" t="s">
        <v>90</v>
      </c>
      <c r="G67" s="74" t="s">
        <v>516</v>
      </c>
      <c r="H67" s="137" t="s">
        <v>518</v>
      </c>
      <c r="I67" s="80" t="s">
        <v>90</v>
      </c>
      <c r="J67" s="74" t="s">
        <v>516</v>
      </c>
      <c r="K67" s="137" t="s">
        <v>540</v>
      </c>
      <c r="L67" s="94" t="s">
        <v>143</v>
      </c>
      <c r="M67" s="167" t="s">
        <v>71</v>
      </c>
    </row>
    <row r="68" spans="1:13" ht="26.25" customHeight="1">
      <c r="B68" s="80">
        <v>2</v>
      </c>
      <c r="C68" s="363" t="s">
        <v>170</v>
      </c>
      <c r="D68" s="364"/>
      <c r="E68" s="81" t="s">
        <v>104</v>
      </c>
      <c r="F68" s="80" t="s">
        <v>90</v>
      </c>
      <c r="G68" s="74" t="s">
        <v>516</v>
      </c>
      <c r="H68" s="137" t="s">
        <v>518</v>
      </c>
      <c r="I68" s="80" t="s">
        <v>90</v>
      </c>
      <c r="J68" s="74" t="s">
        <v>516</v>
      </c>
      <c r="K68" s="137" t="s">
        <v>540</v>
      </c>
      <c r="L68" s="138" t="s">
        <v>535</v>
      </c>
      <c r="M68" s="167" t="s">
        <v>71</v>
      </c>
    </row>
    <row r="69" spans="1:13" s="176" customFormat="1" ht="26.25" customHeight="1">
      <c r="B69" s="80">
        <v>3</v>
      </c>
      <c r="C69" s="363" t="s">
        <v>171</v>
      </c>
      <c r="D69" s="364"/>
      <c r="E69" s="81" t="s">
        <v>104</v>
      </c>
      <c r="F69" s="80" t="s">
        <v>142</v>
      </c>
      <c r="G69" s="92" t="s">
        <v>516</v>
      </c>
      <c r="H69" s="137" t="s">
        <v>518</v>
      </c>
      <c r="I69" s="80" t="s">
        <v>142</v>
      </c>
      <c r="J69" s="92" t="s">
        <v>516</v>
      </c>
      <c r="K69" s="137" t="s">
        <v>540</v>
      </c>
      <c r="L69" s="138" t="s">
        <v>537</v>
      </c>
      <c r="M69" s="177" t="s">
        <v>71</v>
      </c>
    </row>
    <row r="70" spans="1:13" ht="76.5" customHeight="1">
      <c r="B70" s="80">
        <v>4</v>
      </c>
      <c r="C70" s="363" t="s">
        <v>172</v>
      </c>
      <c r="D70" s="364"/>
      <c r="E70" s="81" t="s">
        <v>104</v>
      </c>
      <c r="F70" s="80" t="s">
        <v>142</v>
      </c>
      <c r="G70" s="74" t="s">
        <v>516</v>
      </c>
      <c r="H70" s="137" t="s">
        <v>518</v>
      </c>
      <c r="I70" s="80" t="s">
        <v>142</v>
      </c>
      <c r="J70" s="74" t="s">
        <v>516</v>
      </c>
      <c r="K70" s="137" t="s">
        <v>540</v>
      </c>
      <c r="L70" s="94" t="s">
        <v>537</v>
      </c>
      <c r="M70" s="167" t="s">
        <v>71</v>
      </c>
    </row>
    <row r="71" spans="1:13" s="99" customFormat="1">
      <c r="A71" s="79"/>
      <c r="B71" s="95" t="s">
        <v>173</v>
      </c>
      <c r="C71" s="96"/>
      <c r="D71" s="96"/>
      <c r="E71" s="97"/>
      <c r="F71" s="97"/>
      <c r="G71" s="98"/>
      <c r="H71" s="97"/>
      <c r="I71" s="97"/>
      <c r="J71" s="98"/>
      <c r="K71" s="97"/>
      <c r="L71" s="97"/>
      <c r="M71" s="166"/>
    </row>
    <row r="72" spans="1:13" ht="26.25" customHeight="1">
      <c r="B72" s="80">
        <v>1</v>
      </c>
      <c r="C72" s="361" t="s">
        <v>174</v>
      </c>
      <c r="D72" s="362"/>
      <c r="E72" s="81" t="s">
        <v>104</v>
      </c>
      <c r="F72" s="80" t="s">
        <v>90</v>
      </c>
      <c r="G72" s="74" t="s">
        <v>516</v>
      </c>
      <c r="H72" s="137" t="s">
        <v>518</v>
      </c>
      <c r="I72" s="80" t="s">
        <v>90</v>
      </c>
      <c r="J72" s="74" t="s">
        <v>516</v>
      </c>
      <c r="K72" s="137" t="s">
        <v>540</v>
      </c>
      <c r="L72" s="94" t="s">
        <v>536</v>
      </c>
      <c r="M72" s="167" t="s">
        <v>71</v>
      </c>
    </row>
    <row r="73" spans="1:13" ht="26.25" customHeight="1">
      <c r="B73" s="80">
        <v>2</v>
      </c>
      <c r="C73" s="363" t="s">
        <v>175</v>
      </c>
      <c r="D73" s="364"/>
      <c r="E73" s="81" t="s">
        <v>104</v>
      </c>
      <c r="F73" s="80" t="s">
        <v>142</v>
      </c>
      <c r="G73" s="74" t="s">
        <v>516</v>
      </c>
      <c r="H73" s="137" t="s">
        <v>518</v>
      </c>
      <c r="I73" s="80" t="s">
        <v>142</v>
      </c>
      <c r="J73" s="74" t="s">
        <v>516</v>
      </c>
      <c r="K73" s="137" t="s">
        <v>540</v>
      </c>
      <c r="L73" s="138" t="s">
        <v>534</v>
      </c>
      <c r="M73" s="167" t="s">
        <v>71</v>
      </c>
    </row>
    <row r="74" spans="1:13" ht="70.5" customHeight="1">
      <c r="B74" s="80">
        <v>3</v>
      </c>
      <c r="C74" s="363" t="s">
        <v>176</v>
      </c>
      <c r="D74" s="364"/>
      <c r="E74" s="81" t="s">
        <v>104</v>
      </c>
      <c r="F74" s="80" t="s">
        <v>142</v>
      </c>
      <c r="G74" s="74" t="s">
        <v>516</v>
      </c>
      <c r="H74" s="137" t="s">
        <v>518</v>
      </c>
      <c r="I74" s="80" t="s">
        <v>142</v>
      </c>
      <c r="J74" s="74" t="s">
        <v>516</v>
      </c>
      <c r="K74" s="137" t="s">
        <v>540</v>
      </c>
      <c r="L74" s="94" t="s">
        <v>534</v>
      </c>
      <c r="M74" s="167" t="s">
        <v>71</v>
      </c>
    </row>
    <row r="75" spans="1:13" s="99" customFormat="1">
      <c r="A75" s="79"/>
      <c r="B75" s="95" t="s">
        <v>177</v>
      </c>
      <c r="C75" s="96"/>
      <c r="D75" s="96"/>
      <c r="E75" s="97"/>
      <c r="F75" s="97"/>
      <c r="G75" s="98"/>
      <c r="H75" s="97"/>
      <c r="I75" s="97"/>
      <c r="J75" s="98"/>
      <c r="K75" s="97"/>
      <c r="L75" s="97"/>
      <c r="M75" s="166"/>
    </row>
    <row r="76" spans="1:13" s="99" customFormat="1">
      <c r="A76" s="79"/>
      <c r="B76" s="111" t="s">
        <v>178</v>
      </c>
      <c r="C76" s="112"/>
      <c r="D76" s="112"/>
      <c r="E76" s="113"/>
      <c r="F76" s="113"/>
      <c r="G76" s="114"/>
      <c r="H76" s="113"/>
      <c r="I76" s="113"/>
      <c r="J76" s="114"/>
      <c r="K76" s="113"/>
      <c r="L76" s="113"/>
      <c r="M76" s="170"/>
    </row>
    <row r="77" spans="1:13" ht="26.25" customHeight="1">
      <c r="B77" s="80">
        <v>1</v>
      </c>
      <c r="C77" s="363" t="s">
        <v>135</v>
      </c>
      <c r="D77" s="364"/>
      <c r="E77" s="81" t="s">
        <v>104</v>
      </c>
      <c r="F77" s="80" t="s">
        <v>90</v>
      </c>
      <c r="G77" s="74" t="s">
        <v>516</v>
      </c>
      <c r="H77" s="137" t="s">
        <v>518</v>
      </c>
      <c r="I77" s="80" t="s">
        <v>90</v>
      </c>
      <c r="J77" s="74" t="s">
        <v>516</v>
      </c>
      <c r="K77" s="137" t="s">
        <v>540</v>
      </c>
      <c r="L77" s="141" t="s">
        <v>145</v>
      </c>
      <c r="M77" s="167" t="s">
        <v>71</v>
      </c>
    </row>
    <row r="78" spans="1:13" s="99" customFormat="1">
      <c r="A78" s="79"/>
      <c r="B78" s="111" t="s">
        <v>179</v>
      </c>
      <c r="C78" s="112"/>
      <c r="D78" s="112"/>
      <c r="E78" s="113"/>
      <c r="F78" s="113"/>
      <c r="G78" s="114"/>
      <c r="H78" s="113"/>
      <c r="I78" s="113"/>
      <c r="J78" s="114"/>
      <c r="K78" s="113"/>
      <c r="L78" s="113"/>
      <c r="M78" s="170"/>
    </row>
    <row r="79" spans="1:13" ht="31.5" customHeight="1">
      <c r="B79" s="171">
        <v>1</v>
      </c>
      <c r="C79" s="363" t="s">
        <v>505</v>
      </c>
      <c r="D79" s="364"/>
      <c r="E79" s="81" t="s">
        <v>104</v>
      </c>
      <c r="F79" s="80" t="s">
        <v>90</v>
      </c>
      <c r="G79" s="92" t="s">
        <v>516</v>
      </c>
      <c r="H79" s="137" t="s">
        <v>518</v>
      </c>
      <c r="I79" s="80" t="s">
        <v>90</v>
      </c>
      <c r="J79" s="92" t="s">
        <v>516</v>
      </c>
      <c r="K79" s="137" t="s">
        <v>540</v>
      </c>
      <c r="L79" s="110" t="s">
        <v>238</v>
      </c>
      <c r="M79" s="167" t="s">
        <v>506</v>
      </c>
    </row>
    <row r="80" spans="1:13" ht="31.5" customHeight="1" thickBot="1">
      <c r="B80" s="172">
        <v>2</v>
      </c>
      <c r="C80" s="365" t="s">
        <v>507</v>
      </c>
      <c r="D80" s="366"/>
      <c r="E80" s="174" t="s">
        <v>104</v>
      </c>
      <c r="F80" s="174" t="s">
        <v>90</v>
      </c>
      <c r="G80" s="174" t="s">
        <v>516</v>
      </c>
      <c r="H80" s="174" t="s">
        <v>518</v>
      </c>
      <c r="I80" s="174" t="s">
        <v>90</v>
      </c>
      <c r="J80" s="174" t="s">
        <v>516</v>
      </c>
      <c r="K80" s="175" t="s">
        <v>540</v>
      </c>
      <c r="L80" s="175" t="s">
        <v>238</v>
      </c>
      <c r="M80" s="173" t="s">
        <v>508</v>
      </c>
    </row>
    <row r="81" spans="2:12" ht="13.5" thickBot="1"/>
    <row r="82" spans="2:12" ht="14.25" customHeight="1" thickBot="1">
      <c r="B82" s="367" t="s">
        <v>136</v>
      </c>
      <c r="C82" s="368"/>
      <c r="D82" s="368"/>
      <c r="E82" s="368"/>
      <c r="F82" s="368"/>
      <c r="G82" s="368"/>
      <c r="H82" s="368"/>
      <c r="I82" s="368"/>
      <c r="J82" s="368"/>
      <c r="K82" s="369"/>
    </row>
    <row r="83" spans="2:12" ht="25.5">
      <c r="B83" s="82" t="s">
        <v>509</v>
      </c>
      <c r="C83" s="370" t="s">
        <v>488</v>
      </c>
      <c r="D83" s="371"/>
      <c r="E83" s="83" t="s">
        <v>510</v>
      </c>
      <c r="F83" s="372" t="s">
        <v>511</v>
      </c>
      <c r="G83" s="372"/>
      <c r="H83" s="372"/>
      <c r="I83" s="372"/>
      <c r="J83" s="372"/>
      <c r="K83" s="373"/>
    </row>
    <row r="84" spans="2:12">
      <c r="B84" s="78">
        <v>1</v>
      </c>
      <c r="C84" s="374" t="s">
        <v>137</v>
      </c>
      <c r="D84" s="375"/>
      <c r="E84" s="84" t="s">
        <v>513</v>
      </c>
      <c r="F84" s="376"/>
      <c r="G84" s="376"/>
      <c r="H84" s="376"/>
      <c r="I84" s="376"/>
      <c r="J84" s="376"/>
      <c r="K84" s="377"/>
    </row>
    <row r="85" spans="2:12" ht="13.5" customHeight="1" thickBot="1">
      <c r="B85" s="85">
        <v>2</v>
      </c>
      <c r="C85" s="357" t="s">
        <v>138</v>
      </c>
      <c r="D85" s="358"/>
      <c r="E85" s="86" t="s">
        <v>513</v>
      </c>
      <c r="F85" s="359"/>
      <c r="G85" s="359"/>
      <c r="H85" s="359"/>
      <c r="I85" s="359"/>
      <c r="J85" s="359"/>
      <c r="K85" s="360"/>
    </row>
    <row r="86" spans="2:12">
      <c r="B86" s="79"/>
      <c r="C86" s="87"/>
      <c r="D86" s="87"/>
      <c r="E86" s="87"/>
      <c r="F86" s="88"/>
      <c r="G86" s="89"/>
      <c r="H86" s="79"/>
      <c r="I86" s="79"/>
      <c r="J86" s="89"/>
      <c r="K86" s="79"/>
      <c r="L86" s="79"/>
    </row>
    <row r="87" spans="2:12">
      <c r="B87" s="54" t="s">
        <v>512</v>
      </c>
      <c r="C87" s="90"/>
      <c r="D87" s="87"/>
      <c r="E87" s="87"/>
      <c r="F87" s="88"/>
      <c r="G87" s="89"/>
      <c r="H87" s="79"/>
      <c r="I87" s="79"/>
      <c r="J87" s="89"/>
      <c r="K87" s="79"/>
      <c r="L87" s="91"/>
    </row>
    <row r="88" spans="2:12">
      <c r="B88" s="54" t="s">
        <v>139</v>
      </c>
      <c r="C88" s="90"/>
      <c r="D88" s="87"/>
      <c r="E88" s="87"/>
      <c r="F88" s="88"/>
      <c r="G88" s="89"/>
      <c r="H88" s="79"/>
      <c r="I88" s="79"/>
      <c r="J88" s="89"/>
      <c r="K88" s="79"/>
      <c r="L88" s="79"/>
    </row>
    <row r="89" spans="2:12">
      <c r="B89" s="54"/>
      <c r="C89" s="90"/>
      <c r="D89" s="87"/>
      <c r="E89" s="87"/>
      <c r="F89" s="88"/>
      <c r="G89" s="89"/>
      <c r="H89" s="79"/>
      <c r="I89" s="79"/>
      <c r="J89" s="89"/>
      <c r="K89" s="79"/>
      <c r="L89" s="79"/>
    </row>
  </sheetData>
  <mergeCells count="75">
    <mergeCell ref="C17:D17"/>
    <mergeCell ref="B6:C7"/>
    <mergeCell ref="D6:D7"/>
    <mergeCell ref="E6:F7"/>
    <mergeCell ref="G6:K7"/>
    <mergeCell ref="B8:C8"/>
    <mergeCell ref="E8:F9"/>
    <mergeCell ref="G8:K9"/>
    <mergeCell ref="B9:C9"/>
    <mergeCell ref="C11:D11"/>
    <mergeCell ref="B12:M12"/>
    <mergeCell ref="C14:D14"/>
    <mergeCell ref="C15:D15"/>
    <mergeCell ref="C16:D16"/>
    <mergeCell ref="C30:D30"/>
    <mergeCell ref="C18:D18"/>
    <mergeCell ref="C19:D19"/>
    <mergeCell ref="C20:D20"/>
    <mergeCell ref="C21:D21"/>
    <mergeCell ref="C22:D22"/>
    <mergeCell ref="C23:D23"/>
    <mergeCell ref="C24:D24"/>
    <mergeCell ref="C25:D25"/>
    <mergeCell ref="C26:D26"/>
    <mergeCell ref="B27:M27"/>
    <mergeCell ref="C29:D29"/>
    <mergeCell ref="C43:D43"/>
    <mergeCell ref="C31:D31"/>
    <mergeCell ref="B32:M32"/>
    <mergeCell ref="C34:D34"/>
    <mergeCell ref="C35:D35"/>
    <mergeCell ref="C36:D36"/>
    <mergeCell ref="C37:D37"/>
    <mergeCell ref="C38:D38"/>
    <mergeCell ref="C39:D39"/>
    <mergeCell ref="C40:D40"/>
    <mergeCell ref="C41:D41"/>
    <mergeCell ref="C42:D42"/>
    <mergeCell ref="C55:D55"/>
    <mergeCell ref="C44:D44"/>
    <mergeCell ref="C45:D45"/>
    <mergeCell ref="C46:D46"/>
    <mergeCell ref="C47:D47"/>
    <mergeCell ref="C48:D48"/>
    <mergeCell ref="C49:D49"/>
    <mergeCell ref="C50:D50"/>
    <mergeCell ref="C51:D51"/>
    <mergeCell ref="C52:D52"/>
    <mergeCell ref="C53:D53"/>
    <mergeCell ref="C54:D54"/>
    <mergeCell ref="C70:D70"/>
    <mergeCell ref="C56:D56"/>
    <mergeCell ref="C58:D58"/>
    <mergeCell ref="C59:D59"/>
    <mergeCell ref="C60:D60"/>
    <mergeCell ref="C62:D62"/>
    <mergeCell ref="C63:D63"/>
    <mergeCell ref="C64:D64"/>
    <mergeCell ref="C65:D65"/>
    <mergeCell ref="C67:D67"/>
    <mergeCell ref="C68:D68"/>
    <mergeCell ref="C69:D69"/>
    <mergeCell ref="C85:D85"/>
    <mergeCell ref="F85:K85"/>
    <mergeCell ref="C72:D72"/>
    <mergeCell ref="C73:D73"/>
    <mergeCell ref="C74:D74"/>
    <mergeCell ref="C77:D77"/>
    <mergeCell ref="C79:D79"/>
    <mergeCell ref="C80:D80"/>
    <mergeCell ref="B82:K82"/>
    <mergeCell ref="C83:D83"/>
    <mergeCell ref="F83:K83"/>
    <mergeCell ref="C84:D84"/>
    <mergeCell ref="F84:K84"/>
  </mergeCells>
  <conditionalFormatting sqref="F14:K24 F26:K26 E84:E85">
    <cfRule type="containsBlanks" dxfId="67" priority="52" stopIfTrue="1">
      <formula>LEN(TRIM(E14))=0</formula>
    </cfRule>
  </conditionalFormatting>
  <conditionalFormatting sqref="F34:H56">
    <cfRule type="containsBlanks" dxfId="66" priority="41" stopIfTrue="1">
      <formula>LEN(TRIM(F34))=0</formula>
    </cfRule>
  </conditionalFormatting>
  <conditionalFormatting sqref="I34:I56">
    <cfRule type="containsBlanks" dxfId="65" priority="40" stopIfTrue="1">
      <formula>LEN(TRIM(I34))=0</formula>
    </cfRule>
  </conditionalFormatting>
  <conditionalFormatting sqref="K34:K56">
    <cfRule type="containsBlanks" dxfId="64" priority="39" stopIfTrue="1">
      <formula>LEN(TRIM(K34))=0</formula>
    </cfRule>
  </conditionalFormatting>
  <conditionalFormatting sqref="J34:J56">
    <cfRule type="containsBlanks" dxfId="63" priority="38" stopIfTrue="1">
      <formula>LEN(TRIM(J34))=0</formula>
    </cfRule>
  </conditionalFormatting>
  <conditionalFormatting sqref="F58:H59">
    <cfRule type="containsBlanks" dxfId="62" priority="37" stopIfTrue="1">
      <formula>LEN(TRIM(F58))=0</formula>
    </cfRule>
  </conditionalFormatting>
  <conditionalFormatting sqref="I58:I59">
    <cfRule type="containsBlanks" dxfId="61" priority="36" stopIfTrue="1">
      <formula>LEN(TRIM(I58))=0</formula>
    </cfRule>
  </conditionalFormatting>
  <conditionalFormatting sqref="K58:K59">
    <cfRule type="containsBlanks" dxfId="60" priority="35" stopIfTrue="1">
      <formula>LEN(TRIM(K58))=0</formula>
    </cfRule>
  </conditionalFormatting>
  <conditionalFormatting sqref="J58:J59">
    <cfRule type="containsBlanks" dxfId="59" priority="34" stopIfTrue="1">
      <formula>LEN(TRIM(J58))=0</formula>
    </cfRule>
  </conditionalFormatting>
  <conditionalFormatting sqref="F62:F65 H62:H65">
    <cfRule type="containsBlanks" dxfId="58" priority="33" stopIfTrue="1">
      <formula>LEN(TRIM(F62))=0</formula>
    </cfRule>
  </conditionalFormatting>
  <conditionalFormatting sqref="I62:I65">
    <cfRule type="containsBlanks" dxfId="57" priority="32" stopIfTrue="1">
      <formula>LEN(TRIM(I62))=0</formula>
    </cfRule>
  </conditionalFormatting>
  <conditionalFormatting sqref="G62:G65">
    <cfRule type="containsBlanks" dxfId="56" priority="31" stopIfTrue="1">
      <formula>LEN(TRIM(G62))=0</formula>
    </cfRule>
  </conditionalFormatting>
  <conditionalFormatting sqref="K62:K65">
    <cfRule type="containsBlanks" dxfId="55" priority="30" stopIfTrue="1">
      <formula>LEN(TRIM(K62))=0</formula>
    </cfRule>
  </conditionalFormatting>
  <conditionalFormatting sqref="J62:J65">
    <cfRule type="containsBlanks" dxfId="54" priority="29" stopIfTrue="1">
      <formula>LEN(TRIM(J62))=0</formula>
    </cfRule>
  </conditionalFormatting>
  <conditionalFormatting sqref="F67 F70 H67">
    <cfRule type="containsBlanks" dxfId="53" priority="28" stopIfTrue="1">
      <formula>LEN(TRIM(F67))=0</formula>
    </cfRule>
  </conditionalFormatting>
  <conditionalFormatting sqref="F68 H68:H70">
    <cfRule type="containsBlanks" dxfId="52" priority="27" stopIfTrue="1">
      <formula>LEN(TRIM(F68))=0</formula>
    </cfRule>
  </conditionalFormatting>
  <conditionalFormatting sqref="F69">
    <cfRule type="containsBlanks" dxfId="51" priority="26" stopIfTrue="1">
      <formula>LEN(TRIM(F69))=0</formula>
    </cfRule>
  </conditionalFormatting>
  <conditionalFormatting sqref="I67 I70">
    <cfRule type="containsBlanks" dxfId="50" priority="25" stopIfTrue="1">
      <formula>LEN(TRIM(I67))=0</formula>
    </cfRule>
  </conditionalFormatting>
  <conditionalFormatting sqref="I68">
    <cfRule type="containsBlanks" dxfId="49" priority="24" stopIfTrue="1">
      <formula>LEN(TRIM(I68))=0</formula>
    </cfRule>
  </conditionalFormatting>
  <conditionalFormatting sqref="I69">
    <cfRule type="containsBlanks" dxfId="48" priority="23" stopIfTrue="1">
      <formula>LEN(TRIM(I69))=0</formula>
    </cfRule>
  </conditionalFormatting>
  <conditionalFormatting sqref="G67:G70">
    <cfRule type="containsBlanks" dxfId="47" priority="22" stopIfTrue="1">
      <formula>LEN(TRIM(G67))=0</formula>
    </cfRule>
  </conditionalFormatting>
  <conditionalFormatting sqref="K67">
    <cfRule type="containsBlanks" dxfId="46" priority="21" stopIfTrue="1">
      <formula>LEN(TRIM(K67))=0</formula>
    </cfRule>
  </conditionalFormatting>
  <conditionalFormatting sqref="K68:K70">
    <cfRule type="containsBlanks" dxfId="45" priority="20" stopIfTrue="1">
      <formula>LEN(TRIM(K68))=0</formula>
    </cfRule>
  </conditionalFormatting>
  <conditionalFormatting sqref="J67:J70">
    <cfRule type="containsBlanks" dxfId="44" priority="19" stopIfTrue="1">
      <formula>LEN(TRIM(J67))=0</formula>
    </cfRule>
  </conditionalFormatting>
  <conditionalFormatting sqref="F72:H74">
    <cfRule type="containsBlanks" dxfId="43" priority="18" stopIfTrue="1">
      <formula>LEN(TRIM(F72))=0</formula>
    </cfRule>
  </conditionalFormatting>
  <conditionalFormatting sqref="I72:I74">
    <cfRule type="containsBlanks" dxfId="42" priority="17" stopIfTrue="1">
      <formula>LEN(TRIM(I72))=0</formula>
    </cfRule>
  </conditionalFormatting>
  <conditionalFormatting sqref="K72:K74">
    <cfRule type="containsBlanks" dxfId="41" priority="16" stopIfTrue="1">
      <formula>LEN(TRIM(K72))=0</formula>
    </cfRule>
  </conditionalFormatting>
  <conditionalFormatting sqref="J72:J74">
    <cfRule type="containsBlanks" dxfId="40" priority="15" stopIfTrue="1">
      <formula>LEN(TRIM(J72))=0</formula>
    </cfRule>
  </conditionalFormatting>
  <conditionalFormatting sqref="F77 H77:I77">
    <cfRule type="containsBlanks" dxfId="39" priority="14" stopIfTrue="1">
      <formula>LEN(TRIM(F77))=0</formula>
    </cfRule>
  </conditionalFormatting>
  <conditionalFormatting sqref="G77">
    <cfRule type="containsBlanks" dxfId="38" priority="13" stopIfTrue="1">
      <formula>LEN(TRIM(G77))=0</formula>
    </cfRule>
  </conditionalFormatting>
  <conditionalFormatting sqref="K77">
    <cfRule type="containsBlanks" dxfId="37" priority="12" stopIfTrue="1">
      <formula>LEN(TRIM(K77))=0</formula>
    </cfRule>
  </conditionalFormatting>
  <conditionalFormatting sqref="J77">
    <cfRule type="containsBlanks" dxfId="36" priority="11" stopIfTrue="1">
      <formula>LEN(TRIM(J77))=0</formula>
    </cfRule>
  </conditionalFormatting>
  <conditionalFormatting sqref="F79:I79">
    <cfRule type="containsBlanks" dxfId="35" priority="10" stopIfTrue="1">
      <formula>LEN(TRIM(F79))=0</formula>
    </cfRule>
  </conditionalFormatting>
  <conditionalFormatting sqref="K79">
    <cfRule type="containsBlanks" dxfId="34" priority="9" stopIfTrue="1">
      <formula>LEN(TRIM(K79))=0</formula>
    </cfRule>
  </conditionalFormatting>
  <conditionalFormatting sqref="J79">
    <cfRule type="containsBlanks" dxfId="33" priority="8" stopIfTrue="1">
      <formula>LEN(TRIM(J79))=0</formula>
    </cfRule>
  </conditionalFormatting>
  <conditionalFormatting sqref="F29:H31">
    <cfRule type="containsBlanks" dxfId="32" priority="4" stopIfTrue="1">
      <formula>LEN(TRIM(F29))=0</formula>
    </cfRule>
  </conditionalFormatting>
  <conditionalFormatting sqref="I29:I31">
    <cfRule type="containsBlanks" dxfId="31" priority="3" stopIfTrue="1">
      <formula>LEN(TRIM(I29))=0</formula>
    </cfRule>
  </conditionalFormatting>
  <conditionalFormatting sqref="K29:K31">
    <cfRule type="containsBlanks" dxfId="30" priority="2" stopIfTrue="1">
      <formula>LEN(TRIM(K29))=0</formula>
    </cfRule>
  </conditionalFormatting>
  <conditionalFormatting sqref="J29:J31">
    <cfRule type="containsBlanks" dxfId="29" priority="1" stopIfTrue="1">
      <formula>LEN(TRIM(J29))=0</formula>
    </cfRule>
  </conditionalFormatting>
  <dataValidations count="2">
    <dataValidation type="list" showInputMessage="1" showErrorMessage="1" sqref="F76 JB76 SX76 ACT76 AMP76 AWL76 BGH76 BQD76 BZZ76 CJV76 CTR76 DDN76 DNJ76 DXF76 EHB76 EQX76 FAT76 FKP76 FUL76 GEH76 GOD76 GXZ76 HHV76 HRR76 IBN76 ILJ76 IVF76 JFB76 JOX76 JYT76 KIP76 KSL76 LCH76 LMD76 LVZ76 MFV76 MPR76 MZN76 NJJ76 NTF76 ODB76 OMX76 OWT76 PGP76 PQL76 QAH76 QKD76 QTZ76 RDV76 RNR76 RXN76 SHJ76 SRF76 TBB76 TKX76 TUT76 UEP76 UOL76 UYH76 VID76 VRZ76 WBV76 WLR76 WVN76 F65612 JB65612 SX65612 ACT65612 AMP65612 AWL65612 BGH65612 BQD65612 BZZ65612 CJV65612 CTR65612 DDN65612 DNJ65612 DXF65612 EHB65612 EQX65612 FAT65612 FKP65612 FUL65612 GEH65612 GOD65612 GXZ65612 HHV65612 HRR65612 IBN65612 ILJ65612 IVF65612 JFB65612 JOX65612 JYT65612 KIP65612 KSL65612 LCH65612 LMD65612 LVZ65612 MFV65612 MPR65612 MZN65612 NJJ65612 NTF65612 ODB65612 OMX65612 OWT65612 PGP65612 PQL65612 QAH65612 QKD65612 QTZ65612 RDV65612 RNR65612 RXN65612 SHJ65612 SRF65612 TBB65612 TKX65612 TUT65612 UEP65612 UOL65612 UYH65612 VID65612 VRZ65612 WBV65612 WLR65612 WVN65612 F131148 JB131148 SX131148 ACT131148 AMP131148 AWL131148 BGH131148 BQD131148 BZZ131148 CJV131148 CTR131148 DDN131148 DNJ131148 DXF131148 EHB131148 EQX131148 FAT131148 FKP131148 FUL131148 GEH131148 GOD131148 GXZ131148 HHV131148 HRR131148 IBN131148 ILJ131148 IVF131148 JFB131148 JOX131148 JYT131148 KIP131148 KSL131148 LCH131148 LMD131148 LVZ131148 MFV131148 MPR131148 MZN131148 NJJ131148 NTF131148 ODB131148 OMX131148 OWT131148 PGP131148 PQL131148 QAH131148 QKD131148 QTZ131148 RDV131148 RNR131148 RXN131148 SHJ131148 SRF131148 TBB131148 TKX131148 TUT131148 UEP131148 UOL131148 UYH131148 VID131148 VRZ131148 WBV131148 WLR131148 WVN131148 F196684 JB196684 SX196684 ACT196684 AMP196684 AWL196684 BGH196684 BQD196684 BZZ196684 CJV196684 CTR196684 DDN196684 DNJ196684 DXF196684 EHB196684 EQX196684 FAT196684 FKP196684 FUL196684 GEH196684 GOD196684 GXZ196684 HHV196684 HRR196684 IBN196684 ILJ196684 IVF196684 JFB196684 JOX196684 JYT196684 KIP196684 KSL196684 LCH196684 LMD196684 LVZ196684 MFV196684 MPR196684 MZN196684 NJJ196684 NTF196684 ODB196684 OMX196684 OWT196684 PGP196684 PQL196684 QAH196684 QKD196684 QTZ196684 RDV196684 RNR196684 RXN196684 SHJ196684 SRF196684 TBB196684 TKX196684 TUT196684 UEP196684 UOL196684 UYH196684 VID196684 VRZ196684 WBV196684 WLR196684 WVN196684 F262220 JB262220 SX262220 ACT262220 AMP262220 AWL262220 BGH262220 BQD262220 BZZ262220 CJV262220 CTR262220 DDN262220 DNJ262220 DXF262220 EHB262220 EQX262220 FAT262220 FKP262220 FUL262220 GEH262220 GOD262220 GXZ262220 HHV262220 HRR262220 IBN262220 ILJ262220 IVF262220 JFB262220 JOX262220 JYT262220 KIP262220 KSL262220 LCH262220 LMD262220 LVZ262220 MFV262220 MPR262220 MZN262220 NJJ262220 NTF262220 ODB262220 OMX262220 OWT262220 PGP262220 PQL262220 QAH262220 QKD262220 QTZ262220 RDV262220 RNR262220 RXN262220 SHJ262220 SRF262220 TBB262220 TKX262220 TUT262220 UEP262220 UOL262220 UYH262220 VID262220 VRZ262220 WBV262220 WLR262220 WVN262220 F327756 JB327756 SX327756 ACT327756 AMP327756 AWL327756 BGH327756 BQD327756 BZZ327756 CJV327756 CTR327756 DDN327756 DNJ327756 DXF327756 EHB327756 EQX327756 FAT327756 FKP327756 FUL327756 GEH327756 GOD327756 GXZ327756 HHV327756 HRR327756 IBN327756 ILJ327756 IVF327756 JFB327756 JOX327756 JYT327756 KIP327756 KSL327756 LCH327756 LMD327756 LVZ327756 MFV327756 MPR327756 MZN327756 NJJ327756 NTF327756 ODB327756 OMX327756 OWT327756 PGP327756 PQL327756 QAH327756 QKD327756 QTZ327756 RDV327756 RNR327756 RXN327756 SHJ327756 SRF327756 TBB327756 TKX327756 TUT327756 UEP327756 UOL327756 UYH327756 VID327756 VRZ327756 WBV327756 WLR327756 WVN327756 F393292 JB393292 SX393292 ACT393292 AMP393292 AWL393292 BGH393292 BQD393292 BZZ393292 CJV393292 CTR393292 DDN393292 DNJ393292 DXF393292 EHB393292 EQX393292 FAT393292 FKP393292 FUL393292 GEH393292 GOD393292 GXZ393292 HHV393292 HRR393292 IBN393292 ILJ393292 IVF393292 JFB393292 JOX393292 JYT393292 KIP393292 KSL393292 LCH393292 LMD393292 LVZ393292 MFV393292 MPR393292 MZN393292 NJJ393292 NTF393292 ODB393292 OMX393292 OWT393292 PGP393292 PQL393292 QAH393292 QKD393292 QTZ393292 RDV393292 RNR393292 RXN393292 SHJ393292 SRF393292 TBB393292 TKX393292 TUT393292 UEP393292 UOL393292 UYH393292 VID393292 VRZ393292 WBV393292 WLR393292 WVN393292 F458828 JB458828 SX458828 ACT458828 AMP458828 AWL458828 BGH458828 BQD458828 BZZ458828 CJV458828 CTR458828 DDN458828 DNJ458828 DXF458828 EHB458828 EQX458828 FAT458828 FKP458828 FUL458828 GEH458828 GOD458828 GXZ458828 HHV458828 HRR458828 IBN458828 ILJ458828 IVF458828 JFB458828 JOX458828 JYT458828 KIP458828 KSL458828 LCH458828 LMD458828 LVZ458828 MFV458828 MPR458828 MZN458828 NJJ458828 NTF458828 ODB458828 OMX458828 OWT458828 PGP458828 PQL458828 QAH458828 QKD458828 QTZ458828 RDV458828 RNR458828 RXN458828 SHJ458828 SRF458828 TBB458828 TKX458828 TUT458828 UEP458828 UOL458828 UYH458828 VID458828 VRZ458828 WBV458828 WLR458828 WVN458828 F524364 JB524364 SX524364 ACT524364 AMP524364 AWL524364 BGH524364 BQD524364 BZZ524364 CJV524364 CTR524364 DDN524364 DNJ524364 DXF524364 EHB524364 EQX524364 FAT524364 FKP524364 FUL524364 GEH524364 GOD524364 GXZ524364 HHV524364 HRR524364 IBN524364 ILJ524364 IVF524364 JFB524364 JOX524364 JYT524364 KIP524364 KSL524364 LCH524364 LMD524364 LVZ524364 MFV524364 MPR524364 MZN524364 NJJ524364 NTF524364 ODB524364 OMX524364 OWT524364 PGP524364 PQL524364 QAH524364 QKD524364 QTZ524364 RDV524364 RNR524364 RXN524364 SHJ524364 SRF524364 TBB524364 TKX524364 TUT524364 UEP524364 UOL524364 UYH524364 VID524364 VRZ524364 WBV524364 WLR524364 WVN524364 F589900 JB589900 SX589900 ACT589900 AMP589900 AWL589900 BGH589900 BQD589900 BZZ589900 CJV589900 CTR589900 DDN589900 DNJ589900 DXF589900 EHB589900 EQX589900 FAT589900 FKP589900 FUL589900 GEH589900 GOD589900 GXZ589900 HHV589900 HRR589900 IBN589900 ILJ589900 IVF589900 JFB589900 JOX589900 JYT589900 KIP589900 KSL589900 LCH589900 LMD589900 LVZ589900 MFV589900 MPR589900 MZN589900 NJJ589900 NTF589900 ODB589900 OMX589900 OWT589900 PGP589900 PQL589900 QAH589900 QKD589900 QTZ589900 RDV589900 RNR589900 RXN589900 SHJ589900 SRF589900 TBB589900 TKX589900 TUT589900 UEP589900 UOL589900 UYH589900 VID589900 VRZ589900 WBV589900 WLR589900 WVN589900 F655436 JB655436 SX655436 ACT655436 AMP655436 AWL655436 BGH655436 BQD655436 BZZ655436 CJV655436 CTR655436 DDN655436 DNJ655436 DXF655436 EHB655436 EQX655436 FAT655436 FKP655436 FUL655436 GEH655436 GOD655436 GXZ655436 HHV655436 HRR655436 IBN655436 ILJ655436 IVF655436 JFB655436 JOX655436 JYT655436 KIP655436 KSL655436 LCH655436 LMD655436 LVZ655436 MFV655436 MPR655436 MZN655436 NJJ655436 NTF655436 ODB655436 OMX655436 OWT655436 PGP655436 PQL655436 QAH655436 QKD655436 QTZ655436 RDV655436 RNR655436 RXN655436 SHJ655436 SRF655436 TBB655436 TKX655436 TUT655436 UEP655436 UOL655436 UYH655436 VID655436 VRZ655436 WBV655436 WLR655436 WVN655436 F720972 JB720972 SX720972 ACT720972 AMP720972 AWL720972 BGH720972 BQD720972 BZZ720972 CJV720972 CTR720972 DDN720972 DNJ720972 DXF720972 EHB720972 EQX720972 FAT720972 FKP720972 FUL720972 GEH720972 GOD720972 GXZ720972 HHV720972 HRR720972 IBN720972 ILJ720972 IVF720972 JFB720972 JOX720972 JYT720972 KIP720972 KSL720972 LCH720972 LMD720972 LVZ720972 MFV720972 MPR720972 MZN720972 NJJ720972 NTF720972 ODB720972 OMX720972 OWT720972 PGP720972 PQL720972 QAH720972 QKD720972 QTZ720972 RDV720972 RNR720972 RXN720972 SHJ720972 SRF720972 TBB720972 TKX720972 TUT720972 UEP720972 UOL720972 UYH720972 VID720972 VRZ720972 WBV720972 WLR720972 WVN720972 F786508 JB786508 SX786508 ACT786508 AMP786508 AWL786508 BGH786508 BQD786508 BZZ786508 CJV786508 CTR786508 DDN786508 DNJ786508 DXF786508 EHB786508 EQX786508 FAT786508 FKP786508 FUL786508 GEH786508 GOD786508 GXZ786508 HHV786508 HRR786508 IBN786508 ILJ786508 IVF786508 JFB786508 JOX786508 JYT786508 KIP786508 KSL786508 LCH786508 LMD786508 LVZ786508 MFV786508 MPR786508 MZN786508 NJJ786508 NTF786508 ODB786508 OMX786508 OWT786508 PGP786508 PQL786508 QAH786508 QKD786508 QTZ786508 RDV786508 RNR786508 RXN786508 SHJ786508 SRF786508 TBB786508 TKX786508 TUT786508 UEP786508 UOL786508 UYH786508 VID786508 VRZ786508 WBV786508 WLR786508 WVN786508 F852044 JB852044 SX852044 ACT852044 AMP852044 AWL852044 BGH852044 BQD852044 BZZ852044 CJV852044 CTR852044 DDN852044 DNJ852044 DXF852044 EHB852044 EQX852044 FAT852044 FKP852044 FUL852044 GEH852044 GOD852044 GXZ852044 HHV852044 HRR852044 IBN852044 ILJ852044 IVF852044 JFB852044 JOX852044 JYT852044 KIP852044 KSL852044 LCH852044 LMD852044 LVZ852044 MFV852044 MPR852044 MZN852044 NJJ852044 NTF852044 ODB852044 OMX852044 OWT852044 PGP852044 PQL852044 QAH852044 QKD852044 QTZ852044 RDV852044 RNR852044 RXN852044 SHJ852044 SRF852044 TBB852044 TKX852044 TUT852044 UEP852044 UOL852044 UYH852044 VID852044 VRZ852044 WBV852044 WLR852044 WVN852044 F917580 JB917580 SX917580 ACT917580 AMP917580 AWL917580 BGH917580 BQD917580 BZZ917580 CJV917580 CTR917580 DDN917580 DNJ917580 DXF917580 EHB917580 EQX917580 FAT917580 FKP917580 FUL917580 GEH917580 GOD917580 GXZ917580 HHV917580 HRR917580 IBN917580 ILJ917580 IVF917580 JFB917580 JOX917580 JYT917580 KIP917580 KSL917580 LCH917580 LMD917580 LVZ917580 MFV917580 MPR917580 MZN917580 NJJ917580 NTF917580 ODB917580 OMX917580 OWT917580 PGP917580 PQL917580 QAH917580 QKD917580 QTZ917580 RDV917580 RNR917580 RXN917580 SHJ917580 SRF917580 TBB917580 TKX917580 TUT917580 UEP917580 UOL917580 UYH917580 VID917580 VRZ917580 WBV917580 WLR917580 WVN917580 F983116 JB983116 SX983116 ACT983116 AMP983116 AWL983116 BGH983116 BQD983116 BZZ983116 CJV983116 CTR983116 DDN983116 DNJ983116 DXF983116 EHB983116 EQX983116 FAT983116 FKP983116 FUL983116 GEH983116 GOD983116 GXZ983116 HHV983116 HRR983116 IBN983116 ILJ983116 IVF983116 JFB983116 JOX983116 JYT983116 KIP983116 KSL983116 LCH983116 LMD983116 LVZ983116 MFV983116 MPR983116 MZN983116 NJJ983116 NTF983116 ODB983116 OMX983116 OWT983116 PGP983116 PQL983116 QAH983116 QKD983116 QTZ983116 RDV983116 RNR983116 RXN983116 SHJ983116 SRF983116 TBB983116 TKX983116 TUT983116 UEP983116 UOL983116 UYH983116 VID983116 VRZ983116 WBV983116 WLR983116 WVN983116 F78 JB78 SX78 ACT78 AMP78 AWL78 BGH78 BQD78 BZZ78 CJV78 CTR78 DDN78 DNJ78 DXF78 EHB78 EQX78 FAT78 FKP78 FUL78 GEH78 GOD78 GXZ78 HHV78 HRR78 IBN78 ILJ78 IVF78 JFB78 JOX78 JYT78 KIP78 KSL78 LCH78 LMD78 LVZ78 MFV78 MPR78 MZN78 NJJ78 NTF78 ODB78 OMX78 OWT78 PGP78 PQL78 QAH78 QKD78 QTZ78 RDV78 RNR78 RXN78 SHJ78 SRF78 TBB78 TKX78 TUT78 UEP78 UOL78 UYH78 VID78 VRZ78 WBV78 WLR78 WVN78 F65614 JB65614 SX65614 ACT65614 AMP65614 AWL65614 BGH65614 BQD65614 BZZ65614 CJV65614 CTR65614 DDN65614 DNJ65614 DXF65614 EHB65614 EQX65614 FAT65614 FKP65614 FUL65614 GEH65614 GOD65614 GXZ65614 HHV65614 HRR65614 IBN65614 ILJ65614 IVF65614 JFB65614 JOX65614 JYT65614 KIP65614 KSL65614 LCH65614 LMD65614 LVZ65614 MFV65614 MPR65614 MZN65614 NJJ65614 NTF65614 ODB65614 OMX65614 OWT65614 PGP65614 PQL65614 QAH65614 QKD65614 QTZ65614 RDV65614 RNR65614 RXN65614 SHJ65614 SRF65614 TBB65614 TKX65614 TUT65614 UEP65614 UOL65614 UYH65614 VID65614 VRZ65614 WBV65614 WLR65614 WVN65614 F131150 JB131150 SX131150 ACT131150 AMP131150 AWL131150 BGH131150 BQD131150 BZZ131150 CJV131150 CTR131150 DDN131150 DNJ131150 DXF131150 EHB131150 EQX131150 FAT131150 FKP131150 FUL131150 GEH131150 GOD131150 GXZ131150 HHV131150 HRR131150 IBN131150 ILJ131150 IVF131150 JFB131150 JOX131150 JYT131150 KIP131150 KSL131150 LCH131150 LMD131150 LVZ131150 MFV131150 MPR131150 MZN131150 NJJ131150 NTF131150 ODB131150 OMX131150 OWT131150 PGP131150 PQL131150 QAH131150 QKD131150 QTZ131150 RDV131150 RNR131150 RXN131150 SHJ131150 SRF131150 TBB131150 TKX131150 TUT131150 UEP131150 UOL131150 UYH131150 VID131150 VRZ131150 WBV131150 WLR131150 WVN131150 F196686 JB196686 SX196686 ACT196686 AMP196686 AWL196686 BGH196686 BQD196686 BZZ196686 CJV196686 CTR196686 DDN196686 DNJ196686 DXF196686 EHB196686 EQX196686 FAT196686 FKP196686 FUL196686 GEH196686 GOD196686 GXZ196686 HHV196686 HRR196686 IBN196686 ILJ196686 IVF196686 JFB196686 JOX196686 JYT196686 KIP196686 KSL196686 LCH196686 LMD196686 LVZ196686 MFV196686 MPR196686 MZN196686 NJJ196686 NTF196686 ODB196686 OMX196686 OWT196686 PGP196686 PQL196686 QAH196686 QKD196686 QTZ196686 RDV196686 RNR196686 RXN196686 SHJ196686 SRF196686 TBB196686 TKX196686 TUT196686 UEP196686 UOL196686 UYH196686 VID196686 VRZ196686 WBV196686 WLR196686 WVN196686 F262222 JB262222 SX262222 ACT262222 AMP262222 AWL262222 BGH262222 BQD262222 BZZ262222 CJV262222 CTR262222 DDN262222 DNJ262222 DXF262222 EHB262222 EQX262222 FAT262222 FKP262222 FUL262222 GEH262222 GOD262222 GXZ262222 HHV262222 HRR262222 IBN262222 ILJ262222 IVF262222 JFB262222 JOX262222 JYT262222 KIP262222 KSL262222 LCH262222 LMD262222 LVZ262222 MFV262222 MPR262222 MZN262222 NJJ262222 NTF262222 ODB262222 OMX262222 OWT262222 PGP262222 PQL262222 QAH262222 QKD262222 QTZ262222 RDV262222 RNR262222 RXN262222 SHJ262222 SRF262222 TBB262222 TKX262222 TUT262222 UEP262222 UOL262222 UYH262222 VID262222 VRZ262222 WBV262222 WLR262222 WVN262222 F327758 JB327758 SX327758 ACT327758 AMP327758 AWL327758 BGH327758 BQD327758 BZZ327758 CJV327758 CTR327758 DDN327758 DNJ327758 DXF327758 EHB327758 EQX327758 FAT327758 FKP327758 FUL327758 GEH327758 GOD327758 GXZ327758 HHV327758 HRR327758 IBN327758 ILJ327758 IVF327758 JFB327758 JOX327758 JYT327758 KIP327758 KSL327758 LCH327758 LMD327758 LVZ327758 MFV327758 MPR327758 MZN327758 NJJ327758 NTF327758 ODB327758 OMX327758 OWT327758 PGP327758 PQL327758 QAH327758 QKD327758 QTZ327758 RDV327758 RNR327758 RXN327758 SHJ327758 SRF327758 TBB327758 TKX327758 TUT327758 UEP327758 UOL327758 UYH327758 VID327758 VRZ327758 WBV327758 WLR327758 WVN327758 F393294 JB393294 SX393294 ACT393294 AMP393294 AWL393294 BGH393294 BQD393294 BZZ393294 CJV393294 CTR393294 DDN393294 DNJ393294 DXF393294 EHB393294 EQX393294 FAT393294 FKP393294 FUL393294 GEH393294 GOD393294 GXZ393294 HHV393294 HRR393294 IBN393294 ILJ393294 IVF393294 JFB393294 JOX393294 JYT393294 KIP393294 KSL393294 LCH393294 LMD393294 LVZ393294 MFV393294 MPR393294 MZN393294 NJJ393294 NTF393294 ODB393294 OMX393294 OWT393294 PGP393294 PQL393294 QAH393294 QKD393294 QTZ393294 RDV393294 RNR393294 RXN393294 SHJ393294 SRF393294 TBB393294 TKX393294 TUT393294 UEP393294 UOL393294 UYH393294 VID393294 VRZ393294 WBV393294 WLR393294 WVN393294 F458830 JB458830 SX458830 ACT458830 AMP458830 AWL458830 BGH458830 BQD458830 BZZ458830 CJV458830 CTR458830 DDN458830 DNJ458830 DXF458830 EHB458830 EQX458830 FAT458830 FKP458830 FUL458830 GEH458830 GOD458830 GXZ458830 HHV458830 HRR458830 IBN458830 ILJ458830 IVF458830 JFB458830 JOX458830 JYT458830 KIP458830 KSL458830 LCH458830 LMD458830 LVZ458830 MFV458830 MPR458830 MZN458830 NJJ458830 NTF458830 ODB458830 OMX458830 OWT458830 PGP458830 PQL458830 QAH458830 QKD458830 QTZ458830 RDV458830 RNR458830 RXN458830 SHJ458830 SRF458830 TBB458830 TKX458830 TUT458830 UEP458830 UOL458830 UYH458830 VID458830 VRZ458830 WBV458830 WLR458830 WVN458830 F524366 JB524366 SX524366 ACT524366 AMP524366 AWL524366 BGH524366 BQD524366 BZZ524366 CJV524366 CTR524366 DDN524366 DNJ524366 DXF524366 EHB524366 EQX524366 FAT524366 FKP524366 FUL524366 GEH524366 GOD524366 GXZ524366 HHV524366 HRR524366 IBN524366 ILJ524366 IVF524366 JFB524366 JOX524366 JYT524366 KIP524366 KSL524366 LCH524366 LMD524366 LVZ524366 MFV524366 MPR524366 MZN524366 NJJ524366 NTF524366 ODB524366 OMX524366 OWT524366 PGP524366 PQL524366 QAH524366 QKD524366 QTZ524366 RDV524366 RNR524366 RXN524366 SHJ524366 SRF524366 TBB524366 TKX524366 TUT524366 UEP524366 UOL524366 UYH524366 VID524366 VRZ524366 WBV524366 WLR524366 WVN524366 F589902 JB589902 SX589902 ACT589902 AMP589902 AWL589902 BGH589902 BQD589902 BZZ589902 CJV589902 CTR589902 DDN589902 DNJ589902 DXF589902 EHB589902 EQX589902 FAT589902 FKP589902 FUL589902 GEH589902 GOD589902 GXZ589902 HHV589902 HRR589902 IBN589902 ILJ589902 IVF589902 JFB589902 JOX589902 JYT589902 KIP589902 KSL589902 LCH589902 LMD589902 LVZ589902 MFV589902 MPR589902 MZN589902 NJJ589902 NTF589902 ODB589902 OMX589902 OWT589902 PGP589902 PQL589902 QAH589902 QKD589902 QTZ589902 RDV589902 RNR589902 RXN589902 SHJ589902 SRF589902 TBB589902 TKX589902 TUT589902 UEP589902 UOL589902 UYH589902 VID589902 VRZ589902 WBV589902 WLR589902 WVN589902 F655438 JB655438 SX655438 ACT655438 AMP655438 AWL655438 BGH655438 BQD655438 BZZ655438 CJV655438 CTR655438 DDN655438 DNJ655438 DXF655438 EHB655438 EQX655438 FAT655438 FKP655438 FUL655438 GEH655438 GOD655438 GXZ655438 HHV655438 HRR655438 IBN655438 ILJ655438 IVF655438 JFB655438 JOX655438 JYT655438 KIP655438 KSL655438 LCH655438 LMD655438 LVZ655438 MFV655438 MPR655438 MZN655438 NJJ655438 NTF655438 ODB655438 OMX655438 OWT655438 PGP655438 PQL655438 QAH655438 QKD655438 QTZ655438 RDV655438 RNR655438 RXN655438 SHJ655438 SRF655438 TBB655438 TKX655438 TUT655438 UEP655438 UOL655438 UYH655438 VID655438 VRZ655438 WBV655438 WLR655438 WVN655438 F720974 JB720974 SX720974 ACT720974 AMP720974 AWL720974 BGH720974 BQD720974 BZZ720974 CJV720974 CTR720974 DDN720974 DNJ720974 DXF720974 EHB720974 EQX720974 FAT720974 FKP720974 FUL720974 GEH720974 GOD720974 GXZ720974 HHV720974 HRR720974 IBN720974 ILJ720974 IVF720974 JFB720974 JOX720974 JYT720974 KIP720974 KSL720974 LCH720974 LMD720974 LVZ720974 MFV720974 MPR720974 MZN720974 NJJ720974 NTF720974 ODB720974 OMX720974 OWT720974 PGP720974 PQL720974 QAH720974 QKD720974 QTZ720974 RDV720974 RNR720974 RXN720974 SHJ720974 SRF720974 TBB720974 TKX720974 TUT720974 UEP720974 UOL720974 UYH720974 VID720974 VRZ720974 WBV720974 WLR720974 WVN720974 F786510 JB786510 SX786510 ACT786510 AMP786510 AWL786510 BGH786510 BQD786510 BZZ786510 CJV786510 CTR786510 DDN786510 DNJ786510 DXF786510 EHB786510 EQX786510 FAT786510 FKP786510 FUL786510 GEH786510 GOD786510 GXZ786510 HHV786510 HRR786510 IBN786510 ILJ786510 IVF786510 JFB786510 JOX786510 JYT786510 KIP786510 KSL786510 LCH786510 LMD786510 LVZ786510 MFV786510 MPR786510 MZN786510 NJJ786510 NTF786510 ODB786510 OMX786510 OWT786510 PGP786510 PQL786510 QAH786510 QKD786510 QTZ786510 RDV786510 RNR786510 RXN786510 SHJ786510 SRF786510 TBB786510 TKX786510 TUT786510 UEP786510 UOL786510 UYH786510 VID786510 VRZ786510 WBV786510 WLR786510 WVN786510 F852046 JB852046 SX852046 ACT852046 AMP852046 AWL852046 BGH852046 BQD852046 BZZ852046 CJV852046 CTR852046 DDN852046 DNJ852046 DXF852046 EHB852046 EQX852046 FAT852046 FKP852046 FUL852046 GEH852046 GOD852046 GXZ852046 HHV852046 HRR852046 IBN852046 ILJ852046 IVF852046 JFB852046 JOX852046 JYT852046 KIP852046 KSL852046 LCH852046 LMD852046 LVZ852046 MFV852046 MPR852046 MZN852046 NJJ852046 NTF852046 ODB852046 OMX852046 OWT852046 PGP852046 PQL852046 QAH852046 QKD852046 QTZ852046 RDV852046 RNR852046 RXN852046 SHJ852046 SRF852046 TBB852046 TKX852046 TUT852046 UEP852046 UOL852046 UYH852046 VID852046 VRZ852046 WBV852046 WLR852046 WVN852046 F917582 JB917582 SX917582 ACT917582 AMP917582 AWL917582 BGH917582 BQD917582 BZZ917582 CJV917582 CTR917582 DDN917582 DNJ917582 DXF917582 EHB917582 EQX917582 FAT917582 FKP917582 FUL917582 GEH917582 GOD917582 GXZ917582 HHV917582 HRR917582 IBN917582 ILJ917582 IVF917582 JFB917582 JOX917582 JYT917582 KIP917582 KSL917582 LCH917582 LMD917582 LVZ917582 MFV917582 MPR917582 MZN917582 NJJ917582 NTF917582 ODB917582 OMX917582 OWT917582 PGP917582 PQL917582 QAH917582 QKD917582 QTZ917582 RDV917582 RNR917582 RXN917582 SHJ917582 SRF917582 TBB917582 TKX917582 TUT917582 UEP917582 UOL917582 UYH917582 VID917582 VRZ917582 WBV917582 WLR917582 WVN917582 F983118 JB983118 SX983118 ACT983118 AMP983118 AWL983118 BGH983118 BQD983118 BZZ983118 CJV983118 CTR983118 DDN983118 DNJ983118 DXF983118 EHB983118 EQX983118 FAT983118 FKP983118 FUL983118 GEH983118 GOD983118 GXZ983118 HHV983118 HRR983118 IBN983118 ILJ983118 IVF983118 JFB983118 JOX983118 JYT983118 KIP983118 KSL983118 LCH983118 LMD983118 LVZ983118 MFV983118 MPR983118 MZN983118 NJJ983118 NTF983118 ODB983118 OMX983118 OWT983118 PGP983118 PQL983118 QAH983118 QKD983118 QTZ983118 RDV983118 RNR983118 RXN983118 SHJ983118 SRF983118 TBB983118 TKX983118 TUT983118 UEP983118 UOL983118 UYH983118 VID983118 VRZ983118 WBV983118 WLR983118 WVN983118" xr:uid="{00000000-0002-0000-0100-000000000000}">
      <formula1>"OK,Not good,Excluded"</formula1>
    </dataValidation>
    <dataValidation type="list" allowBlank="1" showInputMessage="1" showErrorMessage="1" sqref="E84:E85 JA84:JA85 SW84:SW85 ACS84:ACS85 AMO84:AMO85 AWK84:AWK85 BGG84:BGG85 BQC84:BQC85 BZY84:BZY85 CJU84:CJU85 CTQ84:CTQ85 DDM84:DDM85 DNI84:DNI85 DXE84:DXE85 EHA84:EHA85 EQW84:EQW85 FAS84:FAS85 FKO84:FKO85 FUK84:FUK85 GEG84:GEG85 GOC84:GOC85 GXY84:GXY85 HHU84:HHU85 HRQ84:HRQ85 IBM84:IBM85 ILI84:ILI85 IVE84:IVE85 JFA84:JFA85 JOW84:JOW85 JYS84:JYS85 KIO84:KIO85 KSK84:KSK85 LCG84:LCG85 LMC84:LMC85 LVY84:LVY85 MFU84:MFU85 MPQ84:MPQ85 MZM84:MZM85 NJI84:NJI85 NTE84:NTE85 ODA84:ODA85 OMW84:OMW85 OWS84:OWS85 PGO84:PGO85 PQK84:PQK85 QAG84:QAG85 QKC84:QKC85 QTY84:QTY85 RDU84:RDU85 RNQ84:RNQ85 RXM84:RXM85 SHI84:SHI85 SRE84:SRE85 TBA84:TBA85 TKW84:TKW85 TUS84:TUS85 UEO84:UEO85 UOK84:UOK85 UYG84:UYG85 VIC84:VIC85 VRY84:VRY85 WBU84:WBU85 WLQ84:WLQ85 WVM84:WVM85 E65620:E65621 JA65620:JA65621 SW65620:SW65621 ACS65620:ACS65621 AMO65620:AMO65621 AWK65620:AWK65621 BGG65620:BGG65621 BQC65620:BQC65621 BZY65620:BZY65621 CJU65620:CJU65621 CTQ65620:CTQ65621 DDM65620:DDM65621 DNI65620:DNI65621 DXE65620:DXE65621 EHA65620:EHA65621 EQW65620:EQW65621 FAS65620:FAS65621 FKO65620:FKO65621 FUK65620:FUK65621 GEG65620:GEG65621 GOC65620:GOC65621 GXY65620:GXY65621 HHU65620:HHU65621 HRQ65620:HRQ65621 IBM65620:IBM65621 ILI65620:ILI65621 IVE65620:IVE65621 JFA65620:JFA65621 JOW65620:JOW65621 JYS65620:JYS65621 KIO65620:KIO65621 KSK65620:KSK65621 LCG65620:LCG65621 LMC65620:LMC65621 LVY65620:LVY65621 MFU65620:MFU65621 MPQ65620:MPQ65621 MZM65620:MZM65621 NJI65620:NJI65621 NTE65620:NTE65621 ODA65620:ODA65621 OMW65620:OMW65621 OWS65620:OWS65621 PGO65620:PGO65621 PQK65620:PQK65621 QAG65620:QAG65621 QKC65620:QKC65621 QTY65620:QTY65621 RDU65620:RDU65621 RNQ65620:RNQ65621 RXM65620:RXM65621 SHI65620:SHI65621 SRE65620:SRE65621 TBA65620:TBA65621 TKW65620:TKW65621 TUS65620:TUS65621 UEO65620:UEO65621 UOK65620:UOK65621 UYG65620:UYG65621 VIC65620:VIC65621 VRY65620:VRY65621 WBU65620:WBU65621 WLQ65620:WLQ65621 WVM65620:WVM65621 E131156:E131157 JA131156:JA131157 SW131156:SW131157 ACS131156:ACS131157 AMO131156:AMO131157 AWK131156:AWK131157 BGG131156:BGG131157 BQC131156:BQC131157 BZY131156:BZY131157 CJU131156:CJU131157 CTQ131156:CTQ131157 DDM131156:DDM131157 DNI131156:DNI131157 DXE131156:DXE131157 EHA131156:EHA131157 EQW131156:EQW131157 FAS131156:FAS131157 FKO131156:FKO131157 FUK131156:FUK131157 GEG131156:GEG131157 GOC131156:GOC131157 GXY131156:GXY131157 HHU131156:HHU131157 HRQ131156:HRQ131157 IBM131156:IBM131157 ILI131156:ILI131157 IVE131156:IVE131157 JFA131156:JFA131157 JOW131156:JOW131157 JYS131156:JYS131157 KIO131156:KIO131157 KSK131156:KSK131157 LCG131156:LCG131157 LMC131156:LMC131157 LVY131156:LVY131157 MFU131156:MFU131157 MPQ131156:MPQ131157 MZM131156:MZM131157 NJI131156:NJI131157 NTE131156:NTE131157 ODA131156:ODA131157 OMW131156:OMW131157 OWS131156:OWS131157 PGO131156:PGO131157 PQK131156:PQK131157 QAG131156:QAG131157 QKC131156:QKC131157 QTY131156:QTY131157 RDU131156:RDU131157 RNQ131156:RNQ131157 RXM131156:RXM131157 SHI131156:SHI131157 SRE131156:SRE131157 TBA131156:TBA131157 TKW131156:TKW131157 TUS131156:TUS131157 UEO131156:UEO131157 UOK131156:UOK131157 UYG131156:UYG131157 VIC131156:VIC131157 VRY131156:VRY131157 WBU131156:WBU131157 WLQ131156:WLQ131157 WVM131156:WVM131157 E196692:E196693 JA196692:JA196693 SW196692:SW196693 ACS196692:ACS196693 AMO196692:AMO196693 AWK196692:AWK196693 BGG196692:BGG196693 BQC196692:BQC196693 BZY196692:BZY196693 CJU196692:CJU196693 CTQ196692:CTQ196693 DDM196692:DDM196693 DNI196692:DNI196693 DXE196692:DXE196693 EHA196692:EHA196693 EQW196692:EQW196693 FAS196692:FAS196693 FKO196692:FKO196693 FUK196692:FUK196693 GEG196692:GEG196693 GOC196692:GOC196693 GXY196692:GXY196693 HHU196692:HHU196693 HRQ196692:HRQ196693 IBM196692:IBM196693 ILI196692:ILI196693 IVE196692:IVE196693 JFA196692:JFA196693 JOW196692:JOW196693 JYS196692:JYS196693 KIO196692:KIO196693 KSK196692:KSK196693 LCG196692:LCG196693 LMC196692:LMC196693 LVY196692:LVY196693 MFU196692:MFU196693 MPQ196692:MPQ196693 MZM196692:MZM196693 NJI196692:NJI196693 NTE196692:NTE196693 ODA196692:ODA196693 OMW196692:OMW196693 OWS196692:OWS196693 PGO196692:PGO196693 PQK196692:PQK196693 QAG196692:QAG196693 QKC196692:QKC196693 QTY196692:QTY196693 RDU196692:RDU196693 RNQ196692:RNQ196693 RXM196692:RXM196693 SHI196692:SHI196693 SRE196692:SRE196693 TBA196692:TBA196693 TKW196692:TKW196693 TUS196692:TUS196693 UEO196692:UEO196693 UOK196692:UOK196693 UYG196692:UYG196693 VIC196692:VIC196693 VRY196692:VRY196693 WBU196692:WBU196693 WLQ196692:WLQ196693 WVM196692:WVM196693 E262228:E262229 JA262228:JA262229 SW262228:SW262229 ACS262228:ACS262229 AMO262228:AMO262229 AWK262228:AWK262229 BGG262228:BGG262229 BQC262228:BQC262229 BZY262228:BZY262229 CJU262228:CJU262229 CTQ262228:CTQ262229 DDM262228:DDM262229 DNI262228:DNI262229 DXE262228:DXE262229 EHA262228:EHA262229 EQW262228:EQW262229 FAS262228:FAS262229 FKO262228:FKO262229 FUK262228:FUK262229 GEG262228:GEG262229 GOC262228:GOC262229 GXY262228:GXY262229 HHU262228:HHU262229 HRQ262228:HRQ262229 IBM262228:IBM262229 ILI262228:ILI262229 IVE262228:IVE262229 JFA262228:JFA262229 JOW262228:JOW262229 JYS262228:JYS262229 KIO262228:KIO262229 KSK262228:KSK262229 LCG262228:LCG262229 LMC262228:LMC262229 LVY262228:LVY262229 MFU262228:MFU262229 MPQ262228:MPQ262229 MZM262228:MZM262229 NJI262228:NJI262229 NTE262228:NTE262229 ODA262228:ODA262229 OMW262228:OMW262229 OWS262228:OWS262229 PGO262228:PGO262229 PQK262228:PQK262229 QAG262228:QAG262229 QKC262228:QKC262229 QTY262228:QTY262229 RDU262228:RDU262229 RNQ262228:RNQ262229 RXM262228:RXM262229 SHI262228:SHI262229 SRE262228:SRE262229 TBA262228:TBA262229 TKW262228:TKW262229 TUS262228:TUS262229 UEO262228:UEO262229 UOK262228:UOK262229 UYG262228:UYG262229 VIC262228:VIC262229 VRY262228:VRY262229 WBU262228:WBU262229 WLQ262228:WLQ262229 WVM262228:WVM262229 E327764:E327765 JA327764:JA327765 SW327764:SW327765 ACS327764:ACS327765 AMO327764:AMO327765 AWK327764:AWK327765 BGG327764:BGG327765 BQC327764:BQC327765 BZY327764:BZY327765 CJU327764:CJU327765 CTQ327764:CTQ327765 DDM327764:DDM327765 DNI327764:DNI327765 DXE327764:DXE327765 EHA327764:EHA327765 EQW327764:EQW327765 FAS327764:FAS327765 FKO327764:FKO327765 FUK327764:FUK327765 GEG327764:GEG327765 GOC327764:GOC327765 GXY327764:GXY327765 HHU327764:HHU327765 HRQ327764:HRQ327765 IBM327764:IBM327765 ILI327764:ILI327765 IVE327764:IVE327765 JFA327764:JFA327765 JOW327764:JOW327765 JYS327764:JYS327765 KIO327764:KIO327765 KSK327764:KSK327765 LCG327764:LCG327765 LMC327764:LMC327765 LVY327764:LVY327765 MFU327764:MFU327765 MPQ327764:MPQ327765 MZM327764:MZM327765 NJI327764:NJI327765 NTE327764:NTE327765 ODA327764:ODA327765 OMW327764:OMW327765 OWS327764:OWS327765 PGO327764:PGO327765 PQK327764:PQK327765 QAG327764:QAG327765 QKC327764:QKC327765 QTY327764:QTY327765 RDU327764:RDU327765 RNQ327764:RNQ327765 RXM327764:RXM327765 SHI327764:SHI327765 SRE327764:SRE327765 TBA327764:TBA327765 TKW327764:TKW327765 TUS327764:TUS327765 UEO327764:UEO327765 UOK327764:UOK327765 UYG327764:UYG327765 VIC327764:VIC327765 VRY327764:VRY327765 WBU327764:WBU327765 WLQ327764:WLQ327765 WVM327764:WVM327765 E393300:E393301 JA393300:JA393301 SW393300:SW393301 ACS393300:ACS393301 AMO393300:AMO393301 AWK393300:AWK393301 BGG393300:BGG393301 BQC393300:BQC393301 BZY393300:BZY393301 CJU393300:CJU393301 CTQ393300:CTQ393301 DDM393300:DDM393301 DNI393300:DNI393301 DXE393300:DXE393301 EHA393300:EHA393301 EQW393300:EQW393301 FAS393300:FAS393301 FKO393300:FKO393301 FUK393300:FUK393301 GEG393300:GEG393301 GOC393300:GOC393301 GXY393300:GXY393301 HHU393300:HHU393301 HRQ393300:HRQ393301 IBM393300:IBM393301 ILI393300:ILI393301 IVE393300:IVE393301 JFA393300:JFA393301 JOW393300:JOW393301 JYS393300:JYS393301 KIO393300:KIO393301 KSK393300:KSK393301 LCG393300:LCG393301 LMC393300:LMC393301 LVY393300:LVY393301 MFU393300:MFU393301 MPQ393300:MPQ393301 MZM393300:MZM393301 NJI393300:NJI393301 NTE393300:NTE393301 ODA393300:ODA393301 OMW393300:OMW393301 OWS393300:OWS393301 PGO393300:PGO393301 PQK393300:PQK393301 QAG393300:QAG393301 QKC393300:QKC393301 QTY393300:QTY393301 RDU393300:RDU393301 RNQ393300:RNQ393301 RXM393300:RXM393301 SHI393300:SHI393301 SRE393300:SRE393301 TBA393300:TBA393301 TKW393300:TKW393301 TUS393300:TUS393301 UEO393300:UEO393301 UOK393300:UOK393301 UYG393300:UYG393301 VIC393300:VIC393301 VRY393300:VRY393301 WBU393300:WBU393301 WLQ393300:WLQ393301 WVM393300:WVM393301 E458836:E458837 JA458836:JA458837 SW458836:SW458837 ACS458836:ACS458837 AMO458836:AMO458837 AWK458836:AWK458837 BGG458836:BGG458837 BQC458836:BQC458837 BZY458836:BZY458837 CJU458836:CJU458837 CTQ458836:CTQ458837 DDM458836:DDM458837 DNI458836:DNI458837 DXE458836:DXE458837 EHA458836:EHA458837 EQW458836:EQW458837 FAS458836:FAS458837 FKO458836:FKO458837 FUK458836:FUK458837 GEG458836:GEG458837 GOC458836:GOC458837 GXY458836:GXY458837 HHU458836:HHU458837 HRQ458836:HRQ458837 IBM458836:IBM458837 ILI458836:ILI458837 IVE458836:IVE458837 JFA458836:JFA458837 JOW458836:JOW458837 JYS458836:JYS458837 KIO458836:KIO458837 KSK458836:KSK458837 LCG458836:LCG458837 LMC458836:LMC458837 LVY458836:LVY458837 MFU458836:MFU458837 MPQ458836:MPQ458837 MZM458836:MZM458837 NJI458836:NJI458837 NTE458836:NTE458837 ODA458836:ODA458837 OMW458836:OMW458837 OWS458836:OWS458837 PGO458836:PGO458837 PQK458836:PQK458837 QAG458836:QAG458837 QKC458836:QKC458837 QTY458836:QTY458837 RDU458836:RDU458837 RNQ458836:RNQ458837 RXM458836:RXM458837 SHI458836:SHI458837 SRE458836:SRE458837 TBA458836:TBA458837 TKW458836:TKW458837 TUS458836:TUS458837 UEO458836:UEO458837 UOK458836:UOK458837 UYG458836:UYG458837 VIC458836:VIC458837 VRY458836:VRY458837 WBU458836:WBU458837 WLQ458836:WLQ458837 WVM458836:WVM458837 E524372:E524373 JA524372:JA524373 SW524372:SW524373 ACS524372:ACS524373 AMO524372:AMO524373 AWK524372:AWK524373 BGG524372:BGG524373 BQC524372:BQC524373 BZY524372:BZY524373 CJU524372:CJU524373 CTQ524372:CTQ524373 DDM524372:DDM524373 DNI524372:DNI524373 DXE524372:DXE524373 EHA524372:EHA524373 EQW524372:EQW524373 FAS524372:FAS524373 FKO524372:FKO524373 FUK524372:FUK524373 GEG524372:GEG524373 GOC524372:GOC524373 GXY524372:GXY524373 HHU524372:HHU524373 HRQ524372:HRQ524373 IBM524372:IBM524373 ILI524372:ILI524373 IVE524372:IVE524373 JFA524372:JFA524373 JOW524372:JOW524373 JYS524372:JYS524373 KIO524372:KIO524373 KSK524372:KSK524373 LCG524372:LCG524373 LMC524372:LMC524373 LVY524372:LVY524373 MFU524372:MFU524373 MPQ524372:MPQ524373 MZM524372:MZM524373 NJI524372:NJI524373 NTE524372:NTE524373 ODA524372:ODA524373 OMW524372:OMW524373 OWS524372:OWS524373 PGO524372:PGO524373 PQK524372:PQK524373 QAG524372:QAG524373 QKC524372:QKC524373 QTY524372:QTY524373 RDU524372:RDU524373 RNQ524372:RNQ524373 RXM524372:RXM524373 SHI524372:SHI524373 SRE524372:SRE524373 TBA524372:TBA524373 TKW524372:TKW524373 TUS524372:TUS524373 UEO524372:UEO524373 UOK524372:UOK524373 UYG524372:UYG524373 VIC524372:VIC524373 VRY524372:VRY524373 WBU524372:WBU524373 WLQ524372:WLQ524373 WVM524372:WVM524373 E589908:E589909 JA589908:JA589909 SW589908:SW589909 ACS589908:ACS589909 AMO589908:AMO589909 AWK589908:AWK589909 BGG589908:BGG589909 BQC589908:BQC589909 BZY589908:BZY589909 CJU589908:CJU589909 CTQ589908:CTQ589909 DDM589908:DDM589909 DNI589908:DNI589909 DXE589908:DXE589909 EHA589908:EHA589909 EQW589908:EQW589909 FAS589908:FAS589909 FKO589908:FKO589909 FUK589908:FUK589909 GEG589908:GEG589909 GOC589908:GOC589909 GXY589908:GXY589909 HHU589908:HHU589909 HRQ589908:HRQ589909 IBM589908:IBM589909 ILI589908:ILI589909 IVE589908:IVE589909 JFA589908:JFA589909 JOW589908:JOW589909 JYS589908:JYS589909 KIO589908:KIO589909 KSK589908:KSK589909 LCG589908:LCG589909 LMC589908:LMC589909 LVY589908:LVY589909 MFU589908:MFU589909 MPQ589908:MPQ589909 MZM589908:MZM589909 NJI589908:NJI589909 NTE589908:NTE589909 ODA589908:ODA589909 OMW589908:OMW589909 OWS589908:OWS589909 PGO589908:PGO589909 PQK589908:PQK589909 QAG589908:QAG589909 QKC589908:QKC589909 QTY589908:QTY589909 RDU589908:RDU589909 RNQ589908:RNQ589909 RXM589908:RXM589909 SHI589908:SHI589909 SRE589908:SRE589909 TBA589908:TBA589909 TKW589908:TKW589909 TUS589908:TUS589909 UEO589908:UEO589909 UOK589908:UOK589909 UYG589908:UYG589909 VIC589908:VIC589909 VRY589908:VRY589909 WBU589908:WBU589909 WLQ589908:WLQ589909 WVM589908:WVM589909 E655444:E655445 JA655444:JA655445 SW655444:SW655445 ACS655444:ACS655445 AMO655444:AMO655445 AWK655444:AWK655445 BGG655444:BGG655445 BQC655444:BQC655445 BZY655444:BZY655445 CJU655444:CJU655445 CTQ655444:CTQ655445 DDM655444:DDM655445 DNI655444:DNI655445 DXE655444:DXE655445 EHA655444:EHA655445 EQW655444:EQW655445 FAS655444:FAS655445 FKO655444:FKO655445 FUK655444:FUK655445 GEG655444:GEG655445 GOC655444:GOC655445 GXY655444:GXY655445 HHU655444:HHU655445 HRQ655444:HRQ655445 IBM655444:IBM655445 ILI655444:ILI655445 IVE655444:IVE655445 JFA655444:JFA655445 JOW655444:JOW655445 JYS655444:JYS655445 KIO655444:KIO655445 KSK655444:KSK655445 LCG655444:LCG655445 LMC655444:LMC655445 LVY655444:LVY655445 MFU655444:MFU655445 MPQ655444:MPQ655445 MZM655444:MZM655445 NJI655444:NJI655445 NTE655444:NTE655445 ODA655444:ODA655445 OMW655444:OMW655445 OWS655444:OWS655445 PGO655444:PGO655445 PQK655444:PQK655445 QAG655444:QAG655445 QKC655444:QKC655445 QTY655444:QTY655445 RDU655444:RDU655445 RNQ655444:RNQ655445 RXM655444:RXM655445 SHI655444:SHI655445 SRE655444:SRE655445 TBA655444:TBA655445 TKW655444:TKW655445 TUS655444:TUS655445 UEO655444:UEO655445 UOK655444:UOK655445 UYG655444:UYG655445 VIC655444:VIC655445 VRY655444:VRY655445 WBU655444:WBU655445 WLQ655444:WLQ655445 WVM655444:WVM655445 E720980:E720981 JA720980:JA720981 SW720980:SW720981 ACS720980:ACS720981 AMO720980:AMO720981 AWK720980:AWK720981 BGG720980:BGG720981 BQC720980:BQC720981 BZY720980:BZY720981 CJU720980:CJU720981 CTQ720980:CTQ720981 DDM720980:DDM720981 DNI720980:DNI720981 DXE720980:DXE720981 EHA720980:EHA720981 EQW720980:EQW720981 FAS720980:FAS720981 FKO720980:FKO720981 FUK720980:FUK720981 GEG720980:GEG720981 GOC720980:GOC720981 GXY720980:GXY720981 HHU720980:HHU720981 HRQ720980:HRQ720981 IBM720980:IBM720981 ILI720980:ILI720981 IVE720980:IVE720981 JFA720980:JFA720981 JOW720980:JOW720981 JYS720980:JYS720981 KIO720980:KIO720981 KSK720980:KSK720981 LCG720980:LCG720981 LMC720980:LMC720981 LVY720980:LVY720981 MFU720980:MFU720981 MPQ720980:MPQ720981 MZM720980:MZM720981 NJI720980:NJI720981 NTE720980:NTE720981 ODA720980:ODA720981 OMW720980:OMW720981 OWS720980:OWS720981 PGO720980:PGO720981 PQK720980:PQK720981 QAG720980:QAG720981 QKC720980:QKC720981 QTY720980:QTY720981 RDU720980:RDU720981 RNQ720980:RNQ720981 RXM720980:RXM720981 SHI720980:SHI720981 SRE720980:SRE720981 TBA720980:TBA720981 TKW720980:TKW720981 TUS720980:TUS720981 UEO720980:UEO720981 UOK720980:UOK720981 UYG720980:UYG720981 VIC720980:VIC720981 VRY720980:VRY720981 WBU720980:WBU720981 WLQ720980:WLQ720981 WVM720980:WVM720981 E786516:E786517 JA786516:JA786517 SW786516:SW786517 ACS786516:ACS786517 AMO786516:AMO786517 AWK786516:AWK786517 BGG786516:BGG786517 BQC786516:BQC786517 BZY786516:BZY786517 CJU786516:CJU786517 CTQ786516:CTQ786517 DDM786516:DDM786517 DNI786516:DNI786517 DXE786516:DXE786517 EHA786516:EHA786517 EQW786516:EQW786517 FAS786516:FAS786517 FKO786516:FKO786517 FUK786516:FUK786517 GEG786516:GEG786517 GOC786516:GOC786517 GXY786516:GXY786517 HHU786516:HHU786517 HRQ786516:HRQ786517 IBM786516:IBM786517 ILI786516:ILI786517 IVE786516:IVE786517 JFA786516:JFA786517 JOW786516:JOW786517 JYS786516:JYS786517 KIO786516:KIO786517 KSK786516:KSK786517 LCG786516:LCG786517 LMC786516:LMC786517 LVY786516:LVY786517 MFU786516:MFU786517 MPQ786516:MPQ786517 MZM786516:MZM786517 NJI786516:NJI786517 NTE786516:NTE786517 ODA786516:ODA786517 OMW786516:OMW786517 OWS786516:OWS786517 PGO786516:PGO786517 PQK786516:PQK786517 QAG786516:QAG786517 QKC786516:QKC786517 QTY786516:QTY786517 RDU786516:RDU786517 RNQ786516:RNQ786517 RXM786516:RXM786517 SHI786516:SHI786517 SRE786516:SRE786517 TBA786516:TBA786517 TKW786516:TKW786517 TUS786516:TUS786517 UEO786516:UEO786517 UOK786516:UOK786517 UYG786516:UYG786517 VIC786516:VIC786517 VRY786516:VRY786517 WBU786516:WBU786517 WLQ786516:WLQ786517 WVM786516:WVM786517 E852052:E852053 JA852052:JA852053 SW852052:SW852053 ACS852052:ACS852053 AMO852052:AMO852053 AWK852052:AWK852053 BGG852052:BGG852053 BQC852052:BQC852053 BZY852052:BZY852053 CJU852052:CJU852053 CTQ852052:CTQ852053 DDM852052:DDM852053 DNI852052:DNI852053 DXE852052:DXE852053 EHA852052:EHA852053 EQW852052:EQW852053 FAS852052:FAS852053 FKO852052:FKO852053 FUK852052:FUK852053 GEG852052:GEG852053 GOC852052:GOC852053 GXY852052:GXY852053 HHU852052:HHU852053 HRQ852052:HRQ852053 IBM852052:IBM852053 ILI852052:ILI852053 IVE852052:IVE852053 JFA852052:JFA852053 JOW852052:JOW852053 JYS852052:JYS852053 KIO852052:KIO852053 KSK852052:KSK852053 LCG852052:LCG852053 LMC852052:LMC852053 LVY852052:LVY852053 MFU852052:MFU852053 MPQ852052:MPQ852053 MZM852052:MZM852053 NJI852052:NJI852053 NTE852052:NTE852053 ODA852052:ODA852053 OMW852052:OMW852053 OWS852052:OWS852053 PGO852052:PGO852053 PQK852052:PQK852053 QAG852052:QAG852053 QKC852052:QKC852053 QTY852052:QTY852053 RDU852052:RDU852053 RNQ852052:RNQ852053 RXM852052:RXM852053 SHI852052:SHI852053 SRE852052:SRE852053 TBA852052:TBA852053 TKW852052:TKW852053 TUS852052:TUS852053 UEO852052:UEO852053 UOK852052:UOK852053 UYG852052:UYG852053 VIC852052:VIC852053 VRY852052:VRY852053 WBU852052:WBU852053 WLQ852052:WLQ852053 WVM852052:WVM852053 E917588:E917589 JA917588:JA917589 SW917588:SW917589 ACS917588:ACS917589 AMO917588:AMO917589 AWK917588:AWK917589 BGG917588:BGG917589 BQC917588:BQC917589 BZY917588:BZY917589 CJU917588:CJU917589 CTQ917588:CTQ917589 DDM917588:DDM917589 DNI917588:DNI917589 DXE917588:DXE917589 EHA917588:EHA917589 EQW917588:EQW917589 FAS917588:FAS917589 FKO917588:FKO917589 FUK917588:FUK917589 GEG917588:GEG917589 GOC917588:GOC917589 GXY917588:GXY917589 HHU917588:HHU917589 HRQ917588:HRQ917589 IBM917588:IBM917589 ILI917588:ILI917589 IVE917588:IVE917589 JFA917588:JFA917589 JOW917588:JOW917589 JYS917588:JYS917589 KIO917588:KIO917589 KSK917588:KSK917589 LCG917588:LCG917589 LMC917588:LMC917589 LVY917588:LVY917589 MFU917588:MFU917589 MPQ917588:MPQ917589 MZM917588:MZM917589 NJI917588:NJI917589 NTE917588:NTE917589 ODA917588:ODA917589 OMW917588:OMW917589 OWS917588:OWS917589 PGO917588:PGO917589 PQK917588:PQK917589 QAG917588:QAG917589 QKC917588:QKC917589 QTY917588:QTY917589 RDU917588:RDU917589 RNQ917588:RNQ917589 RXM917588:RXM917589 SHI917588:SHI917589 SRE917588:SRE917589 TBA917588:TBA917589 TKW917588:TKW917589 TUS917588:TUS917589 UEO917588:UEO917589 UOK917588:UOK917589 UYG917588:UYG917589 VIC917588:VIC917589 VRY917588:VRY917589 WBU917588:WBU917589 WLQ917588:WLQ917589 WVM917588:WVM917589 E983124:E983125 JA983124:JA983125 SW983124:SW983125 ACS983124:ACS983125 AMO983124:AMO983125 AWK983124:AWK983125 BGG983124:BGG983125 BQC983124:BQC983125 BZY983124:BZY983125 CJU983124:CJU983125 CTQ983124:CTQ983125 DDM983124:DDM983125 DNI983124:DNI983125 DXE983124:DXE983125 EHA983124:EHA983125 EQW983124:EQW983125 FAS983124:FAS983125 FKO983124:FKO983125 FUK983124:FUK983125 GEG983124:GEG983125 GOC983124:GOC983125 GXY983124:GXY983125 HHU983124:HHU983125 HRQ983124:HRQ983125 IBM983124:IBM983125 ILI983124:ILI983125 IVE983124:IVE983125 JFA983124:JFA983125 JOW983124:JOW983125 JYS983124:JYS983125 KIO983124:KIO983125 KSK983124:KSK983125 LCG983124:LCG983125 LMC983124:LMC983125 LVY983124:LVY983125 MFU983124:MFU983125 MPQ983124:MPQ983125 MZM983124:MZM983125 NJI983124:NJI983125 NTE983124:NTE983125 ODA983124:ODA983125 OMW983124:OMW983125 OWS983124:OWS983125 PGO983124:PGO983125 PQK983124:PQK983125 QAG983124:QAG983125 QKC983124:QKC983125 QTY983124:QTY983125 RDU983124:RDU983125 RNQ983124:RNQ983125 RXM983124:RXM983125 SHI983124:SHI983125 SRE983124:SRE983125 TBA983124:TBA983125 TKW983124:TKW983125 TUS983124:TUS983125 UEO983124:UEO983125 UOK983124:UOK983125 UYG983124:UYG983125 VIC983124:VIC983125 VRY983124:VRY983125 WBU983124:WBU983125 WLQ983124:WLQ983125 WVM983124:WVM983125" xr:uid="{00000000-0002-0000-0100-000001000000}">
      <formula1>"Available, Not available"</formula1>
    </dataValidation>
  </dataValidations>
  <hyperlinks>
    <hyperlink ref="M31" r:id="rId1" location="section-4" xr:uid="{00000000-0004-0000-0100-000000000000}"/>
    <hyperlink ref="M80" r:id="rId2" location="section-2" xr:uid="{00000000-0004-0000-0100-000001000000}"/>
  </hyperlinks>
  <pageMargins left="0.7" right="0.7" top="0.75" bottom="0.75" header="0.3" footer="0.3"/>
  <pageSetup paperSize="9" orientation="portrait" r:id="rId3"/>
  <legacyDrawing r:id="rId4"/>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"Low, Medium, High"</xm:f>
          </x14:formula1>
          <xm:sqref>E67:E70 JA67:JA70 SW67:SW70 ACS67:ACS70 AMO67:AMO70 AWK67:AWK70 BGG67:BGG70 BQC67:BQC70 BZY67:BZY70 CJU67:CJU70 CTQ67:CTQ70 DDM67:DDM70 DNI67:DNI70 DXE67:DXE70 EHA67:EHA70 EQW67:EQW70 FAS67:FAS70 FKO67:FKO70 FUK67:FUK70 GEG67:GEG70 GOC67:GOC70 GXY67:GXY70 HHU67:HHU70 HRQ67:HRQ70 IBM67:IBM70 ILI67:ILI70 IVE67:IVE70 JFA67:JFA70 JOW67:JOW70 JYS67:JYS70 KIO67:KIO70 KSK67:KSK70 LCG67:LCG70 LMC67:LMC70 LVY67:LVY70 MFU67:MFU70 MPQ67:MPQ70 MZM67:MZM70 NJI67:NJI70 NTE67:NTE70 ODA67:ODA70 OMW67:OMW70 OWS67:OWS70 PGO67:PGO70 PQK67:PQK70 QAG67:QAG70 QKC67:QKC70 QTY67:QTY70 RDU67:RDU70 RNQ67:RNQ70 RXM67:RXM70 SHI67:SHI70 SRE67:SRE70 TBA67:TBA70 TKW67:TKW70 TUS67:TUS70 UEO67:UEO70 UOK67:UOK70 UYG67:UYG70 VIC67:VIC70 VRY67:VRY70 WBU67:WBU70 WLQ67:WLQ70 WVM67:WVM70 E65603:E65606 JA65603:JA65606 SW65603:SW65606 ACS65603:ACS65606 AMO65603:AMO65606 AWK65603:AWK65606 BGG65603:BGG65606 BQC65603:BQC65606 BZY65603:BZY65606 CJU65603:CJU65606 CTQ65603:CTQ65606 DDM65603:DDM65606 DNI65603:DNI65606 DXE65603:DXE65606 EHA65603:EHA65606 EQW65603:EQW65606 FAS65603:FAS65606 FKO65603:FKO65606 FUK65603:FUK65606 GEG65603:GEG65606 GOC65603:GOC65606 GXY65603:GXY65606 HHU65603:HHU65606 HRQ65603:HRQ65606 IBM65603:IBM65606 ILI65603:ILI65606 IVE65603:IVE65606 JFA65603:JFA65606 JOW65603:JOW65606 JYS65603:JYS65606 KIO65603:KIO65606 KSK65603:KSK65606 LCG65603:LCG65606 LMC65603:LMC65606 LVY65603:LVY65606 MFU65603:MFU65606 MPQ65603:MPQ65606 MZM65603:MZM65606 NJI65603:NJI65606 NTE65603:NTE65606 ODA65603:ODA65606 OMW65603:OMW65606 OWS65603:OWS65606 PGO65603:PGO65606 PQK65603:PQK65606 QAG65603:QAG65606 QKC65603:QKC65606 QTY65603:QTY65606 RDU65603:RDU65606 RNQ65603:RNQ65606 RXM65603:RXM65606 SHI65603:SHI65606 SRE65603:SRE65606 TBA65603:TBA65606 TKW65603:TKW65606 TUS65603:TUS65606 UEO65603:UEO65606 UOK65603:UOK65606 UYG65603:UYG65606 VIC65603:VIC65606 VRY65603:VRY65606 WBU65603:WBU65606 WLQ65603:WLQ65606 WVM65603:WVM65606 E131139:E131142 JA131139:JA131142 SW131139:SW131142 ACS131139:ACS131142 AMO131139:AMO131142 AWK131139:AWK131142 BGG131139:BGG131142 BQC131139:BQC131142 BZY131139:BZY131142 CJU131139:CJU131142 CTQ131139:CTQ131142 DDM131139:DDM131142 DNI131139:DNI131142 DXE131139:DXE131142 EHA131139:EHA131142 EQW131139:EQW131142 FAS131139:FAS131142 FKO131139:FKO131142 FUK131139:FUK131142 GEG131139:GEG131142 GOC131139:GOC131142 GXY131139:GXY131142 HHU131139:HHU131142 HRQ131139:HRQ131142 IBM131139:IBM131142 ILI131139:ILI131142 IVE131139:IVE131142 JFA131139:JFA131142 JOW131139:JOW131142 JYS131139:JYS131142 KIO131139:KIO131142 KSK131139:KSK131142 LCG131139:LCG131142 LMC131139:LMC131142 LVY131139:LVY131142 MFU131139:MFU131142 MPQ131139:MPQ131142 MZM131139:MZM131142 NJI131139:NJI131142 NTE131139:NTE131142 ODA131139:ODA131142 OMW131139:OMW131142 OWS131139:OWS131142 PGO131139:PGO131142 PQK131139:PQK131142 QAG131139:QAG131142 QKC131139:QKC131142 QTY131139:QTY131142 RDU131139:RDU131142 RNQ131139:RNQ131142 RXM131139:RXM131142 SHI131139:SHI131142 SRE131139:SRE131142 TBA131139:TBA131142 TKW131139:TKW131142 TUS131139:TUS131142 UEO131139:UEO131142 UOK131139:UOK131142 UYG131139:UYG131142 VIC131139:VIC131142 VRY131139:VRY131142 WBU131139:WBU131142 WLQ131139:WLQ131142 WVM131139:WVM131142 E196675:E196678 JA196675:JA196678 SW196675:SW196678 ACS196675:ACS196678 AMO196675:AMO196678 AWK196675:AWK196678 BGG196675:BGG196678 BQC196675:BQC196678 BZY196675:BZY196678 CJU196675:CJU196678 CTQ196675:CTQ196678 DDM196675:DDM196678 DNI196675:DNI196678 DXE196675:DXE196678 EHA196675:EHA196678 EQW196675:EQW196678 FAS196675:FAS196678 FKO196675:FKO196678 FUK196675:FUK196678 GEG196675:GEG196678 GOC196675:GOC196678 GXY196675:GXY196678 HHU196675:HHU196678 HRQ196675:HRQ196678 IBM196675:IBM196678 ILI196675:ILI196678 IVE196675:IVE196678 JFA196675:JFA196678 JOW196675:JOW196678 JYS196675:JYS196678 KIO196675:KIO196678 KSK196675:KSK196678 LCG196675:LCG196678 LMC196675:LMC196678 LVY196675:LVY196678 MFU196675:MFU196678 MPQ196675:MPQ196678 MZM196675:MZM196678 NJI196675:NJI196678 NTE196675:NTE196678 ODA196675:ODA196678 OMW196675:OMW196678 OWS196675:OWS196678 PGO196675:PGO196678 PQK196675:PQK196678 QAG196675:QAG196678 QKC196675:QKC196678 QTY196675:QTY196678 RDU196675:RDU196678 RNQ196675:RNQ196678 RXM196675:RXM196678 SHI196675:SHI196678 SRE196675:SRE196678 TBA196675:TBA196678 TKW196675:TKW196678 TUS196675:TUS196678 UEO196675:UEO196678 UOK196675:UOK196678 UYG196675:UYG196678 VIC196675:VIC196678 VRY196675:VRY196678 WBU196675:WBU196678 WLQ196675:WLQ196678 WVM196675:WVM196678 E262211:E262214 JA262211:JA262214 SW262211:SW262214 ACS262211:ACS262214 AMO262211:AMO262214 AWK262211:AWK262214 BGG262211:BGG262214 BQC262211:BQC262214 BZY262211:BZY262214 CJU262211:CJU262214 CTQ262211:CTQ262214 DDM262211:DDM262214 DNI262211:DNI262214 DXE262211:DXE262214 EHA262211:EHA262214 EQW262211:EQW262214 FAS262211:FAS262214 FKO262211:FKO262214 FUK262211:FUK262214 GEG262211:GEG262214 GOC262211:GOC262214 GXY262211:GXY262214 HHU262211:HHU262214 HRQ262211:HRQ262214 IBM262211:IBM262214 ILI262211:ILI262214 IVE262211:IVE262214 JFA262211:JFA262214 JOW262211:JOW262214 JYS262211:JYS262214 KIO262211:KIO262214 KSK262211:KSK262214 LCG262211:LCG262214 LMC262211:LMC262214 LVY262211:LVY262214 MFU262211:MFU262214 MPQ262211:MPQ262214 MZM262211:MZM262214 NJI262211:NJI262214 NTE262211:NTE262214 ODA262211:ODA262214 OMW262211:OMW262214 OWS262211:OWS262214 PGO262211:PGO262214 PQK262211:PQK262214 QAG262211:QAG262214 QKC262211:QKC262214 QTY262211:QTY262214 RDU262211:RDU262214 RNQ262211:RNQ262214 RXM262211:RXM262214 SHI262211:SHI262214 SRE262211:SRE262214 TBA262211:TBA262214 TKW262211:TKW262214 TUS262211:TUS262214 UEO262211:UEO262214 UOK262211:UOK262214 UYG262211:UYG262214 VIC262211:VIC262214 VRY262211:VRY262214 WBU262211:WBU262214 WLQ262211:WLQ262214 WVM262211:WVM262214 E327747:E327750 JA327747:JA327750 SW327747:SW327750 ACS327747:ACS327750 AMO327747:AMO327750 AWK327747:AWK327750 BGG327747:BGG327750 BQC327747:BQC327750 BZY327747:BZY327750 CJU327747:CJU327750 CTQ327747:CTQ327750 DDM327747:DDM327750 DNI327747:DNI327750 DXE327747:DXE327750 EHA327747:EHA327750 EQW327747:EQW327750 FAS327747:FAS327750 FKO327747:FKO327750 FUK327747:FUK327750 GEG327747:GEG327750 GOC327747:GOC327750 GXY327747:GXY327750 HHU327747:HHU327750 HRQ327747:HRQ327750 IBM327747:IBM327750 ILI327747:ILI327750 IVE327747:IVE327750 JFA327747:JFA327750 JOW327747:JOW327750 JYS327747:JYS327750 KIO327747:KIO327750 KSK327747:KSK327750 LCG327747:LCG327750 LMC327747:LMC327750 LVY327747:LVY327750 MFU327747:MFU327750 MPQ327747:MPQ327750 MZM327747:MZM327750 NJI327747:NJI327750 NTE327747:NTE327750 ODA327747:ODA327750 OMW327747:OMW327750 OWS327747:OWS327750 PGO327747:PGO327750 PQK327747:PQK327750 QAG327747:QAG327750 QKC327747:QKC327750 QTY327747:QTY327750 RDU327747:RDU327750 RNQ327747:RNQ327750 RXM327747:RXM327750 SHI327747:SHI327750 SRE327747:SRE327750 TBA327747:TBA327750 TKW327747:TKW327750 TUS327747:TUS327750 UEO327747:UEO327750 UOK327747:UOK327750 UYG327747:UYG327750 VIC327747:VIC327750 VRY327747:VRY327750 WBU327747:WBU327750 WLQ327747:WLQ327750 WVM327747:WVM327750 E393283:E393286 JA393283:JA393286 SW393283:SW393286 ACS393283:ACS393286 AMO393283:AMO393286 AWK393283:AWK393286 BGG393283:BGG393286 BQC393283:BQC393286 BZY393283:BZY393286 CJU393283:CJU393286 CTQ393283:CTQ393286 DDM393283:DDM393286 DNI393283:DNI393286 DXE393283:DXE393286 EHA393283:EHA393286 EQW393283:EQW393286 FAS393283:FAS393286 FKO393283:FKO393286 FUK393283:FUK393286 GEG393283:GEG393286 GOC393283:GOC393286 GXY393283:GXY393286 HHU393283:HHU393286 HRQ393283:HRQ393286 IBM393283:IBM393286 ILI393283:ILI393286 IVE393283:IVE393286 JFA393283:JFA393286 JOW393283:JOW393286 JYS393283:JYS393286 KIO393283:KIO393286 KSK393283:KSK393286 LCG393283:LCG393286 LMC393283:LMC393286 LVY393283:LVY393286 MFU393283:MFU393286 MPQ393283:MPQ393286 MZM393283:MZM393286 NJI393283:NJI393286 NTE393283:NTE393286 ODA393283:ODA393286 OMW393283:OMW393286 OWS393283:OWS393286 PGO393283:PGO393286 PQK393283:PQK393286 QAG393283:QAG393286 QKC393283:QKC393286 QTY393283:QTY393286 RDU393283:RDU393286 RNQ393283:RNQ393286 RXM393283:RXM393286 SHI393283:SHI393286 SRE393283:SRE393286 TBA393283:TBA393286 TKW393283:TKW393286 TUS393283:TUS393286 UEO393283:UEO393286 UOK393283:UOK393286 UYG393283:UYG393286 VIC393283:VIC393286 VRY393283:VRY393286 WBU393283:WBU393286 WLQ393283:WLQ393286 WVM393283:WVM393286 E458819:E458822 JA458819:JA458822 SW458819:SW458822 ACS458819:ACS458822 AMO458819:AMO458822 AWK458819:AWK458822 BGG458819:BGG458822 BQC458819:BQC458822 BZY458819:BZY458822 CJU458819:CJU458822 CTQ458819:CTQ458822 DDM458819:DDM458822 DNI458819:DNI458822 DXE458819:DXE458822 EHA458819:EHA458822 EQW458819:EQW458822 FAS458819:FAS458822 FKO458819:FKO458822 FUK458819:FUK458822 GEG458819:GEG458822 GOC458819:GOC458822 GXY458819:GXY458822 HHU458819:HHU458822 HRQ458819:HRQ458822 IBM458819:IBM458822 ILI458819:ILI458822 IVE458819:IVE458822 JFA458819:JFA458822 JOW458819:JOW458822 JYS458819:JYS458822 KIO458819:KIO458822 KSK458819:KSK458822 LCG458819:LCG458822 LMC458819:LMC458822 LVY458819:LVY458822 MFU458819:MFU458822 MPQ458819:MPQ458822 MZM458819:MZM458822 NJI458819:NJI458822 NTE458819:NTE458822 ODA458819:ODA458822 OMW458819:OMW458822 OWS458819:OWS458822 PGO458819:PGO458822 PQK458819:PQK458822 QAG458819:QAG458822 QKC458819:QKC458822 QTY458819:QTY458822 RDU458819:RDU458822 RNQ458819:RNQ458822 RXM458819:RXM458822 SHI458819:SHI458822 SRE458819:SRE458822 TBA458819:TBA458822 TKW458819:TKW458822 TUS458819:TUS458822 UEO458819:UEO458822 UOK458819:UOK458822 UYG458819:UYG458822 VIC458819:VIC458822 VRY458819:VRY458822 WBU458819:WBU458822 WLQ458819:WLQ458822 WVM458819:WVM458822 E524355:E524358 JA524355:JA524358 SW524355:SW524358 ACS524355:ACS524358 AMO524355:AMO524358 AWK524355:AWK524358 BGG524355:BGG524358 BQC524355:BQC524358 BZY524355:BZY524358 CJU524355:CJU524358 CTQ524355:CTQ524358 DDM524355:DDM524358 DNI524355:DNI524358 DXE524355:DXE524358 EHA524355:EHA524358 EQW524355:EQW524358 FAS524355:FAS524358 FKO524355:FKO524358 FUK524355:FUK524358 GEG524355:GEG524358 GOC524355:GOC524358 GXY524355:GXY524358 HHU524355:HHU524358 HRQ524355:HRQ524358 IBM524355:IBM524358 ILI524355:ILI524358 IVE524355:IVE524358 JFA524355:JFA524358 JOW524355:JOW524358 JYS524355:JYS524358 KIO524355:KIO524358 KSK524355:KSK524358 LCG524355:LCG524358 LMC524355:LMC524358 LVY524355:LVY524358 MFU524355:MFU524358 MPQ524355:MPQ524358 MZM524355:MZM524358 NJI524355:NJI524358 NTE524355:NTE524358 ODA524355:ODA524358 OMW524355:OMW524358 OWS524355:OWS524358 PGO524355:PGO524358 PQK524355:PQK524358 QAG524355:QAG524358 QKC524355:QKC524358 QTY524355:QTY524358 RDU524355:RDU524358 RNQ524355:RNQ524358 RXM524355:RXM524358 SHI524355:SHI524358 SRE524355:SRE524358 TBA524355:TBA524358 TKW524355:TKW524358 TUS524355:TUS524358 UEO524355:UEO524358 UOK524355:UOK524358 UYG524355:UYG524358 VIC524355:VIC524358 VRY524355:VRY524358 WBU524355:WBU524358 WLQ524355:WLQ524358 WVM524355:WVM524358 E589891:E589894 JA589891:JA589894 SW589891:SW589894 ACS589891:ACS589894 AMO589891:AMO589894 AWK589891:AWK589894 BGG589891:BGG589894 BQC589891:BQC589894 BZY589891:BZY589894 CJU589891:CJU589894 CTQ589891:CTQ589894 DDM589891:DDM589894 DNI589891:DNI589894 DXE589891:DXE589894 EHA589891:EHA589894 EQW589891:EQW589894 FAS589891:FAS589894 FKO589891:FKO589894 FUK589891:FUK589894 GEG589891:GEG589894 GOC589891:GOC589894 GXY589891:GXY589894 HHU589891:HHU589894 HRQ589891:HRQ589894 IBM589891:IBM589894 ILI589891:ILI589894 IVE589891:IVE589894 JFA589891:JFA589894 JOW589891:JOW589894 JYS589891:JYS589894 KIO589891:KIO589894 KSK589891:KSK589894 LCG589891:LCG589894 LMC589891:LMC589894 LVY589891:LVY589894 MFU589891:MFU589894 MPQ589891:MPQ589894 MZM589891:MZM589894 NJI589891:NJI589894 NTE589891:NTE589894 ODA589891:ODA589894 OMW589891:OMW589894 OWS589891:OWS589894 PGO589891:PGO589894 PQK589891:PQK589894 QAG589891:QAG589894 QKC589891:QKC589894 QTY589891:QTY589894 RDU589891:RDU589894 RNQ589891:RNQ589894 RXM589891:RXM589894 SHI589891:SHI589894 SRE589891:SRE589894 TBA589891:TBA589894 TKW589891:TKW589894 TUS589891:TUS589894 UEO589891:UEO589894 UOK589891:UOK589894 UYG589891:UYG589894 VIC589891:VIC589894 VRY589891:VRY589894 WBU589891:WBU589894 WLQ589891:WLQ589894 WVM589891:WVM589894 E655427:E655430 JA655427:JA655430 SW655427:SW655430 ACS655427:ACS655430 AMO655427:AMO655430 AWK655427:AWK655430 BGG655427:BGG655430 BQC655427:BQC655430 BZY655427:BZY655430 CJU655427:CJU655430 CTQ655427:CTQ655430 DDM655427:DDM655430 DNI655427:DNI655430 DXE655427:DXE655430 EHA655427:EHA655430 EQW655427:EQW655430 FAS655427:FAS655430 FKO655427:FKO655430 FUK655427:FUK655430 GEG655427:GEG655430 GOC655427:GOC655430 GXY655427:GXY655430 HHU655427:HHU655430 HRQ655427:HRQ655430 IBM655427:IBM655430 ILI655427:ILI655430 IVE655427:IVE655430 JFA655427:JFA655430 JOW655427:JOW655430 JYS655427:JYS655430 KIO655427:KIO655430 KSK655427:KSK655430 LCG655427:LCG655430 LMC655427:LMC655430 LVY655427:LVY655430 MFU655427:MFU655430 MPQ655427:MPQ655430 MZM655427:MZM655430 NJI655427:NJI655430 NTE655427:NTE655430 ODA655427:ODA655430 OMW655427:OMW655430 OWS655427:OWS655430 PGO655427:PGO655430 PQK655427:PQK655430 QAG655427:QAG655430 QKC655427:QKC655430 QTY655427:QTY655430 RDU655427:RDU655430 RNQ655427:RNQ655430 RXM655427:RXM655430 SHI655427:SHI655430 SRE655427:SRE655430 TBA655427:TBA655430 TKW655427:TKW655430 TUS655427:TUS655430 UEO655427:UEO655430 UOK655427:UOK655430 UYG655427:UYG655430 VIC655427:VIC655430 VRY655427:VRY655430 WBU655427:WBU655430 WLQ655427:WLQ655430 WVM655427:WVM655430 E720963:E720966 JA720963:JA720966 SW720963:SW720966 ACS720963:ACS720966 AMO720963:AMO720966 AWK720963:AWK720966 BGG720963:BGG720966 BQC720963:BQC720966 BZY720963:BZY720966 CJU720963:CJU720966 CTQ720963:CTQ720966 DDM720963:DDM720966 DNI720963:DNI720966 DXE720963:DXE720966 EHA720963:EHA720966 EQW720963:EQW720966 FAS720963:FAS720966 FKO720963:FKO720966 FUK720963:FUK720966 GEG720963:GEG720966 GOC720963:GOC720966 GXY720963:GXY720966 HHU720963:HHU720966 HRQ720963:HRQ720966 IBM720963:IBM720966 ILI720963:ILI720966 IVE720963:IVE720966 JFA720963:JFA720966 JOW720963:JOW720966 JYS720963:JYS720966 KIO720963:KIO720966 KSK720963:KSK720966 LCG720963:LCG720966 LMC720963:LMC720966 LVY720963:LVY720966 MFU720963:MFU720966 MPQ720963:MPQ720966 MZM720963:MZM720966 NJI720963:NJI720966 NTE720963:NTE720966 ODA720963:ODA720966 OMW720963:OMW720966 OWS720963:OWS720966 PGO720963:PGO720966 PQK720963:PQK720966 QAG720963:QAG720966 QKC720963:QKC720966 QTY720963:QTY720966 RDU720963:RDU720966 RNQ720963:RNQ720966 RXM720963:RXM720966 SHI720963:SHI720966 SRE720963:SRE720966 TBA720963:TBA720966 TKW720963:TKW720966 TUS720963:TUS720966 UEO720963:UEO720966 UOK720963:UOK720966 UYG720963:UYG720966 VIC720963:VIC720966 VRY720963:VRY720966 WBU720963:WBU720966 WLQ720963:WLQ720966 WVM720963:WVM720966 E786499:E786502 JA786499:JA786502 SW786499:SW786502 ACS786499:ACS786502 AMO786499:AMO786502 AWK786499:AWK786502 BGG786499:BGG786502 BQC786499:BQC786502 BZY786499:BZY786502 CJU786499:CJU786502 CTQ786499:CTQ786502 DDM786499:DDM786502 DNI786499:DNI786502 DXE786499:DXE786502 EHA786499:EHA786502 EQW786499:EQW786502 FAS786499:FAS786502 FKO786499:FKO786502 FUK786499:FUK786502 GEG786499:GEG786502 GOC786499:GOC786502 GXY786499:GXY786502 HHU786499:HHU786502 HRQ786499:HRQ786502 IBM786499:IBM786502 ILI786499:ILI786502 IVE786499:IVE786502 JFA786499:JFA786502 JOW786499:JOW786502 JYS786499:JYS786502 KIO786499:KIO786502 KSK786499:KSK786502 LCG786499:LCG786502 LMC786499:LMC786502 LVY786499:LVY786502 MFU786499:MFU786502 MPQ786499:MPQ786502 MZM786499:MZM786502 NJI786499:NJI786502 NTE786499:NTE786502 ODA786499:ODA786502 OMW786499:OMW786502 OWS786499:OWS786502 PGO786499:PGO786502 PQK786499:PQK786502 QAG786499:QAG786502 QKC786499:QKC786502 QTY786499:QTY786502 RDU786499:RDU786502 RNQ786499:RNQ786502 RXM786499:RXM786502 SHI786499:SHI786502 SRE786499:SRE786502 TBA786499:TBA786502 TKW786499:TKW786502 TUS786499:TUS786502 UEO786499:UEO786502 UOK786499:UOK786502 UYG786499:UYG786502 VIC786499:VIC786502 VRY786499:VRY786502 WBU786499:WBU786502 WLQ786499:WLQ786502 WVM786499:WVM786502 E852035:E852038 JA852035:JA852038 SW852035:SW852038 ACS852035:ACS852038 AMO852035:AMO852038 AWK852035:AWK852038 BGG852035:BGG852038 BQC852035:BQC852038 BZY852035:BZY852038 CJU852035:CJU852038 CTQ852035:CTQ852038 DDM852035:DDM852038 DNI852035:DNI852038 DXE852035:DXE852038 EHA852035:EHA852038 EQW852035:EQW852038 FAS852035:FAS852038 FKO852035:FKO852038 FUK852035:FUK852038 GEG852035:GEG852038 GOC852035:GOC852038 GXY852035:GXY852038 HHU852035:HHU852038 HRQ852035:HRQ852038 IBM852035:IBM852038 ILI852035:ILI852038 IVE852035:IVE852038 JFA852035:JFA852038 JOW852035:JOW852038 JYS852035:JYS852038 KIO852035:KIO852038 KSK852035:KSK852038 LCG852035:LCG852038 LMC852035:LMC852038 LVY852035:LVY852038 MFU852035:MFU852038 MPQ852035:MPQ852038 MZM852035:MZM852038 NJI852035:NJI852038 NTE852035:NTE852038 ODA852035:ODA852038 OMW852035:OMW852038 OWS852035:OWS852038 PGO852035:PGO852038 PQK852035:PQK852038 QAG852035:QAG852038 QKC852035:QKC852038 QTY852035:QTY852038 RDU852035:RDU852038 RNQ852035:RNQ852038 RXM852035:RXM852038 SHI852035:SHI852038 SRE852035:SRE852038 TBA852035:TBA852038 TKW852035:TKW852038 TUS852035:TUS852038 UEO852035:UEO852038 UOK852035:UOK852038 UYG852035:UYG852038 VIC852035:VIC852038 VRY852035:VRY852038 WBU852035:WBU852038 WLQ852035:WLQ852038 WVM852035:WVM852038 E917571:E917574 JA917571:JA917574 SW917571:SW917574 ACS917571:ACS917574 AMO917571:AMO917574 AWK917571:AWK917574 BGG917571:BGG917574 BQC917571:BQC917574 BZY917571:BZY917574 CJU917571:CJU917574 CTQ917571:CTQ917574 DDM917571:DDM917574 DNI917571:DNI917574 DXE917571:DXE917574 EHA917571:EHA917574 EQW917571:EQW917574 FAS917571:FAS917574 FKO917571:FKO917574 FUK917571:FUK917574 GEG917571:GEG917574 GOC917571:GOC917574 GXY917571:GXY917574 HHU917571:HHU917574 HRQ917571:HRQ917574 IBM917571:IBM917574 ILI917571:ILI917574 IVE917571:IVE917574 JFA917571:JFA917574 JOW917571:JOW917574 JYS917571:JYS917574 KIO917571:KIO917574 KSK917571:KSK917574 LCG917571:LCG917574 LMC917571:LMC917574 LVY917571:LVY917574 MFU917571:MFU917574 MPQ917571:MPQ917574 MZM917571:MZM917574 NJI917571:NJI917574 NTE917571:NTE917574 ODA917571:ODA917574 OMW917571:OMW917574 OWS917571:OWS917574 PGO917571:PGO917574 PQK917571:PQK917574 QAG917571:QAG917574 QKC917571:QKC917574 QTY917571:QTY917574 RDU917571:RDU917574 RNQ917571:RNQ917574 RXM917571:RXM917574 SHI917571:SHI917574 SRE917571:SRE917574 TBA917571:TBA917574 TKW917571:TKW917574 TUS917571:TUS917574 UEO917571:UEO917574 UOK917571:UOK917574 UYG917571:UYG917574 VIC917571:VIC917574 VRY917571:VRY917574 WBU917571:WBU917574 WLQ917571:WLQ917574 WVM917571:WVM917574 E983107:E983110 JA983107:JA983110 SW983107:SW983110 ACS983107:ACS983110 AMO983107:AMO983110 AWK983107:AWK983110 BGG983107:BGG983110 BQC983107:BQC983110 BZY983107:BZY983110 CJU983107:CJU983110 CTQ983107:CTQ983110 DDM983107:DDM983110 DNI983107:DNI983110 DXE983107:DXE983110 EHA983107:EHA983110 EQW983107:EQW983110 FAS983107:FAS983110 FKO983107:FKO983110 FUK983107:FUK983110 GEG983107:GEG983110 GOC983107:GOC983110 GXY983107:GXY983110 HHU983107:HHU983110 HRQ983107:HRQ983110 IBM983107:IBM983110 ILI983107:ILI983110 IVE983107:IVE983110 JFA983107:JFA983110 JOW983107:JOW983110 JYS983107:JYS983110 KIO983107:KIO983110 KSK983107:KSK983110 LCG983107:LCG983110 LMC983107:LMC983110 LVY983107:LVY983110 MFU983107:MFU983110 MPQ983107:MPQ983110 MZM983107:MZM983110 NJI983107:NJI983110 NTE983107:NTE983110 ODA983107:ODA983110 OMW983107:OMW983110 OWS983107:OWS983110 PGO983107:PGO983110 PQK983107:PQK983110 QAG983107:QAG983110 QKC983107:QKC983110 QTY983107:QTY983110 RDU983107:RDU983110 RNQ983107:RNQ983110 RXM983107:RXM983110 SHI983107:SHI983110 SRE983107:SRE983110 TBA983107:TBA983110 TKW983107:TKW983110 TUS983107:TUS983110 UEO983107:UEO983110 UOK983107:UOK983110 UYG983107:UYG983110 VIC983107:VIC983110 VRY983107:VRY983110 WBU983107:WBU983110 WLQ983107:WLQ983110 WVM983107:WVM983110 E29:E31 JA29:JA31 SW29:SW31 ACS29:ACS31 AMO29:AMO31 AWK29:AWK31 BGG29:BGG31 BQC29:BQC31 BZY29:BZY31 CJU29:CJU31 CTQ29:CTQ31 DDM29:DDM31 DNI29:DNI31 DXE29:DXE31 EHA29:EHA31 EQW29:EQW31 FAS29:FAS31 FKO29:FKO31 FUK29:FUK31 GEG29:GEG31 GOC29:GOC31 GXY29:GXY31 HHU29:HHU31 HRQ29:HRQ31 IBM29:IBM31 ILI29:ILI31 IVE29:IVE31 JFA29:JFA31 JOW29:JOW31 JYS29:JYS31 KIO29:KIO31 KSK29:KSK31 LCG29:LCG31 LMC29:LMC31 LVY29:LVY31 MFU29:MFU31 MPQ29:MPQ31 MZM29:MZM31 NJI29:NJI31 NTE29:NTE31 ODA29:ODA31 OMW29:OMW31 OWS29:OWS31 PGO29:PGO31 PQK29:PQK31 QAG29:QAG31 QKC29:QKC31 QTY29:QTY31 RDU29:RDU31 RNQ29:RNQ31 RXM29:RXM31 SHI29:SHI31 SRE29:SRE31 TBA29:TBA31 TKW29:TKW31 TUS29:TUS31 UEO29:UEO31 UOK29:UOK31 UYG29:UYG31 VIC29:VIC31 VRY29:VRY31 WBU29:WBU31 WLQ29:WLQ31 WVM29:WVM31 E65565:E65567 JA65565:JA65567 SW65565:SW65567 ACS65565:ACS65567 AMO65565:AMO65567 AWK65565:AWK65567 BGG65565:BGG65567 BQC65565:BQC65567 BZY65565:BZY65567 CJU65565:CJU65567 CTQ65565:CTQ65567 DDM65565:DDM65567 DNI65565:DNI65567 DXE65565:DXE65567 EHA65565:EHA65567 EQW65565:EQW65567 FAS65565:FAS65567 FKO65565:FKO65567 FUK65565:FUK65567 GEG65565:GEG65567 GOC65565:GOC65567 GXY65565:GXY65567 HHU65565:HHU65567 HRQ65565:HRQ65567 IBM65565:IBM65567 ILI65565:ILI65567 IVE65565:IVE65567 JFA65565:JFA65567 JOW65565:JOW65567 JYS65565:JYS65567 KIO65565:KIO65567 KSK65565:KSK65567 LCG65565:LCG65567 LMC65565:LMC65567 LVY65565:LVY65567 MFU65565:MFU65567 MPQ65565:MPQ65567 MZM65565:MZM65567 NJI65565:NJI65567 NTE65565:NTE65567 ODA65565:ODA65567 OMW65565:OMW65567 OWS65565:OWS65567 PGO65565:PGO65567 PQK65565:PQK65567 QAG65565:QAG65567 QKC65565:QKC65567 QTY65565:QTY65567 RDU65565:RDU65567 RNQ65565:RNQ65567 RXM65565:RXM65567 SHI65565:SHI65567 SRE65565:SRE65567 TBA65565:TBA65567 TKW65565:TKW65567 TUS65565:TUS65567 UEO65565:UEO65567 UOK65565:UOK65567 UYG65565:UYG65567 VIC65565:VIC65567 VRY65565:VRY65567 WBU65565:WBU65567 WLQ65565:WLQ65567 WVM65565:WVM65567 E131101:E131103 JA131101:JA131103 SW131101:SW131103 ACS131101:ACS131103 AMO131101:AMO131103 AWK131101:AWK131103 BGG131101:BGG131103 BQC131101:BQC131103 BZY131101:BZY131103 CJU131101:CJU131103 CTQ131101:CTQ131103 DDM131101:DDM131103 DNI131101:DNI131103 DXE131101:DXE131103 EHA131101:EHA131103 EQW131101:EQW131103 FAS131101:FAS131103 FKO131101:FKO131103 FUK131101:FUK131103 GEG131101:GEG131103 GOC131101:GOC131103 GXY131101:GXY131103 HHU131101:HHU131103 HRQ131101:HRQ131103 IBM131101:IBM131103 ILI131101:ILI131103 IVE131101:IVE131103 JFA131101:JFA131103 JOW131101:JOW131103 JYS131101:JYS131103 KIO131101:KIO131103 KSK131101:KSK131103 LCG131101:LCG131103 LMC131101:LMC131103 LVY131101:LVY131103 MFU131101:MFU131103 MPQ131101:MPQ131103 MZM131101:MZM131103 NJI131101:NJI131103 NTE131101:NTE131103 ODA131101:ODA131103 OMW131101:OMW131103 OWS131101:OWS131103 PGO131101:PGO131103 PQK131101:PQK131103 QAG131101:QAG131103 QKC131101:QKC131103 QTY131101:QTY131103 RDU131101:RDU131103 RNQ131101:RNQ131103 RXM131101:RXM131103 SHI131101:SHI131103 SRE131101:SRE131103 TBA131101:TBA131103 TKW131101:TKW131103 TUS131101:TUS131103 UEO131101:UEO131103 UOK131101:UOK131103 UYG131101:UYG131103 VIC131101:VIC131103 VRY131101:VRY131103 WBU131101:WBU131103 WLQ131101:WLQ131103 WVM131101:WVM131103 E196637:E196639 JA196637:JA196639 SW196637:SW196639 ACS196637:ACS196639 AMO196637:AMO196639 AWK196637:AWK196639 BGG196637:BGG196639 BQC196637:BQC196639 BZY196637:BZY196639 CJU196637:CJU196639 CTQ196637:CTQ196639 DDM196637:DDM196639 DNI196637:DNI196639 DXE196637:DXE196639 EHA196637:EHA196639 EQW196637:EQW196639 FAS196637:FAS196639 FKO196637:FKO196639 FUK196637:FUK196639 GEG196637:GEG196639 GOC196637:GOC196639 GXY196637:GXY196639 HHU196637:HHU196639 HRQ196637:HRQ196639 IBM196637:IBM196639 ILI196637:ILI196639 IVE196637:IVE196639 JFA196637:JFA196639 JOW196637:JOW196639 JYS196637:JYS196639 KIO196637:KIO196639 KSK196637:KSK196639 LCG196637:LCG196639 LMC196637:LMC196639 LVY196637:LVY196639 MFU196637:MFU196639 MPQ196637:MPQ196639 MZM196637:MZM196639 NJI196637:NJI196639 NTE196637:NTE196639 ODA196637:ODA196639 OMW196637:OMW196639 OWS196637:OWS196639 PGO196637:PGO196639 PQK196637:PQK196639 QAG196637:QAG196639 QKC196637:QKC196639 QTY196637:QTY196639 RDU196637:RDU196639 RNQ196637:RNQ196639 RXM196637:RXM196639 SHI196637:SHI196639 SRE196637:SRE196639 TBA196637:TBA196639 TKW196637:TKW196639 TUS196637:TUS196639 UEO196637:UEO196639 UOK196637:UOK196639 UYG196637:UYG196639 VIC196637:VIC196639 VRY196637:VRY196639 WBU196637:WBU196639 WLQ196637:WLQ196639 WVM196637:WVM196639 E262173:E262175 JA262173:JA262175 SW262173:SW262175 ACS262173:ACS262175 AMO262173:AMO262175 AWK262173:AWK262175 BGG262173:BGG262175 BQC262173:BQC262175 BZY262173:BZY262175 CJU262173:CJU262175 CTQ262173:CTQ262175 DDM262173:DDM262175 DNI262173:DNI262175 DXE262173:DXE262175 EHA262173:EHA262175 EQW262173:EQW262175 FAS262173:FAS262175 FKO262173:FKO262175 FUK262173:FUK262175 GEG262173:GEG262175 GOC262173:GOC262175 GXY262173:GXY262175 HHU262173:HHU262175 HRQ262173:HRQ262175 IBM262173:IBM262175 ILI262173:ILI262175 IVE262173:IVE262175 JFA262173:JFA262175 JOW262173:JOW262175 JYS262173:JYS262175 KIO262173:KIO262175 KSK262173:KSK262175 LCG262173:LCG262175 LMC262173:LMC262175 LVY262173:LVY262175 MFU262173:MFU262175 MPQ262173:MPQ262175 MZM262173:MZM262175 NJI262173:NJI262175 NTE262173:NTE262175 ODA262173:ODA262175 OMW262173:OMW262175 OWS262173:OWS262175 PGO262173:PGO262175 PQK262173:PQK262175 QAG262173:QAG262175 QKC262173:QKC262175 QTY262173:QTY262175 RDU262173:RDU262175 RNQ262173:RNQ262175 RXM262173:RXM262175 SHI262173:SHI262175 SRE262173:SRE262175 TBA262173:TBA262175 TKW262173:TKW262175 TUS262173:TUS262175 UEO262173:UEO262175 UOK262173:UOK262175 UYG262173:UYG262175 VIC262173:VIC262175 VRY262173:VRY262175 WBU262173:WBU262175 WLQ262173:WLQ262175 WVM262173:WVM262175 E327709:E327711 JA327709:JA327711 SW327709:SW327711 ACS327709:ACS327711 AMO327709:AMO327711 AWK327709:AWK327711 BGG327709:BGG327711 BQC327709:BQC327711 BZY327709:BZY327711 CJU327709:CJU327711 CTQ327709:CTQ327711 DDM327709:DDM327711 DNI327709:DNI327711 DXE327709:DXE327711 EHA327709:EHA327711 EQW327709:EQW327711 FAS327709:FAS327711 FKO327709:FKO327711 FUK327709:FUK327711 GEG327709:GEG327711 GOC327709:GOC327711 GXY327709:GXY327711 HHU327709:HHU327711 HRQ327709:HRQ327711 IBM327709:IBM327711 ILI327709:ILI327711 IVE327709:IVE327711 JFA327709:JFA327711 JOW327709:JOW327711 JYS327709:JYS327711 KIO327709:KIO327711 KSK327709:KSK327711 LCG327709:LCG327711 LMC327709:LMC327711 LVY327709:LVY327711 MFU327709:MFU327711 MPQ327709:MPQ327711 MZM327709:MZM327711 NJI327709:NJI327711 NTE327709:NTE327711 ODA327709:ODA327711 OMW327709:OMW327711 OWS327709:OWS327711 PGO327709:PGO327711 PQK327709:PQK327711 QAG327709:QAG327711 QKC327709:QKC327711 QTY327709:QTY327711 RDU327709:RDU327711 RNQ327709:RNQ327711 RXM327709:RXM327711 SHI327709:SHI327711 SRE327709:SRE327711 TBA327709:TBA327711 TKW327709:TKW327711 TUS327709:TUS327711 UEO327709:UEO327711 UOK327709:UOK327711 UYG327709:UYG327711 VIC327709:VIC327711 VRY327709:VRY327711 WBU327709:WBU327711 WLQ327709:WLQ327711 WVM327709:WVM327711 E393245:E393247 JA393245:JA393247 SW393245:SW393247 ACS393245:ACS393247 AMO393245:AMO393247 AWK393245:AWK393247 BGG393245:BGG393247 BQC393245:BQC393247 BZY393245:BZY393247 CJU393245:CJU393247 CTQ393245:CTQ393247 DDM393245:DDM393247 DNI393245:DNI393247 DXE393245:DXE393247 EHA393245:EHA393247 EQW393245:EQW393247 FAS393245:FAS393247 FKO393245:FKO393247 FUK393245:FUK393247 GEG393245:GEG393247 GOC393245:GOC393247 GXY393245:GXY393247 HHU393245:HHU393247 HRQ393245:HRQ393247 IBM393245:IBM393247 ILI393245:ILI393247 IVE393245:IVE393247 JFA393245:JFA393247 JOW393245:JOW393247 JYS393245:JYS393247 KIO393245:KIO393247 KSK393245:KSK393247 LCG393245:LCG393247 LMC393245:LMC393247 LVY393245:LVY393247 MFU393245:MFU393247 MPQ393245:MPQ393247 MZM393245:MZM393247 NJI393245:NJI393247 NTE393245:NTE393247 ODA393245:ODA393247 OMW393245:OMW393247 OWS393245:OWS393247 PGO393245:PGO393247 PQK393245:PQK393247 QAG393245:QAG393247 QKC393245:QKC393247 QTY393245:QTY393247 RDU393245:RDU393247 RNQ393245:RNQ393247 RXM393245:RXM393247 SHI393245:SHI393247 SRE393245:SRE393247 TBA393245:TBA393247 TKW393245:TKW393247 TUS393245:TUS393247 UEO393245:UEO393247 UOK393245:UOK393247 UYG393245:UYG393247 VIC393245:VIC393247 VRY393245:VRY393247 WBU393245:WBU393247 WLQ393245:WLQ393247 WVM393245:WVM393247 E458781:E458783 JA458781:JA458783 SW458781:SW458783 ACS458781:ACS458783 AMO458781:AMO458783 AWK458781:AWK458783 BGG458781:BGG458783 BQC458781:BQC458783 BZY458781:BZY458783 CJU458781:CJU458783 CTQ458781:CTQ458783 DDM458781:DDM458783 DNI458781:DNI458783 DXE458781:DXE458783 EHA458781:EHA458783 EQW458781:EQW458783 FAS458781:FAS458783 FKO458781:FKO458783 FUK458781:FUK458783 GEG458781:GEG458783 GOC458781:GOC458783 GXY458781:GXY458783 HHU458781:HHU458783 HRQ458781:HRQ458783 IBM458781:IBM458783 ILI458781:ILI458783 IVE458781:IVE458783 JFA458781:JFA458783 JOW458781:JOW458783 JYS458781:JYS458783 KIO458781:KIO458783 KSK458781:KSK458783 LCG458781:LCG458783 LMC458781:LMC458783 LVY458781:LVY458783 MFU458781:MFU458783 MPQ458781:MPQ458783 MZM458781:MZM458783 NJI458781:NJI458783 NTE458781:NTE458783 ODA458781:ODA458783 OMW458781:OMW458783 OWS458781:OWS458783 PGO458781:PGO458783 PQK458781:PQK458783 QAG458781:QAG458783 QKC458781:QKC458783 QTY458781:QTY458783 RDU458781:RDU458783 RNQ458781:RNQ458783 RXM458781:RXM458783 SHI458781:SHI458783 SRE458781:SRE458783 TBA458781:TBA458783 TKW458781:TKW458783 TUS458781:TUS458783 UEO458781:UEO458783 UOK458781:UOK458783 UYG458781:UYG458783 VIC458781:VIC458783 VRY458781:VRY458783 WBU458781:WBU458783 WLQ458781:WLQ458783 WVM458781:WVM458783 E524317:E524319 JA524317:JA524319 SW524317:SW524319 ACS524317:ACS524319 AMO524317:AMO524319 AWK524317:AWK524319 BGG524317:BGG524319 BQC524317:BQC524319 BZY524317:BZY524319 CJU524317:CJU524319 CTQ524317:CTQ524319 DDM524317:DDM524319 DNI524317:DNI524319 DXE524317:DXE524319 EHA524317:EHA524319 EQW524317:EQW524319 FAS524317:FAS524319 FKO524317:FKO524319 FUK524317:FUK524319 GEG524317:GEG524319 GOC524317:GOC524319 GXY524317:GXY524319 HHU524317:HHU524319 HRQ524317:HRQ524319 IBM524317:IBM524319 ILI524317:ILI524319 IVE524317:IVE524319 JFA524317:JFA524319 JOW524317:JOW524319 JYS524317:JYS524319 KIO524317:KIO524319 KSK524317:KSK524319 LCG524317:LCG524319 LMC524317:LMC524319 LVY524317:LVY524319 MFU524317:MFU524319 MPQ524317:MPQ524319 MZM524317:MZM524319 NJI524317:NJI524319 NTE524317:NTE524319 ODA524317:ODA524319 OMW524317:OMW524319 OWS524317:OWS524319 PGO524317:PGO524319 PQK524317:PQK524319 QAG524317:QAG524319 QKC524317:QKC524319 QTY524317:QTY524319 RDU524317:RDU524319 RNQ524317:RNQ524319 RXM524317:RXM524319 SHI524317:SHI524319 SRE524317:SRE524319 TBA524317:TBA524319 TKW524317:TKW524319 TUS524317:TUS524319 UEO524317:UEO524319 UOK524317:UOK524319 UYG524317:UYG524319 VIC524317:VIC524319 VRY524317:VRY524319 WBU524317:WBU524319 WLQ524317:WLQ524319 WVM524317:WVM524319 E589853:E589855 JA589853:JA589855 SW589853:SW589855 ACS589853:ACS589855 AMO589853:AMO589855 AWK589853:AWK589855 BGG589853:BGG589855 BQC589853:BQC589855 BZY589853:BZY589855 CJU589853:CJU589855 CTQ589853:CTQ589855 DDM589853:DDM589855 DNI589853:DNI589855 DXE589853:DXE589855 EHA589853:EHA589855 EQW589853:EQW589855 FAS589853:FAS589855 FKO589853:FKO589855 FUK589853:FUK589855 GEG589853:GEG589855 GOC589853:GOC589855 GXY589853:GXY589855 HHU589853:HHU589855 HRQ589853:HRQ589855 IBM589853:IBM589855 ILI589853:ILI589855 IVE589853:IVE589855 JFA589853:JFA589855 JOW589853:JOW589855 JYS589853:JYS589855 KIO589853:KIO589855 KSK589853:KSK589855 LCG589853:LCG589855 LMC589853:LMC589855 LVY589853:LVY589855 MFU589853:MFU589855 MPQ589853:MPQ589855 MZM589853:MZM589855 NJI589853:NJI589855 NTE589853:NTE589855 ODA589853:ODA589855 OMW589853:OMW589855 OWS589853:OWS589855 PGO589853:PGO589855 PQK589853:PQK589855 QAG589853:QAG589855 QKC589853:QKC589855 QTY589853:QTY589855 RDU589853:RDU589855 RNQ589853:RNQ589855 RXM589853:RXM589855 SHI589853:SHI589855 SRE589853:SRE589855 TBA589853:TBA589855 TKW589853:TKW589855 TUS589853:TUS589855 UEO589853:UEO589855 UOK589853:UOK589855 UYG589853:UYG589855 VIC589853:VIC589855 VRY589853:VRY589855 WBU589853:WBU589855 WLQ589853:WLQ589855 WVM589853:WVM589855 E655389:E655391 JA655389:JA655391 SW655389:SW655391 ACS655389:ACS655391 AMO655389:AMO655391 AWK655389:AWK655391 BGG655389:BGG655391 BQC655389:BQC655391 BZY655389:BZY655391 CJU655389:CJU655391 CTQ655389:CTQ655391 DDM655389:DDM655391 DNI655389:DNI655391 DXE655389:DXE655391 EHA655389:EHA655391 EQW655389:EQW655391 FAS655389:FAS655391 FKO655389:FKO655391 FUK655389:FUK655391 GEG655389:GEG655391 GOC655389:GOC655391 GXY655389:GXY655391 HHU655389:HHU655391 HRQ655389:HRQ655391 IBM655389:IBM655391 ILI655389:ILI655391 IVE655389:IVE655391 JFA655389:JFA655391 JOW655389:JOW655391 JYS655389:JYS655391 KIO655389:KIO655391 KSK655389:KSK655391 LCG655389:LCG655391 LMC655389:LMC655391 LVY655389:LVY655391 MFU655389:MFU655391 MPQ655389:MPQ655391 MZM655389:MZM655391 NJI655389:NJI655391 NTE655389:NTE655391 ODA655389:ODA655391 OMW655389:OMW655391 OWS655389:OWS655391 PGO655389:PGO655391 PQK655389:PQK655391 QAG655389:QAG655391 QKC655389:QKC655391 QTY655389:QTY655391 RDU655389:RDU655391 RNQ655389:RNQ655391 RXM655389:RXM655391 SHI655389:SHI655391 SRE655389:SRE655391 TBA655389:TBA655391 TKW655389:TKW655391 TUS655389:TUS655391 UEO655389:UEO655391 UOK655389:UOK655391 UYG655389:UYG655391 VIC655389:VIC655391 VRY655389:VRY655391 WBU655389:WBU655391 WLQ655389:WLQ655391 WVM655389:WVM655391 E720925:E720927 JA720925:JA720927 SW720925:SW720927 ACS720925:ACS720927 AMO720925:AMO720927 AWK720925:AWK720927 BGG720925:BGG720927 BQC720925:BQC720927 BZY720925:BZY720927 CJU720925:CJU720927 CTQ720925:CTQ720927 DDM720925:DDM720927 DNI720925:DNI720927 DXE720925:DXE720927 EHA720925:EHA720927 EQW720925:EQW720927 FAS720925:FAS720927 FKO720925:FKO720927 FUK720925:FUK720927 GEG720925:GEG720927 GOC720925:GOC720927 GXY720925:GXY720927 HHU720925:HHU720927 HRQ720925:HRQ720927 IBM720925:IBM720927 ILI720925:ILI720927 IVE720925:IVE720927 JFA720925:JFA720927 JOW720925:JOW720927 JYS720925:JYS720927 KIO720925:KIO720927 KSK720925:KSK720927 LCG720925:LCG720927 LMC720925:LMC720927 LVY720925:LVY720927 MFU720925:MFU720927 MPQ720925:MPQ720927 MZM720925:MZM720927 NJI720925:NJI720927 NTE720925:NTE720927 ODA720925:ODA720927 OMW720925:OMW720927 OWS720925:OWS720927 PGO720925:PGO720927 PQK720925:PQK720927 QAG720925:QAG720927 QKC720925:QKC720927 QTY720925:QTY720927 RDU720925:RDU720927 RNQ720925:RNQ720927 RXM720925:RXM720927 SHI720925:SHI720927 SRE720925:SRE720927 TBA720925:TBA720927 TKW720925:TKW720927 TUS720925:TUS720927 UEO720925:UEO720927 UOK720925:UOK720927 UYG720925:UYG720927 VIC720925:VIC720927 VRY720925:VRY720927 WBU720925:WBU720927 WLQ720925:WLQ720927 WVM720925:WVM720927 E786461:E786463 JA786461:JA786463 SW786461:SW786463 ACS786461:ACS786463 AMO786461:AMO786463 AWK786461:AWK786463 BGG786461:BGG786463 BQC786461:BQC786463 BZY786461:BZY786463 CJU786461:CJU786463 CTQ786461:CTQ786463 DDM786461:DDM786463 DNI786461:DNI786463 DXE786461:DXE786463 EHA786461:EHA786463 EQW786461:EQW786463 FAS786461:FAS786463 FKO786461:FKO786463 FUK786461:FUK786463 GEG786461:GEG786463 GOC786461:GOC786463 GXY786461:GXY786463 HHU786461:HHU786463 HRQ786461:HRQ786463 IBM786461:IBM786463 ILI786461:ILI786463 IVE786461:IVE786463 JFA786461:JFA786463 JOW786461:JOW786463 JYS786461:JYS786463 KIO786461:KIO786463 KSK786461:KSK786463 LCG786461:LCG786463 LMC786461:LMC786463 LVY786461:LVY786463 MFU786461:MFU786463 MPQ786461:MPQ786463 MZM786461:MZM786463 NJI786461:NJI786463 NTE786461:NTE786463 ODA786461:ODA786463 OMW786461:OMW786463 OWS786461:OWS786463 PGO786461:PGO786463 PQK786461:PQK786463 QAG786461:QAG786463 QKC786461:QKC786463 QTY786461:QTY786463 RDU786461:RDU786463 RNQ786461:RNQ786463 RXM786461:RXM786463 SHI786461:SHI786463 SRE786461:SRE786463 TBA786461:TBA786463 TKW786461:TKW786463 TUS786461:TUS786463 UEO786461:UEO786463 UOK786461:UOK786463 UYG786461:UYG786463 VIC786461:VIC786463 VRY786461:VRY786463 WBU786461:WBU786463 WLQ786461:WLQ786463 WVM786461:WVM786463 E851997:E851999 JA851997:JA851999 SW851997:SW851999 ACS851997:ACS851999 AMO851997:AMO851999 AWK851997:AWK851999 BGG851997:BGG851999 BQC851997:BQC851999 BZY851997:BZY851999 CJU851997:CJU851999 CTQ851997:CTQ851999 DDM851997:DDM851999 DNI851997:DNI851999 DXE851997:DXE851999 EHA851997:EHA851999 EQW851997:EQW851999 FAS851997:FAS851999 FKO851997:FKO851999 FUK851997:FUK851999 GEG851997:GEG851999 GOC851997:GOC851999 GXY851997:GXY851999 HHU851997:HHU851999 HRQ851997:HRQ851999 IBM851997:IBM851999 ILI851997:ILI851999 IVE851997:IVE851999 JFA851997:JFA851999 JOW851997:JOW851999 JYS851997:JYS851999 KIO851997:KIO851999 KSK851997:KSK851999 LCG851997:LCG851999 LMC851997:LMC851999 LVY851997:LVY851999 MFU851997:MFU851999 MPQ851997:MPQ851999 MZM851997:MZM851999 NJI851997:NJI851999 NTE851997:NTE851999 ODA851997:ODA851999 OMW851997:OMW851999 OWS851997:OWS851999 PGO851997:PGO851999 PQK851997:PQK851999 QAG851997:QAG851999 QKC851997:QKC851999 QTY851997:QTY851999 RDU851997:RDU851999 RNQ851997:RNQ851999 RXM851997:RXM851999 SHI851997:SHI851999 SRE851997:SRE851999 TBA851997:TBA851999 TKW851997:TKW851999 TUS851997:TUS851999 UEO851997:UEO851999 UOK851997:UOK851999 UYG851997:UYG851999 VIC851997:VIC851999 VRY851997:VRY851999 WBU851997:WBU851999 WLQ851997:WLQ851999 WVM851997:WVM851999 E917533:E917535 JA917533:JA917535 SW917533:SW917535 ACS917533:ACS917535 AMO917533:AMO917535 AWK917533:AWK917535 BGG917533:BGG917535 BQC917533:BQC917535 BZY917533:BZY917535 CJU917533:CJU917535 CTQ917533:CTQ917535 DDM917533:DDM917535 DNI917533:DNI917535 DXE917533:DXE917535 EHA917533:EHA917535 EQW917533:EQW917535 FAS917533:FAS917535 FKO917533:FKO917535 FUK917533:FUK917535 GEG917533:GEG917535 GOC917533:GOC917535 GXY917533:GXY917535 HHU917533:HHU917535 HRQ917533:HRQ917535 IBM917533:IBM917535 ILI917533:ILI917535 IVE917533:IVE917535 JFA917533:JFA917535 JOW917533:JOW917535 JYS917533:JYS917535 KIO917533:KIO917535 KSK917533:KSK917535 LCG917533:LCG917535 LMC917533:LMC917535 LVY917533:LVY917535 MFU917533:MFU917535 MPQ917533:MPQ917535 MZM917533:MZM917535 NJI917533:NJI917535 NTE917533:NTE917535 ODA917533:ODA917535 OMW917533:OMW917535 OWS917533:OWS917535 PGO917533:PGO917535 PQK917533:PQK917535 QAG917533:QAG917535 QKC917533:QKC917535 QTY917533:QTY917535 RDU917533:RDU917535 RNQ917533:RNQ917535 RXM917533:RXM917535 SHI917533:SHI917535 SRE917533:SRE917535 TBA917533:TBA917535 TKW917533:TKW917535 TUS917533:TUS917535 UEO917533:UEO917535 UOK917533:UOK917535 UYG917533:UYG917535 VIC917533:VIC917535 VRY917533:VRY917535 WBU917533:WBU917535 WLQ917533:WLQ917535 WVM917533:WVM917535 E983069:E983071 JA983069:JA983071 SW983069:SW983071 ACS983069:ACS983071 AMO983069:AMO983071 AWK983069:AWK983071 BGG983069:BGG983071 BQC983069:BQC983071 BZY983069:BZY983071 CJU983069:CJU983071 CTQ983069:CTQ983071 DDM983069:DDM983071 DNI983069:DNI983071 DXE983069:DXE983071 EHA983069:EHA983071 EQW983069:EQW983071 FAS983069:FAS983071 FKO983069:FKO983071 FUK983069:FUK983071 GEG983069:GEG983071 GOC983069:GOC983071 GXY983069:GXY983071 HHU983069:HHU983071 HRQ983069:HRQ983071 IBM983069:IBM983071 ILI983069:ILI983071 IVE983069:IVE983071 JFA983069:JFA983071 JOW983069:JOW983071 JYS983069:JYS983071 KIO983069:KIO983071 KSK983069:KSK983071 LCG983069:LCG983071 LMC983069:LMC983071 LVY983069:LVY983071 MFU983069:MFU983071 MPQ983069:MPQ983071 MZM983069:MZM983071 NJI983069:NJI983071 NTE983069:NTE983071 ODA983069:ODA983071 OMW983069:OMW983071 OWS983069:OWS983071 PGO983069:PGO983071 PQK983069:PQK983071 QAG983069:QAG983071 QKC983069:QKC983071 QTY983069:QTY983071 RDU983069:RDU983071 RNQ983069:RNQ983071 RXM983069:RXM983071 SHI983069:SHI983071 SRE983069:SRE983071 TBA983069:TBA983071 TKW983069:TKW983071 TUS983069:TUS983071 UEO983069:UEO983071 UOK983069:UOK983071 UYG983069:UYG983071 VIC983069:VIC983071 VRY983069:VRY983071 WBU983069:WBU983071 WLQ983069:WLQ983071 WVM983069:WVM983071 E77 JA77 SW77 ACS77 AMO77 AWK77 BGG77 BQC77 BZY77 CJU77 CTQ77 DDM77 DNI77 DXE77 EHA77 EQW77 FAS77 FKO77 FUK77 GEG77 GOC77 GXY77 HHU77 HRQ77 IBM77 ILI77 IVE77 JFA77 JOW77 JYS77 KIO77 KSK77 LCG77 LMC77 LVY77 MFU77 MPQ77 MZM77 NJI77 NTE77 ODA77 OMW77 OWS77 PGO77 PQK77 QAG77 QKC77 QTY77 RDU77 RNQ77 RXM77 SHI77 SRE77 TBA77 TKW77 TUS77 UEO77 UOK77 UYG77 VIC77 VRY77 WBU77 WLQ77 WVM77 E65613 JA65613 SW65613 ACS65613 AMO65613 AWK65613 BGG65613 BQC65613 BZY65613 CJU65613 CTQ65613 DDM65613 DNI65613 DXE65613 EHA65613 EQW65613 FAS65613 FKO65613 FUK65613 GEG65613 GOC65613 GXY65613 HHU65613 HRQ65613 IBM65613 ILI65613 IVE65613 JFA65613 JOW65613 JYS65613 KIO65613 KSK65613 LCG65613 LMC65613 LVY65613 MFU65613 MPQ65613 MZM65613 NJI65613 NTE65613 ODA65613 OMW65613 OWS65613 PGO65613 PQK65613 QAG65613 QKC65613 QTY65613 RDU65613 RNQ65613 RXM65613 SHI65613 SRE65613 TBA65613 TKW65613 TUS65613 UEO65613 UOK65613 UYG65613 VIC65613 VRY65613 WBU65613 WLQ65613 WVM65613 E131149 JA131149 SW131149 ACS131149 AMO131149 AWK131149 BGG131149 BQC131149 BZY131149 CJU131149 CTQ131149 DDM131149 DNI131149 DXE131149 EHA131149 EQW131149 FAS131149 FKO131149 FUK131149 GEG131149 GOC131149 GXY131149 HHU131149 HRQ131149 IBM131149 ILI131149 IVE131149 JFA131149 JOW131149 JYS131149 KIO131149 KSK131149 LCG131149 LMC131149 LVY131149 MFU131149 MPQ131149 MZM131149 NJI131149 NTE131149 ODA131149 OMW131149 OWS131149 PGO131149 PQK131149 QAG131149 QKC131149 QTY131149 RDU131149 RNQ131149 RXM131149 SHI131149 SRE131149 TBA131149 TKW131149 TUS131149 UEO131149 UOK131149 UYG131149 VIC131149 VRY131149 WBU131149 WLQ131149 WVM131149 E196685 JA196685 SW196685 ACS196685 AMO196685 AWK196685 BGG196685 BQC196685 BZY196685 CJU196685 CTQ196685 DDM196685 DNI196685 DXE196685 EHA196685 EQW196685 FAS196685 FKO196685 FUK196685 GEG196685 GOC196685 GXY196685 HHU196685 HRQ196685 IBM196685 ILI196685 IVE196685 JFA196685 JOW196685 JYS196685 KIO196685 KSK196685 LCG196685 LMC196685 LVY196685 MFU196685 MPQ196685 MZM196685 NJI196685 NTE196685 ODA196685 OMW196685 OWS196685 PGO196685 PQK196685 QAG196685 QKC196685 QTY196685 RDU196685 RNQ196685 RXM196685 SHI196685 SRE196685 TBA196685 TKW196685 TUS196685 UEO196685 UOK196685 UYG196685 VIC196685 VRY196685 WBU196685 WLQ196685 WVM196685 E262221 JA262221 SW262221 ACS262221 AMO262221 AWK262221 BGG262221 BQC262221 BZY262221 CJU262221 CTQ262221 DDM262221 DNI262221 DXE262221 EHA262221 EQW262221 FAS262221 FKO262221 FUK262221 GEG262221 GOC262221 GXY262221 HHU262221 HRQ262221 IBM262221 ILI262221 IVE262221 JFA262221 JOW262221 JYS262221 KIO262221 KSK262221 LCG262221 LMC262221 LVY262221 MFU262221 MPQ262221 MZM262221 NJI262221 NTE262221 ODA262221 OMW262221 OWS262221 PGO262221 PQK262221 QAG262221 QKC262221 QTY262221 RDU262221 RNQ262221 RXM262221 SHI262221 SRE262221 TBA262221 TKW262221 TUS262221 UEO262221 UOK262221 UYG262221 VIC262221 VRY262221 WBU262221 WLQ262221 WVM262221 E327757 JA327757 SW327757 ACS327757 AMO327757 AWK327757 BGG327757 BQC327757 BZY327757 CJU327757 CTQ327757 DDM327757 DNI327757 DXE327757 EHA327757 EQW327757 FAS327757 FKO327757 FUK327757 GEG327757 GOC327757 GXY327757 HHU327757 HRQ327757 IBM327757 ILI327757 IVE327757 JFA327757 JOW327757 JYS327757 KIO327757 KSK327757 LCG327757 LMC327757 LVY327757 MFU327757 MPQ327757 MZM327757 NJI327757 NTE327757 ODA327757 OMW327757 OWS327757 PGO327757 PQK327757 QAG327757 QKC327757 QTY327757 RDU327757 RNQ327757 RXM327757 SHI327757 SRE327757 TBA327757 TKW327757 TUS327757 UEO327757 UOK327757 UYG327757 VIC327757 VRY327757 WBU327757 WLQ327757 WVM327757 E393293 JA393293 SW393293 ACS393293 AMO393293 AWK393293 BGG393293 BQC393293 BZY393293 CJU393293 CTQ393293 DDM393293 DNI393293 DXE393293 EHA393293 EQW393293 FAS393293 FKO393293 FUK393293 GEG393293 GOC393293 GXY393293 HHU393293 HRQ393293 IBM393293 ILI393293 IVE393293 JFA393293 JOW393293 JYS393293 KIO393293 KSK393293 LCG393293 LMC393293 LVY393293 MFU393293 MPQ393293 MZM393293 NJI393293 NTE393293 ODA393293 OMW393293 OWS393293 PGO393293 PQK393293 QAG393293 QKC393293 QTY393293 RDU393293 RNQ393293 RXM393293 SHI393293 SRE393293 TBA393293 TKW393293 TUS393293 UEO393293 UOK393293 UYG393293 VIC393293 VRY393293 WBU393293 WLQ393293 WVM393293 E458829 JA458829 SW458829 ACS458829 AMO458829 AWK458829 BGG458829 BQC458829 BZY458829 CJU458829 CTQ458829 DDM458829 DNI458829 DXE458829 EHA458829 EQW458829 FAS458829 FKO458829 FUK458829 GEG458829 GOC458829 GXY458829 HHU458829 HRQ458829 IBM458829 ILI458829 IVE458829 JFA458829 JOW458829 JYS458829 KIO458829 KSK458829 LCG458829 LMC458829 LVY458829 MFU458829 MPQ458829 MZM458829 NJI458829 NTE458829 ODA458829 OMW458829 OWS458829 PGO458829 PQK458829 QAG458829 QKC458829 QTY458829 RDU458829 RNQ458829 RXM458829 SHI458829 SRE458829 TBA458829 TKW458829 TUS458829 UEO458829 UOK458829 UYG458829 VIC458829 VRY458829 WBU458829 WLQ458829 WVM458829 E524365 JA524365 SW524365 ACS524365 AMO524365 AWK524365 BGG524365 BQC524365 BZY524365 CJU524365 CTQ524365 DDM524365 DNI524365 DXE524365 EHA524365 EQW524365 FAS524365 FKO524365 FUK524365 GEG524365 GOC524365 GXY524365 HHU524365 HRQ524365 IBM524365 ILI524365 IVE524365 JFA524365 JOW524365 JYS524365 KIO524365 KSK524365 LCG524365 LMC524365 LVY524365 MFU524365 MPQ524365 MZM524365 NJI524365 NTE524365 ODA524365 OMW524365 OWS524365 PGO524365 PQK524365 QAG524365 QKC524365 QTY524365 RDU524365 RNQ524365 RXM524365 SHI524365 SRE524365 TBA524365 TKW524365 TUS524365 UEO524365 UOK524365 UYG524365 VIC524365 VRY524365 WBU524365 WLQ524365 WVM524365 E589901 JA589901 SW589901 ACS589901 AMO589901 AWK589901 BGG589901 BQC589901 BZY589901 CJU589901 CTQ589901 DDM589901 DNI589901 DXE589901 EHA589901 EQW589901 FAS589901 FKO589901 FUK589901 GEG589901 GOC589901 GXY589901 HHU589901 HRQ589901 IBM589901 ILI589901 IVE589901 JFA589901 JOW589901 JYS589901 KIO589901 KSK589901 LCG589901 LMC589901 LVY589901 MFU589901 MPQ589901 MZM589901 NJI589901 NTE589901 ODA589901 OMW589901 OWS589901 PGO589901 PQK589901 QAG589901 QKC589901 QTY589901 RDU589901 RNQ589901 RXM589901 SHI589901 SRE589901 TBA589901 TKW589901 TUS589901 UEO589901 UOK589901 UYG589901 VIC589901 VRY589901 WBU589901 WLQ589901 WVM589901 E655437 JA655437 SW655437 ACS655437 AMO655437 AWK655437 BGG655437 BQC655437 BZY655437 CJU655437 CTQ655437 DDM655437 DNI655437 DXE655437 EHA655437 EQW655437 FAS655437 FKO655437 FUK655437 GEG655437 GOC655437 GXY655437 HHU655437 HRQ655437 IBM655437 ILI655437 IVE655437 JFA655437 JOW655437 JYS655437 KIO655437 KSK655437 LCG655437 LMC655437 LVY655437 MFU655437 MPQ655437 MZM655437 NJI655437 NTE655437 ODA655437 OMW655437 OWS655437 PGO655437 PQK655437 QAG655437 QKC655437 QTY655437 RDU655437 RNQ655437 RXM655437 SHI655437 SRE655437 TBA655437 TKW655437 TUS655437 UEO655437 UOK655437 UYG655437 VIC655437 VRY655437 WBU655437 WLQ655437 WVM655437 E720973 JA720973 SW720973 ACS720973 AMO720973 AWK720973 BGG720973 BQC720973 BZY720973 CJU720973 CTQ720973 DDM720973 DNI720973 DXE720973 EHA720973 EQW720973 FAS720973 FKO720973 FUK720973 GEG720973 GOC720973 GXY720973 HHU720973 HRQ720973 IBM720973 ILI720973 IVE720973 JFA720973 JOW720973 JYS720973 KIO720973 KSK720973 LCG720973 LMC720973 LVY720973 MFU720973 MPQ720973 MZM720973 NJI720973 NTE720973 ODA720973 OMW720973 OWS720973 PGO720973 PQK720973 QAG720973 QKC720973 QTY720973 RDU720973 RNQ720973 RXM720973 SHI720973 SRE720973 TBA720973 TKW720973 TUS720973 UEO720973 UOK720973 UYG720973 VIC720973 VRY720973 WBU720973 WLQ720973 WVM720973 E786509 JA786509 SW786509 ACS786509 AMO786509 AWK786509 BGG786509 BQC786509 BZY786509 CJU786509 CTQ786509 DDM786509 DNI786509 DXE786509 EHA786509 EQW786509 FAS786509 FKO786509 FUK786509 GEG786509 GOC786509 GXY786509 HHU786509 HRQ786509 IBM786509 ILI786509 IVE786509 JFA786509 JOW786509 JYS786509 KIO786509 KSK786509 LCG786509 LMC786509 LVY786509 MFU786509 MPQ786509 MZM786509 NJI786509 NTE786509 ODA786509 OMW786509 OWS786509 PGO786509 PQK786509 QAG786509 QKC786509 QTY786509 RDU786509 RNQ786509 RXM786509 SHI786509 SRE786509 TBA786509 TKW786509 TUS786509 UEO786509 UOK786509 UYG786509 VIC786509 VRY786509 WBU786509 WLQ786509 WVM786509 E852045 JA852045 SW852045 ACS852045 AMO852045 AWK852045 BGG852045 BQC852045 BZY852045 CJU852045 CTQ852045 DDM852045 DNI852045 DXE852045 EHA852045 EQW852045 FAS852045 FKO852045 FUK852045 GEG852045 GOC852045 GXY852045 HHU852045 HRQ852045 IBM852045 ILI852045 IVE852045 JFA852045 JOW852045 JYS852045 KIO852045 KSK852045 LCG852045 LMC852045 LVY852045 MFU852045 MPQ852045 MZM852045 NJI852045 NTE852045 ODA852045 OMW852045 OWS852045 PGO852045 PQK852045 QAG852045 QKC852045 QTY852045 RDU852045 RNQ852045 RXM852045 SHI852045 SRE852045 TBA852045 TKW852045 TUS852045 UEO852045 UOK852045 UYG852045 VIC852045 VRY852045 WBU852045 WLQ852045 WVM852045 E917581 JA917581 SW917581 ACS917581 AMO917581 AWK917581 BGG917581 BQC917581 BZY917581 CJU917581 CTQ917581 DDM917581 DNI917581 DXE917581 EHA917581 EQW917581 FAS917581 FKO917581 FUK917581 GEG917581 GOC917581 GXY917581 HHU917581 HRQ917581 IBM917581 ILI917581 IVE917581 JFA917581 JOW917581 JYS917581 KIO917581 KSK917581 LCG917581 LMC917581 LVY917581 MFU917581 MPQ917581 MZM917581 NJI917581 NTE917581 ODA917581 OMW917581 OWS917581 PGO917581 PQK917581 QAG917581 QKC917581 QTY917581 RDU917581 RNQ917581 RXM917581 SHI917581 SRE917581 TBA917581 TKW917581 TUS917581 UEO917581 UOK917581 UYG917581 VIC917581 VRY917581 WBU917581 WLQ917581 WVM917581 E983117 JA983117 SW983117 ACS983117 AMO983117 AWK983117 BGG983117 BQC983117 BZY983117 CJU983117 CTQ983117 DDM983117 DNI983117 DXE983117 EHA983117 EQW983117 FAS983117 FKO983117 FUK983117 GEG983117 GOC983117 GXY983117 HHU983117 HRQ983117 IBM983117 ILI983117 IVE983117 JFA983117 JOW983117 JYS983117 KIO983117 KSK983117 LCG983117 LMC983117 LVY983117 MFU983117 MPQ983117 MZM983117 NJI983117 NTE983117 ODA983117 OMW983117 OWS983117 PGO983117 PQK983117 QAG983117 QKC983117 QTY983117 RDU983117 RNQ983117 RXM983117 SHI983117 SRE983117 TBA983117 TKW983117 TUS983117 UEO983117 UOK983117 UYG983117 VIC983117 VRY983117 WBU983117 WLQ983117 WVM983117 E72:E74 JA72:JA74 SW72:SW74 ACS72:ACS74 AMO72:AMO74 AWK72:AWK74 BGG72:BGG74 BQC72:BQC74 BZY72:BZY74 CJU72:CJU74 CTQ72:CTQ74 DDM72:DDM74 DNI72:DNI74 DXE72:DXE74 EHA72:EHA74 EQW72:EQW74 FAS72:FAS74 FKO72:FKO74 FUK72:FUK74 GEG72:GEG74 GOC72:GOC74 GXY72:GXY74 HHU72:HHU74 HRQ72:HRQ74 IBM72:IBM74 ILI72:ILI74 IVE72:IVE74 JFA72:JFA74 JOW72:JOW74 JYS72:JYS74 KIO72:KIO74 KSK72:KSK74 LCG72:LCG74 LMC72:LMC74 LVY72:LVY74 MFU72:MFU74 MPQ72:MPQ74 MZM72:MZM74 NJI72:NJI74 NTE72:NTE74 ODA72:ODA74 OMW72:OMW74 OWS72:OWS74 PGO72:PGO74 PQK72:PQK74 QAG72:QAG74 QKC72:QKC74 QTY72:QTY74 RDU72:RDU74 RNQ72:RNQ74 RXM72:RXM74 SHI72:SHI74 SRE72:SRE74 TBA72:TBA74 TKW72:TKW74 TUS72:TUS74 UEO72:UEO74 UOK72:UOK74 UYG72:UYG74 VIC72:VIC74 VRY72:VRY74 WBU72:WBU74 WLQ72:WLQ74 WVM72:WVM74 E65608:E65610 JA65608:JA65610 SW65608:SW65610 ACS65608:ACS65610 AMO65608:AMO65610 AWK65608:AWK65610 BGG65608:BGG65610 BQC65608:BQC65610 BZY65608:BZY65610 CJU65608:CJU65610 CTQ65608:CTQ65610 DDM65608:DDM65610 DNI65608:DNI65610 DXE65608:DXE65610 EHA65608:EHA65610 EQW65608:EQW65610 FAS65608:FAS65610 FKO65608:FKO65610 FUK65608:FUK65610 GEG65608:GEG65610 GOC65608:GOC65610 GXY65608:GXY65610 HHU65608:HHU65610 HRQ65608:HRQ65610 IBM65608:IBM65610 ILI65608:ILI65610 IVE65608:IVE65610 JFA65608:JFA65610 JOW65608:JOW65610 JYS65608:JYS65610 KIO65608:KIO65610 KSK65608:KSK65610 LCG65608:LCG65610 LMC65608:LMC65610 LVY65608:LVY65610 MFU65608:MFU65610 MPQ65608:MPQ65610 MZM65608:MZM65610 NJI65608:NJI65610 NTE65608:NTE65610 ODA65608:ODA65610 OMW65608:OMW65610 OWS65608:OWS65610 PGO65608:PGO65610 PQK65608:PQK65610 QAG65608:QAG65610 QKC65608:QKC65610 QTY65608:QTY65610 RDU65608:RDU65610 RNQ65608:RNQ65610 RXM65608:RXM65610 SHI65608:SHI65610 SRE65608:SRE65610 TBA65608:TBA65610 TKW65608:TKW65610 TUS65608:TUS65610 UEO65608:UEO65610 UOK65608:UOK65610 UYG65608:UYG65610 VIC65608:VIC65610 VRY65608:VRY65610 WBU65608:WBU65610 WLQ65608:WLQ65610 WVM65608:WVM65610 E131144:E131146 JA131144:JA131146 SW131144:SW131146 ACS131144:ACS131146 AMO131144:AMO131146 AWK131144:AWK131146 BGG131144:BGG131146 BQC131144:BQC131146 BZY131144:BZY131146 CJU131144:CJU131146 CTQ131144:CTQ131146 DDM131144:DDM131146 DNI131144:DNI131146 DXE131144:DXE131146 EHA131144:EHA131146 EQW131144:EQW131146 FAS131144:FAS131146 FKO131144:FKO131146 FUK131144:FUK131146 GEG131144:GEG131146 GOC131144:GOC131146 GXY131144:GXY131146 HHU131144:HHU131146 HRQ131144:HRQ131146 IBM131144:IBM131146 ILI131144:ILI131146 IVE131144:IVE131146 JFA131144:JFA131146 JOW131144:JOW131146 JYS131144:JYS131146 KIO131144:KIO131146 KSK131144:KSK131146 LCG131144:LCG131146 LMC131144:LMC131146 LVY131144:LVY131146 MFU131144:MFU131146 MPQ131144:MPQ131146 MZM131144:MZM131146 NJI131144:NJI131146 NTE131144:NTE131146 ODA131144:ODA131146 OMW131144:OMW131146 OWS131144:OWS131146 PGO131144:PGO131146 PQK131144:PQK131146 QAG131144:QAG131146 QKC131144:QKC131146 QTY131144:QTY131146 RDU131144:RDU131146 RNQ131144:RNQ131146 RXM131144:RXM131146 SHI131144:SHI131146 SRE131144:SRE131146 TBA131144:TBA131146 TKW131144:TKW131146 TUS131144:TUS131146 UEO131144:UEO131146 UOK131144:UOK131146 UYG131144:UYG131146 VIC131144:VIC131146 VRY131144:VRY131146 WBU131144:WBU131146 WLQ131144:WLQ131146 WVM131144:WVM131146 E196680:E196682 JA196680:JA196682 SW196680:SW196682 ACS196680:ACS196682 AMO196680:AMO196682 AWK196680:AWK196682 BGG196680:BGG196682 BQC196680:BQC196682 BZY196680:BZY196682 CJU196680:CJU196682 CTQ196680:CTQ196682 DDM196680:DDM196682 DNI196680:DNI196682 DXE196680:DXE196682 EHA196680:EHA196682 EQW196680:EQW196682 FAS196680:FAS196682 FKO196680:FKO196682 FUK196680:FUK196682 GEG196680:GEG196682 GOC196680:GOC196682 GXY196680:GXY196682 HHU196680:HHU196682 HRQ196680:HRQ196682 IBM196680:IBM196682 ILI196680:ILI196682 IVE196680:IVE196682 JFA196680:JFA196682 JOW196680:JOW196682 JYS196680:JYS196682 KIO196680:KIO196682 KSK196680:KSK196682 LCG196680:LCG196682 LMC196680:LMC196682 LVY196680:LVY196682 MFU196680:MFU196682 MPQ196680:MPQ196682 MZM196680:MZM196682 NJI196680:NJI196682 NTE196680:NTE196682 ODA196680:ODA196682 OMW196680:OMW196682 OWS196680:OWS196682 PGO196680:PGO196682 PQK196680:PQK196682 QAG196680:QAG196682 QKC196680:QKC196682 QTY196680:QTY196682 RDU196680:RDU196682 RNQ196680:RNQ196682 RXM196680:RXM196682 SHI196680:SHI196682 SRE196680:SRE196682 TBA196680:TBA196682 TKW196680:TKW196682 TUS196680:TUS196682 UEO196680:UEO196682 UOK196680:UOK196682 UYG196680:UYG196682 VIC196680:VIC196682 VRY196680:VRY196682 WBU196680:WBU196682 WLQ196680:WLQ196682 WVM196680:WVM196682 E262216:E262218 JA262216:JA262218 SW262216:SW262218 ACS262216:ACS262218 AMO262216:AMO262218 AWK262216:AWK262218 BGG262216:BGG262218 BQC262216:BQC262218 BZY262216:BZY262218 CJU262216:CJU262218 CTQ262216:CTQ262218 DDM262216:DDM262218 DNI262216:DNI262218 DXE262216:DXE262218 EHA262216:EHA262218 EQW262216:EQW262218 FAS262216:FAS262218 FKO262216:FKO262218 FUK262216:FUK262218 GEG262216:GEG262218 GOC262216:GOC262218 GXY262216:GXY262218 HHU262216:HHU262218 HRQ262216:HRQ262218 IBM262216:IBM262218 ILI262216:ILI262218 IVE262216:IVE262218 JFA262216:JFA262218 JOW262216:JOW262218 JYS262216:JYS262218 KIO262216:KIO262218 KSK262216:KSK262218 LCG262216:LCG262218 LMC262216:LMC262218 LVY262216:LVY262218 MFU262216:MFU262218 MPQ262216:MPQ262218 MZM262216:MZM262218 NJI262216:NJI262218 NTE262216:NTE262218 ODA262216:ODA262218 OMW262216:OMW262218 OWS262216:OWS262218 PGO262216:PGO262218 PQK262216:PQK262218 QAG262216:QAG262218 QKC262216:QKC262218 QTY262216:QTY262218 RDU262216:RDU262218 RNQ262216:RNQ262218 RXM262216:RXM262218 SHI262216:SHI262218 SRE262216:SRE262218 TBA262216:TBA262218 TKW262216:TKW262218 TUS262216:TUS262218 UEO262216:UEO262218 UOK262216:UOK262218 UYG262216:UYG262218 VIC262216:VIC262218 VRY262216:VRY262218 WBU262216:WBU262218 WLQ262216:WLQ262218 WVM262216:WVM262218 E327752:E327754 JA327752:JA327754 SW327752:SW327754 ACS327752:ACS327754 AMO327752:AMO327754 AWK327752:AWK327754 BGG327752:BGG327754 BQC327752:BQC327754 BZY327752:BZY327754 CJU327752:CJU327754 CTQ327752:CTQ327754 DDM327752:DDM327754 DNI327752:DNI327754 DXE327752:DXE327754 EHA327752:EHA327754 EQW327752:EQW327754 FAS327752:FAS327754 FKO327752:FKO327754 FUK327752:FUK327754 GEG327752:GEG327754 GOC327752:GOC327754 GXY327752:GXY327754 HHU327752:HHU327754 HRQ327752:HRQ327754 IBM327752:IBM327754 ILI327752:ILI327754 IVE327752:IVE327754 JFA327752:JFA327754 JOW327752:JOW327754 JYS327752:JYS327754 KIO327752:KIO327754 KSK327752:KSK327754 LCG327752:LCG327754 LMC327752:LMC327754 LVY327752:LVY327754 MFU327752:MFU327754 MPQ327752:MPQ327754 MZM327752:MZM327754 NJI327752:NJI327754 NTE327752:NTE327754 ODA327752:ODA327754 OMW327752:OMW327754 OWS327752:OWS327754 PGO327752:PGO327754 PQK327752:PQK327754 QAG327752:QAG327754 QKC327752:QKC327754 QTY327752:QTY327754 RDU327752:RDU327754 RNQ327752:RNQ327754 RXM327752:RXM327754 SHI327752:SHI327754 SRE327752:SRE327754 TBA327752:TBA327754 TKW327752:TKW327754 TUS327752:TUS327754 UEO327752:UEO327754 UOK327752:UOK327754 UYG327752:UYG327754 VIC327752:VIC327754 VRY327752:VRY327754 WBU327752:WBU327754 WLQ327752:WLQ327754 WVM327752:WVM327754 E393288:E393290 JA393288:JA393290 SW393288:SW393290 ACS393288:ACS393290 AMO393288:AMO393290 AWK393288:AWK393290 BGG393288:BGG393290 BQC393288:BQC393290 BZY393288:BZY393290 CJU393288:CJU393290 CTQ393288:CTQ393290 DDM393288:DDM393290 DNI393288:DNI393290 DXE393288:DXE393290 EHA393288:EHA393290 EQW393288:EQW393290 FAS393288:FAS393290 FKO393288:FKO393290 FUK393288:FUK393290 GEG393288:GEG393290 GOC393288:GOC393290 GXY393288:GXY393290 HHU393288:HHU393290 HRQ393288:HRQ393290 IBM393288:IBM393290 ILI393288:ILI393290 IVE393288:IVE393290 JFA393288:JFA393290 JOW393288:JOW393290 JYS393288:JYS393290 KIO393288:KIO393290 KSK393288:KSK393290 LCG393288:LCG393290 LMC393288:LMC393290 LVY393288:LVY393290 MFU393288:MFU393290 MPQ393288:MPQ393290 MZM393288:MZM393290 NJI393288:NJI393290 NTE393288:NTE393290 ODA393288:ODA393290 OMW393288:OMW393290 OWS393288:OWS393290 PGO393288:PGO393290 PQK393288:PQK393290 QAG393288:QAG393290 QKC393288:QKC393290 QTY393288:QTY393290 RDU393288:RDU393290 RNQ393288:RNQ393290 RXM393288:RXM393290 SHI393288:SHI393290 SRE393288:SRE393290 TBA393288:TBA393290 TKW393288:TKW393290 TUS393288:TUS393290 UEO393288:UEO393290 UOK393288:UOK393290 UYG393288:UYG393290 VIC393288:VIC393290 VRY393288:VRY393290 WBU393288:WBU393290 WLQ393288:WLQ393290 WVM393288:WVM393290 E458824:E458826 JA458824:JA458826 SW458824:SW458826 ACS458824:ACS458826 AMO458824:AMO458826 AWK458824:AWK458826 BGG458824:BGG458826 BQC458824:BQC458826 BZY458824:BZY458826 CJU458824:CJU458826 CTQ458824:CTQ458826 DDM458824:DDM458826 DNI458824:DNI458826 DXE458824:DXE458826 EHA458824:EHA458826 EQW458824:EQW458826 FAS458824:FAS458826 FKO458824:FKO458826 FUK458824:FUK458826 GEG458824:GEG458826 GOC458824:GOC458826 GXY458824:GXY458826 HHU458824:HHU458826 HRQ458824:HRQ458826 IBM458824:IBM458826 ILI458824:ILI458826 IVE458824:IVE458826 JFA458824:JFA458826 JOW458824:JOW458826 JYS458824:JYS458826 KIO458824:KIO458826 KSK458824:KSK458826 LCG458824:LCG458826 LMC458824:LMC458826 LVY458824:LVY458826 MFU458824:MFU458826 MPQ458824:MPQ458826 MZM458824:MZM458826 NJI458824:NJI458826 NTE458824:NTE458826 ODA458824:ODA458826 OMW458824:OMW458826 OWS458824:OWS458826 PGO458824:PGO458826 PQK458824:PQK458826 QAG458824:QAG458826 QKC458824:QKC458826 QTY458824:QTY458826 RDU458824:RDU458826 RNQ458824:RNQ458826 RXM458824:RXM458826 SHI458824:SHI458826 SRE458824:SRE458826 TBA458824:TBA458826 TKW458824:TKW458826 TUS458824:TUS458826 UEO458824:UEO458826 UOK458824:UOK458826 UYG458824:UYG458826 VIC458824:VIC458826 VRY458824:VRY458826 WBU458824:WBU458826 WLQ458824:WLQ458826 WVM458824:WVM458826 E524360:E524362 JA524360:JA524362 SW524360:SW524362 ACS524360:ACS524362 AMO524360:AMO524362 AWK524360:AWK524362 BGG524360:BGG524362 BQC524360:BQC524362 BZY524360:BZY524362 CJU524360:CJU524362 CTQ524360:CTQ524362 DDM524360:DDM524362 DNI524360:DNI524362 DXE524360:DXE524362 EHA524360:EHA524362 EQW524360:EQW524362 FAS524360:FAS524362 FKO524360:FKO524362 FUK524360:FUK524362 GEG524360:GEG524362 GOC524360:GOC524362 GXY524360:GXY524362 HHU524360:HHU524362 HRQ524360:HRQ524362 IBM524360:IBM524362 ILI524360:ILI524362 IVE524360:IVE524362 JFA524360:JFA524362 JOW524360:JOW524362 JYS524360:JYS524362 KIO524360:KIO524362 KSK524360:KSK524362 LCG524360:LCG524362 LMC524360:LMC524362 LVY524360:LVY524362 MFU524360:MFU524362 MPQ524360:MPQ524362 MZM524360:MZM524362 NJI524360:NJI524362 NTE524360:NTE524362 ODA524360:ODA524362 OMW524360:OMW524362 OWS524360:OWS524362 PGO524360:PGO524362 PQK524360:PQK524362 QAG524360:QAG524362 QKC524360:QKC524362 QTY524360:QTY524362 RDU524360:RDU524362 RNQ524360:RNQ524362 RXM524360:RXM524362 SHI524360:SHI524362 SRE524360:SRE524362 TBA524360:TBA524362 TKW524360:TKW524362 TUS524360:TUS524362 UEO524360:UEO524362 UOK524360:UOK524362 UYG524360:UYG524362 VIC524360:VIC524362 VRY524360:VRY524362 WBU524360:WBU524362 WLQ524360:WLQ524362 WVM524360:WVM524362 E589896:E589898 JA589896:JA589898 SW589896:SW589898 ACS589896:ACS589898 AMO589896:AMO589898 AWK589896:AWK589898 BGG589896:BGG589898 BQC589896:BQC589898 BZY589896:BZY589898 CJU589896:CJU589898 CTQ589896:CTQ589898 DDM589896:DDM589898 DNI589896:DNI589898 DXE589896:DXE589898 EHA589896:EHA589898 EQW589896:EQW589898 FAS589896:FAS589898 FKO589896:FKO589898 FUK589896:FUK589898 GEG589896:GEG589898 GOC589896:GOC589898 GXY589896:GXY589898 HHU589896:HHU589898 HRQ589896:HRQ589898 IBM589896:IBM589898 ILI589896:ILI589898 IVE589896:IVE589898 JFA589896:JFA589898 JOW589896:JOW589898 JYS589896:JYS589898 KIO589896:KIO589898 KSK589896:KSK589898 LCG589896:LCG589898 LMC589896:LMC589898 LVY589896:LVY589898 MFU589896:MFU589898 MPQ589896:MPQ589898 MZM589896:MZM589898 NJI589896:NJI589898 NTE589896:NTE589898 ODA589896:ODA589898 OMW589896:OMW589898 OWS589896:OWS589898 PGO589896:PGO589898 PQK589896:PQK589898 QAG589896:QAG589898 QKC589896:QKC589898 QTY589896:QTY589898 RDU589896:RDU589898 RNQ589896:RNQ589898 RXM589896:RXM589898 SHI589896:SHI589898 SRE589896:SRE589898 TBA589896:TBA589898 TKW589896:TKW589898 TUS589896:TUS589898 UEO589896:UEO589898 UOK589896:UOK589898 UYG589896:UYG589898 VIC589896:VIC589898 VRY589896:VRY589898 WBU589896:WBU589898 WLQ589896:WLQ589898 WVM589896:WVM589898 E655432:E655434 JA655432:JA655434 SW655432:SW655434 ACS655432:ACS655434 AMO655432:AMO655434 AWK655432:AWK655434 BGG655432:BGG655434 BQC655432:BQC655434 BZY655432:BZY655434 CJU655432:CJU655434 CTQ655432:CTQ655434 DDM655432:DDM655434 DNI655432:DNI655434 DXE655432:DXE655434 EHA655432:EHA655434 EQW655432:EQW655434 FAS655432:FAS655434 FKO655432:FKO655434 FUK655432:FUK655434 GEG655432:GEG655434 GOC655432:GOC655434 GXY655432:GXY655434 HHU655432:HHU655434 HRQ655432:HRQ655434 IBM655432:IBM655434 ILI655432:ILI655434 IVE655432:IVE655434 JFA655432:JFA655434 JOW655432:JOW655434 JYS655432:JYS655434 KIO655432:KIO655434 KSK655432:KSK655434 LCG655432:LCG655434 LMC655432:LMC655434 LVY655432:LVY655434 MFU655432:MFU655434 MPQ655432:MPQ655434 MZM655432:MZM655434 NJI655432:NJI655434 NTE655432:NTE655434 ODA655432:ODA655434 OMW655432:OMW655434 OWS655432:OWS655434 PGO655432:PGO655434 PQK655432:PQK655434 QAG655432:QAG655434 QKC655432:QKC655434 QTY655432:QTY655434 RDU655432:RDU655434 RNQ655432:RNQ655434 RXM655432:RXM655434 SHI655432:SHI655434 SRE655432:SRE655434 TBA655432:TBA655434 TKW655432:TKW655434 TUS655432:TUS655434 UEO655432:UEO655434 UOK655432:UOK655434 UYG655432:UYG655434 VIC655432:VIC655434 VRY655432:VRY655434 WBU655432:WBU655434 WLQ655432:WLQ655434 WVM655432:WVM655434 E720968:E720970 JA720968:JA720970 SW720968:SW720970 ACS720968:ACS720970 AMO720968:AMO720970 AWK720968:AWK720970 BGG720968:BGG720970 BQC720968:BQC720970 BZY720968:BZY720970 CJU720968:CJU720970 CTQ720968:CTQ720970 DDM720968:DDM720970 DNI720968:DNI720970 DXE720968:DXE720970 EHA720968:EHA720970 EQW720968:EQW720970 FAS720968:FAS720970 FKO720968:FKO720970 FUK720968:FUK720970 GEG720968:GEG720970 GOC720968:GOC720970 GXY720968:GXY720970 HHU720968:HHU720970 HRQ720968:HRQ720970 IBM720968:IBM720970 ILI720968:ILI720970 IVE720968:IVE720970 JFA720968:JFA720970 JOW720968:JOW720970 JYS720968:JYS720970 KIO720968:KIO720970 KSK720968:KSK720970 LCG720968:LCG720970 LMC720968:LMC720970 LVY720968:LVY720970 MFU720968:MFU720970 MPQ720968:MPQ720970 MZM720968:MZM720970 NJI720968:NJI720970 NTE720968:NTE720970 ODA720968:ODA720970 OMW720968:OMW720970 OWS720968:OWS720970 PGO720968:PGO720970 PQK720968:PQK720970 QAG720968:QAG720970 QKC720968:QKC720970 QTY720968:QTY720970 RDU720968:RDU720970 RNQ720968:RNQ720970 RXM720968:RXM720970 SHI720968:SHI720970 SRE720968:SRE720970 TBA720968:TBA720970 TKW720968:TKW720970 TUS720968:TUS720970 UEO720968:UEO720970 UOK720968:UOK720970 UYG720968:UYG720970 VIC720968:VIC720970 VRY720968:VRY720970 WBU720968:WBU720970 WLQ720968:WLQ720970 WVM720968:WVM720970 E786504:E786506 JA786504:JA786506 SW786504:SW786506 ACS786504:ACS786506 AMO786504:AMO786506 AWK786504:AWK786506 BGG786504:BGG786506 BQC786504:BQC786506 BZY786504:BZY786506 CJU786504:CJU786506 CTQ786504:CTQ786506 DDM786504:DDM786506 DNI786504:DNI786506 DXE786504:DXE786506 EHA786504:EHA786506 EQW786504:EQW786506 FAS786504:FAS786506 FKO786504:FKO786506 FUK786504:FUK786506 GEG786504:GEG786506 GOC786504:GOC786506 GXY786504:GXY786506 HHU786504:HHU786506 HRQ786504:HRQ786506 IBM786504:IBM786506 ILI786504:ILI786506 IVE786504:IVE786506 JFA786504:JFA786506 JOW786504:JOW786506 JYS786504:JYS786506 KIO786504:KIO786506 KSK786504:KSK786506 LCG786504:LCG786506 LMC786504:LMC786506 LVY786504:LVY786506 MFU786504:MFU786506 MPQ786504:MPQ786506 MZM786504:MZM786506 NJI786504:NJI786506 NTE786504:NTE786506 ODA786504:ODA786506 OMW786504:OMW786506 OWS786504:OWS786506 PGO786504:PGO786506 PQK786504:PQK786506 QAG786504:QAG786506 QKC786504:QKC786506 QTY786504:QTY786506 RDU786504:RDU786506 RNQ786504:RNQ786506 RXM786504:RXM786506 SHI786504:SHI786506 SRE786504:SRE786506 TBA786504:TBA786506 TKW786504:TKW786506 TUS786504:TUS786506 UEO786504:UEO786506 UOK786504:UOK786506 UYG786504:UYG786506 VIC786504:VIC786506 VRY786504:VRY786506 WBU786504:WBU786506 WLQ786504:WLQ786506 WVM786504:WVM786506 E852040:E852042 JA852040:JA852042 SW852040:SW852042 ACS852040:ACS852042 AMO852040:AMO852042 AWK852040:AWK852042 BGG852040:BGG852042 BQC852040:BQC852042 BZY852040:BZY852042 CJU852040:CJU852042 CTQ852040:CTQ852042 DDM852040:DDM852042 DNI852040:DNI852042 DXE852040:DXE852042 EHA852040:EHA852042 EQW852040:EQW852042 FAS852040:FAS852042 FKO852040:FKO852042 FUK852040:FUK852042 GEG852040:GEG852042 GOC852040:GOC852042 GXY852040:GXY852042 HHU852040:HHU852042 HRQ852040:HRQ852042 IBM852040:IBM852042 ILI852040:ILI852042 IVE852040:IVE852042 JFA852040:JFA852042 JOW852040:JOW852042 JYS852040:JYS852042 KIO852040:KIO852042 KSK852040:KSK852042 LCG852040:LCG852042 LMC852040:LMC852042 LVY852040:LVY852042 MFU852040:MFU852042 MPQ852040:MPQ852042 MZM852040:MZM852042 NJI852040:NJI852042 NTE852040:NTE852042 ODA852040:ODA852042 OMW852040:OMW852042 OWS852040:OWS852042 PGO852040:PGO852042 PQK852040:PQK852042 QAG852040:QAG852042 QKC852040:QKC852042 QTY852040:QTY852042 RDU852040:RDU852042 RNQ852040:RNQ852042 RXM852040:RXM852042 SHI852040:SHI852042 SRE852040:SRE852042 TBA852040:TBA852042 TKW852040:TKW852042 TUS852040:TUS852042 UEO852040:UEO852042 UOK852040:UOK852042 UYG852040:UYG852042 VIC852040:VIC852042 VRY852040:VRY852042 WBU852040:WBU852042 WLQ852040:WLQ852042 WVM852040:WVM852042 E917576:E917578 JA917576:JA917578 SW917576:SW917578 ACS917576:ACS917578 AMO917576:AMO917578 AWK917576:AWK917578 BGG917576:BGG917578 BQC917576:BQC917578 BZY917576:BZY917578 CJU917576:CJU917578 CTQ917576:CTQ917578 DDM917576:DDM917578 DNI917576:DNI917578 DXE917576:DXE917578 EHA917576:EHA917578 EQW917576:EQW917578 FAS917576:FAS917578 FKO917576:FKO917578 FUK917576:FUK917578 GEG917576:GEG917578 GOC917576:GOC917578 GXY917576:GXY917578 HHU917576:HHU917578 HRQ917576:HRQ917578 IBM917576:IBM917578 ILI917576:ILI917578 IVE917576:IVE917578 JFA917576:JFA917578 JOW917576:JOW917578 JYS917576:JYS917578 KIO917576:KIO917578 KSK917576:KSK917578 LCG917576:LCG917578 LMC917576:LMC917578 LVY917576:LVY917578 MFU917576:MFU917578 MPQ917576:MPQ917578 MZM917576:MZM917578 NJI917576:NJI917578 NTE917576:NTE917578 ODA917576:ODA917578 OMW917576:OMW917578 OWS917576:OWS917578 PGO917576:PGO917578 PQK917576:PQK917578 QAG917576:QAG917578 QKC917576:QKC917578 QTY917576:QTY917578 RDU917576:RDU917578 RNQ917576:RNQ917578 RXM917576:RXM917578 SHI917576:SHI917578 SRE917576:SRE917578 TBA917576:TBA917578 TKW917576:TKW917578 TUS917576:TUS917578 UEO917576:UEO917578 UOK917576:UOK917578 UYG917576:UYG917578 VIC917576:VIC917578 VRY917576:VRY917578 WBU917576:WBU917578 WLQ917576:WLQ917578 WVM917576:WVM917578 E983112:E983114 JA983112:JA983114 SW983112:SW983114 ACS983112:ACS983114 AMO983112:AMO983114 AWK983112:AWK983114 BGG983112:BGG983114 BQC983112:BQC983114 BZY983112:BZY983114 CJU983112:CJU983114 CTQ983112:CTQ983114 DDM983112:DDM983114 DNI983112:DNI983114 DXE983112:DXE983114 EHA983112:EHA983114 EQW983112:EQW983114 FAS983112:FAS983114 FKO983112:FKO983114 FUK983112:FUK983114 GEG983112:GEG983114 GOC983112:GOC983114 GXY983112:GXY983114 HHU983112:HHU983114 HRQ983112:HRQ983114 IBM983112:IBM983114 ILI983112:ILI983114 IVE983112:IVE983114 JFA983112:JFA983114 JOW983112:JOW983114 JYS983112:JYS983114 KIO983112:KIO983114 KSK983112:KSK983114 LCG983112:LCG983114 LMC983112:LMC983114 LVY983112:LVY983114 MFU983112:MFU983114 MPQ983112:MPQ983114 MZM983112:MZM983114 NJI983112:NJI983114 NTE983112:NTE983114 ODA983112:ODA983114 OMW983112:OMW983114 OWS983112:OWS983114 PGO983112:PGO983114 PQK983112:PQK983114 QAG983112:QAG983114 QKC983112:QKC983114 QTY983112:QTY983114 RDU983112:RDU983114 RNQ983112:RNQ983114 RXM983112:RXM983114 SHI983112:SHI983114 SRE983112:SRE983114 TBA983112:TBA983114 TKW983112:TKW983114 TUS983112:TUS983114 UEO983112:UEO983114 UOK983112:UOK983114 UYG983112:UYG983114 VIC983112:VIC983114 VRY983112:VRY983114 WBU983112:WBU983114 WLQ983112:WLQ983114 WVM983112:WVM983114 E62:E65 JA62:JA65 SW62:SW65 ACS62:ACS65 AMO62:AMO65 AWK62:AWK65 BGG62:BGG65 BQC62:BQC65 BZY62:BZY65 CJU62:CJU65 CTQ62:CTQ65 DDM62:DDM65 DNI62:DNI65 DXE62:DXE65 EHA62:EHA65 EQW62:EQW65 FAS62:FAS65 FKO62:FKO65 FUK62:FUK65 GEG62:GEG65 GOC62:GOC65 GXY62:GXY65 HHU62:HHU65 HRQ62:HRQ65 IBM62:IBM65 ILI62:ILI65 IVE62:IVE65 JFA62:JFA65 JOW62:JOW65 JYS62:JYS65 KIO62:KIO65 KSK62:KSK65 LCG62:LCG65 LMC62:LMC65 LVY62:LVY65 MFU62:MFU65 MPQ62:MPQ65 MZM62:MZM65 NJI62:NJI65 NTE62:NTE65 ODA62:ODA65 OMW62:OMW65 OWS62:OWS65 PGO62:PGO65 PQK62:PQK65 QAG62:QAG65 QKC62:QKC65 QTY62:QTY65 RDU62:RDU65 RNQ62:RNQ65 RXM62:RXM65 SHI62:SHI65 SRE62:SRE65 TBA62:TBA65 TKW62:TKW65 TUS62:TUS65 UEO62:UEO65 UOK62:UOK65 UYG62:UYG65 VIC62:VIC65 VRY62:VRY65 WBU62:WBU65 WLQ62:WLQ65 WVM62:WVM65 E65598:E65601 JA65598:JA65601 SW65598:SW65601 ACS65598:ACS65601 AMO65598:AMO65601 AWK65598:AWK65601 BGG65598:BGG65601 BQC65598:BQC65601 BZY65598:BZY65601 CJU65598:CJU65601 CTQ65598:CTQ65601 DDM65598:DDM65601 DNI65598:DNI65601 DXE65598:DXE65601 EHA65598:EHA65601 EQW65598:EQW65601 FAS65598:FAS65601 FKO65598:FKO65601 FUK65598:FUK65601 GEG65598:GEG65601 GOC65598:GOC65601 GXY65598:GXY65601 HHU65598:HHU65601 HRQ65598:HRQ65601 IBM65598:IBM65601 ILI65598:ILI65601 IVE65598:IVE65601 JFA65598:JFA65601 JOW65598:JOW65601 JYS65598:JYS65601 KIO65598:KIO65601 KSK65598:KSK65601 LCG65598:LCG65601 LMC65598:LMC65601 LVY65598:LVY65601 MFU65598:MFU65601 MPQ65598:MPQ65601 MZM65598:MZM65601 NJI65598:NJI65601 NTE65598:NTE65601 ODA65598:ODA65601 OMW65598:OMW65601 OWS65598:OWS65601 PGO65598:PGO65601 PQK65598:PQK65601 QAG65598:QAG65601 QKC65598:QKC65601 QTY65598:QTY65601 RDU65598:RDU65601 RNQ65598:RNQ65601 RXM65598:RXM65601 SHI65598:SHI65601 SRE65598:SRE65601 TBA65598:TBA65601 TKW65598:TKW65601 TUS65598:TUS65601 UEO65598:UEO65601 UOK65598:UOK65601 UYG65598:UYG65601 VIC65598:VIC65601 VRY65598:VRY65601 WBU65598:WBU65601 WLQ65598:WLQ65601 WVM65598:WVM65601 E131134:E131137 JA131134:JA131137 SW131134:SW131137 ACS131134:ACS131137 AMO131134:AMO131137 AWK131134:AWK131137 BGG131134:BGG131137 BQC131134:BQC131137 BZY131134:BZY131137 CJU131134:CJU131137 CTQ131134:CTQ131137 DDM131134:DDM131137 DNI131134:DNI131137 DXE131134:DXE131137 EHA131134:EHA131137 EQW131134:EQW131137 FAS131134:FAS131137 FKO131134:FKO131137 FUK131134:FUK131137 GEG131134:GEG131137 GOC131134:GOC131137 GXY131134:GXY131137 HHU131134:HHU131137 HRQ131134:HRQ131137 IBM131134:IBM131137 ILI131134:ILI131137 IVE131134:IVE131137 JFA131134:JFA131137 JOW131134:JOW131137 JYS131134:JYS131137 KIO131134:KIO131137 KSK131134:KSK131137 LCG131134:LCG131137 LMC131134:LMC131137 LVY131134:LVY131137 MFU131134:MFU131137 MPQ131134:MPQ131137 MZM131134:MZM131137 NJI131134:NJI131137 NTE131134:NTE131137 ODA131134:ODA131137 OMW131134:OMW131137 OWS131134:OWS131137 PGO131134:PGO131137 PQK131134:PQK131137 QAG131134:QAG131137 QKC131134:QKC131137 QTY131134:QTY131137 RDU131134:RDU131137 RNQ131134:RNQ131137 RXM131134:RXM131137 SHI131134:SHI131137 SRE131134:SRE131137 TBA131134:TBA131137 TKW131134:TKW131137 TUS131134:TUS131137 UEO131134:UEO131137 UOK131134:UOK131137 UYG131134:UYG131137 VIC131134:VIC131137 VRY131134:VRY131137 WBU131134:WBU131137 WLQ131134:WLQ131137 WVM131134:WVM131137 E196670:E196673 JA196670:JA196673 SW196670:SW196673 ACS196670:ACS196673 AMO196670:AMO196673 AWK196670:AWK196673 BGG196670:BGG196673 BQC196670:BQC196673 BZY196670:BZY196673 CJU196670:CJU196673 CTQ196670:CTQ196673 DDM196670:DDM196673 DNI196670:DNI196673 DXE196670:DXE196673 EHA196670:EHA196673 EQW196670:EQW196673 FAS196670:FAS196673 FKO196670:FKO196673 FUK196670:FUK196673 GEG196670:GEG196673 GOC196670:GOC196673 GXY196670:GXY196673 HHU196670:HHU196673 HRQ196670:HRQ196673 IBM196670:IBM196673 ILI196670:ILI196673 IVE196670:IVE196673 JFA196670:JFA196673 JOW196670:JOW196673 JYS196670:JYS196673 KIO196670:KIO196673 KSK196670:KSK196673 LCG196670:LCG196673 LMC196670:LMC196673 LVY196670:LVY196673 MFU196670:MFU196673 MPQ196670:MPQ196673 MZM196670:MZM196673 NJI196670:NJI196673 NTE196670:NTE196673 ODA196670:ODA196673 OMW196670:OMW196673 OWS196670:OWS196673 PGO196670:PGO196673 PQK196670:PQK196673 QAG196670:QAG196673 QKC196670:QKC196673 QTY196670:QTY196673 RDU196670:RDU196673 RNQ196670:RNQ196673 RXM196670:RXM196673 SHI196670:SHI196673 SRE196670:SRE196673 TBA196670:TBA196673 TKW196670:TKW196673 TUS196670:TUS196673 UEO196670:UEO196673 UOK196670:UOK196673 UYG196670:UYG196673 VIC196670:VIC196673 VRY196670:VRY196673 WBU196670:WBU196673 WLQ196670:WLQ196673 WVM196670:WVM196673 E262206:E262209 JA262206:JA262209 SW262206:SW262209 ACS262206:ACS262209 AMO262206:AMO262209 AWK262206:AWK262209 BGG262206:BGG262209 BQC262206:BQC262209 BZY262206:BZY262209 CJU262206:CJU262209 CTQ262206:CTQ262209 DDM262206:DDM262209 DNI262206:DNI262209 DXE262206:DXE262209 EHA262206:EHA262209 EQW262206:EQW262209 FAS262206:FAS262209 FKO262206:FKO262209 FUK262206:FUK262209 GEG262206:GEG262209 GOC262206:GOC262209 GXY262206:GXY262209 HHU262206:HHU262209 HRQ262206:HRQ262209 IBM262206:IBM262209 ILI262206:ILI262209 IVE262206:IVE262209 JFA262206:JFA262209 JOW262206:JOW262209 JYS262206:JYS262209 KIO262206:KIO262209 KSK262206:KSK262209 LCG262206:LCG262209 LMC262206:LMC262209 LVY262206:LVY262209 MFU262206:MFU262209 MPQ262206:MPQ262209 MZM262206:MZM262209 NJI262206:NJI262209 NTE262206:NTE262209 ODA262206:ODA262209 OMW262206:OMW262209 OWS262206:OWS262209 PGO262206:PGO262209 PQK262206:PQK262209 QAG262206:QAG262209 QKC262206:QKC262209 QTY262206:QTY262209 RDU262206:RDU262209 RNQ262206:RNQ262209 RXM262206:RXM262209 SHI262206:SHI262209 SRE262206:SRE262209 TBA262206:TBA262209 TKW262206:TKW262209 TUS262206:TUS262209 UEO262206:UEO262209 UOK262206:UOK262209 UYG262206:UYG262209 VIC262206:VIC262209 VRY262206:VRY262209 WBU262206:WBU262209 WLQ262206:WLQ262209 WVM262206:WVM262209 E327742:E327745 JA327742:JA327745 SW327742:SW327745 ACS327742:ACS327745 AMO327742:AMO327745 AWK327742:AWK327745 BGG327742:BGG327745 BQC327742:BQC327745 BZY327742:BZY327745 CJU327742:CJU327745 CTQ327742:CTQ327745 DDM327742:DDM327745 DNI327742:DNI327745 DXE327742:DXE327745 EHA327742:EHA327745 EQW327742:EQW327745 FAS327742:FAS327745 FKO327742:FKO327745 FUK327742:FUK327745 GEG327742:GEG327745 GOC327742:GOC327745 GXY327742:GXY327745 HHU327742:HHU327745 HRQ327742:HRQ327745 IBM327742:IBM327745 ILI327742:ILI327745 IVE327742:IVE327745 JFA327742:JFA327745 JOW327742:JOW327745 JYS327742:JYS327745 KIO327742:KIO327745 KSK327742:KSK327745 LCG327742:LCG327745 LMC327742:LMC327745 LVY327742:LVY327745 MFU327742:MFU327745 MPQ327742:MPQ327745 MZM327742:MZM327745 NJI327742:NJI327745 NTE327742:NTE327745 ODA327742:ODA327745 OMW327742:OMW327745 OWS327742:OWS327745 PGO327742:PGO327745 PQK327742:PQK327745 QAG327742:QAG327745 QKC327742:QKC327745 QTY327742:QTY327745 RDU327742:RDU327745 RNQ327742:RNQ327745 RXM327742:RXM327745 SHI327742:SHI327745 SRE327742:SRE327745 TBA327742:TBA327745 TKW327742:TKW327745 TUS327742:TUS327745 UEO327742:UEO327745 UOK327742:UOK327745 UYG327742:UYG327745 VIC327742:VIC327745 VRY327742:VRY327745 WBU327742:WBU327745 WLQ327742:WLQ327745 WVM327742:WVM327745 E393278:E393281 JA393278:JA393281 SW393278:SW393281 ACS393278:ACS393281 AMO393278:AMO393281 AWK393278:AWK393281 BGG393278:BGG393281 BQC393278:BQC393281 BZY393278:BZY393281 CJU393278:CJU393281 CTQ393278:CTQ393281 DDM393278:DDM393281 DNI393278:DNI393281 DXE393278:DXE393281 EHA393278:EHA393281 EQW393278:EQW393281 FAS393278:FAS393281 FKO393278:FKO393281 FUK393278:FUK393281 GEG393278:GEG393281 GOC393278:GOC393281 GXY393278:GXY393281 HHU393278:HHU393281 HRQ393278:HRQ393281 IBM393278:IBM393281 ILI393278:ILI393281 IVE393278:IVE393281 JFA393278:JFA393281 JOW393278:JOW393281 JYS393278:JYS393281 KIO393278:KIO393281 KSK393278:KSK393281 LCG393278:LCG393281 LMC393278:LMC393281 LVY393278:LVY393281 MFU393278:MFU393281 MPQ393278:MPQ393281 MZM393278:MZM393281 NJI393278:NJI393281 NTE393278:NTE393281 ODA393278:ODA393281 OMW393278:OMW393281 OWS393278:OWS393281 PGO393278:PGO393281 PQK393278:PQK393281 QAG393278:QAG393281 QKC393278:QKC393281 QTY393278:QTY393281 RDU393278:RDU393281 RNQ393278:RNQ393281 RXM393278:RXM393281 SHI393278:SHI393281 SRE393278:SRE393281 TBA393278:TBA393281 TKW393278:TKW393281 TUS393278:TUS393281 UEO393278:UEO393281 UOK393278:UOK393281 UYG393278:UYG393281 VIC393278:VIC393281 VRY393278:VRY393281 WBU393278:WBU393281 WLQ393278:WLQ393281 WVM393278:WVM393281 E458814:E458817 JA458814:JA458817 SW458814:SW458817 ACS458814:ACS458817 AMO458814:AMO458817 AWK458814:AWK458817 BGG458814:BGG458817 BQC458814:BQC458817 BZY458814:BZY458817 CJU458814:CJU458817 CTQ458814:CTQ458817 DDM458814:DDM458817 DNI458814:DNI458817 DXE458814:DXE458817 EHA458814:EHA458817 EQW458814:EQW458817 FAS458814:FAS458817 FKO458814:FKO458817 FUK458814:FUK458817 GEG458814:GEG458817 GOC458814:GOC458817 GXY458814:GXY458817 HHU458814:HHU458817 HRQ458814:HRQ458817 IBM458814:IBM458817 ILI458814:ILI458817 IVE458814:IVE458817 JFA458814:JFA458817 JOW458814:JOW458817 JYS458814:JYS458817 KIO458814:KIO458817 KSK458814:KSK458817 LCG458814:LCG458817 LMC458814:LMC458817 LVY458814:LVY458817 MFU458814:MFU458817 MPQ458814:MPQ458817 MZM458814:MZM458817 NJI458814:NJI458817 NTE458814:NTE458817 ODA458814:ODA458817 OMW458814:OMW458817 OWS458814:OWS458817 PGO458814:PGO458817 PQK458814:PQK458817 QAG458814:QAG458817 QKC458814:QKC458817 QTY458814:QTY458817 RDU458814:RDU458817 RNQ458814:RNQ458817 RXM458814:RXM458817 SHI458814:SHI458817 SRE458814:SRE458817 TBA458814:TBA458817 TKW458814:TKW458817 TUS458814:TUS458817 UEO458814:UEO458817 UOK458814:UOK458817 UYG458814:UYG458817 VIC458814:VIC458817 VRY458814:VRY458817 WBU458814:WBU458817 WLQ458814:WLQ458817 WVM458814:WVM458817 E524350:E524353 JA524350:JA524353 SW524350:SW524353 ACS524350:ACS524353 AMO524350:AMO524353 AWK524350:AWK524353 BGG524350:BGG524353 BQC524350:BQC524353 BZY524350:BZY524353 CJU524350:CJU524353 CTQ524350:CTQ524353 DDM524350:DDM524353 DNI524350:DNI524353 DXE524350:DXE524353 EHA524350:EHA524353 EQW524350:EQW524353 FAS524350:FAS524353 FKO524350:FKO524353 FUK524350:FUK524353 GEG524350:GEG524353 GOC524350:GOC524353 GXY524350:GXY524353 HHU524350:HHU524353 HRQ524350:HRQ524353 IBM524350:IBM524353 ILI524350:ILI524353 IVE524350:IVE524353 JFA524350:JFA524353 JOW524350:JOW524353 JYS524350:JYS524353 KIO524350:KIO524353 KSK524350:KSK524353 LCG524350:LCG524353 LMC524350:LMC524353 LVY524350:LVY524353 MFU524350:MFU524353 MPQ524350:MPQ524353 MZM524350:MZM524353 NJI524350:NJI524353 NTE524350:NTE524353 ODA524350:ODA524353 OMW524350:OMW524353 OWS524350:OWS524353 PGO524350:PGO524353 PQK524350:PQK524353 QAG524350:QAG524353 QKC524350:QKC524353 QTY524350:QTY524353 RDU524350:RDU524353 RNQ524350:RNQ524353 RXM524350:RXM524353 SHI524350:SHI524353 SRE524350:SRE524353 TBA524350:TBA524353 TKW524350:TKW524353 TUS524350:TUS524353 UEO524350:UEO524353 UOK524350:UOK524353 UYG524350:UYG524353 VIC524350:VIC524353 VRY524350:VRY524353 WBU524350:WBU524353 WLQ524350:WLQ524353 WVM524350:WVM524353 E589886:E589889 JA589886:JA589889 SW589886:SW589889 ACS589886:ACS589889 AMO589886:AMO589889 AWK589886:AWK589889 BGG589886:BGG589889 BQC589886:BQC589889 BZY589886:BZY589889 CJU589886:CJU589889 CTQ589886:CTQ589889 DDM589886:DDM589889 DNI589886:DNI589889 DXE589886:DXE589889 EHA589886:EHA589889 EQW589886:EQW589889 FAS589886:FAS589889 FKO589886:FKO589889 FUK589886:FUK589889 GEG589886:GEG589889 GOC589886:GOC589889 GXY589886:GXY589889 HHU589886:HHU589889 HRQ589886:HRQ589889 IBM589886:IBM589889 ILI589886:ILI589889 IVE589886:IVE589889 JFA589886:JFA589889 JOW589886:JOW589889 JYS589886:JYS589889 KIO589886:KIO589889 KSK589886:KSK589889 LCG589886:LCG589889 LMC589886:LMC589889 LVY589886:LVY589889 MFU589886:MFU589889 MPQ589886:MPQ589889 MZM589886:MZM589889 NJI589886:NJI589889 NTE589886:NTE589889 ODA589886:ODA589889 OMW589886:OMW589889 OWS589886:OWS589889 PGO589886:PGO589889 PQK589886:PQK589889 QAG589886:QAG589889 QKC589886:QKC589889 QTY589886:QTY589889 RDU589886:RDU589889 RNQ589886:RNQ589889 RXM589886:RXM589889 SHI589886:SHI589889 SRE589886:SRE589889 TBA589886:TBA589889 TKW589886:TKW589889 TUS589886:TUS589889 UEO589886:UEO589889 UOK589886:UOK589889 UYG589886:UYG589889 VIC589886:VIC589889 VRY589886:VRY589889 WBU589886:WBU589889 WLQ589886:WLQ589889 WVM589886:WVM589889 E655422:E655425 JA655422:JA655425 SW655422:SW655425 ACS655422:ACS655425 AMO655422:AMO655425 AWK655422:AWK655425 BGG655422:BGG655425 BQC655422:BQC655425 BZY655422:BZY655425 CJU655422:CJU655425 CTQ655422:CTQ655425 DDM655422:DDM655425 DNI655422:DNI655425 DXE655422:DXE655425 EHA655422:EHA655425 EQW655422:EQW655425 FAS655422:FAS655425 FKO655422:FKO655425 FUK655422:FUK655425 GEG655422:GEG655425 GOC655422:GOC655425 GXY655422:GXY655425 HHU655422:HHU655425 HRQ655422:HRQ655425 IBM655422:IBM655425 ILI655422:ILI655425 IVE655422:IVE655425 JFA655422:JFA655425 JOW655422:JOW655425 JYS655422:JYS655425 KIO655422:KIO655425 KSK655422:KSK655425 LCG655422:LCG655425 LMC655422:LMC655425 LVY655422:LVY655425 MFU655422:MFU655425 MPQ655422:MPQ655425 MZM655422:MZM655425 NJI655422:NJI655425 NTE655422:NTE655425 ODA655422:ODA655425 OMW655422:OMW655425 OWS655422:OWS655425 PGO655422:PGO655425 PQK655422:PQK655425 QAG655422:QAG655425 QKC655422:QKC655425 QTY655422:QTY655425 RDU655422:RDU655425 RNQ655422:RNQ655425 RXM655422:RXM655425 SHI655422:SHI655425 SRE655422:SRE655425 TBA655422:TBA655425 TKW655422:TKW655425 TUS655422:TUS655425 UEO655422:UEO655425 UOK655422:UOK655425 UYG655422:UYG655425 VIC655422:VIC655425 VRY655422:VRY655425 WBU655422:WBU655425 WLQ655422:WLQ655425 WVM655422:WVM655425 E720958:E720961 JA720958:JA720961 SW720958:SW720961 ACS720958:ACS720961 AMO720958:AMO720961 AWK720958:AWK720961 BGG720958:BGG720961 BQC720958:BQC720961 BZY720958:BZY720961 CJU720958:CJU720961 CTQ720958:CTQ720961 DDM720958:DDM720961 DNI720958:DNI720961 DXE720958:DXE720961 EHA720958:EHA720961 EQW720958:EQW720961 FAS720958:FAS720961 FKO720958:FKO720961 FUK720958:FUK720961 GEG720958:GEG720961 GOC720958:GOC720961 GXY720958:GXY720961 HHU720958:HHU720961 HRQ720958:HRQ720961 IBM720958:IBM720961 ILI720958:ILI720961 IVE720958:IVE720961 JFA720958:JFA720961 JOW720958:JOW720961 JYS720958:JYS720961 KIO720958:KIO720961 KSK720958:KSK720961 LCG720958:LCG720961 LMC720958:LMC720961 LVY720958:LVY720961 MFU720958:MFU720961 MPQ720958:MPQ720961 MZM720958:MZM720961 NJI720958:NJI720961 NTE720958:NTE720961 ODA720958:ODA720961 OMW720958:OMW720961 OWS720958:OWS720961 PGO720958:PGO720961 PQK720958:PQK720961 QAG720958:QAG720961 QKC720958:QKC720961 QTY720958:QTY720961 RDU720958:RDU720961 RNQ720958:RNQ720961 RXM720958:RXM720961 SHI720958:SHI720961 SRE720958:SRE720961 TBA720958:TBA720961 TKW720958:TKW720961 TUS720958:TUS720961 UEO720958:UEO720961 UOK720958:UOK720961 UYG720958:UYG720961 VIC720958:VIC720961 VRY720958:VRY720961 WBU720958:WBU720961 WLQ720958:WLQ720961 WVM720958:WVM720961 E786494:E786497 JA786494:JA786497 SW786494:SW786497 ACS786494:ACS786497 AMO786494:AMO786497 AWK786494:AWK786497 BGG786494:BGG786497 BQC786494:BQC786497 BZY786494:BZY786497 CJU786494:CJU786497 CTQ786494:CTQ786497 DDM786494:DDM786497 DNI786494:DNI786497 DXE786494:DXE786497 EHA786494:EHA786497 EQW786494:EQW786497 FAS786494:FAS786497 FKO786494:FKO786497 FUK786494:FUK786497 GEG786494:GEG786497 GOC786494:GOC786497 GXY786494:GXY786497 HHU786494:HHU786497 HRQ786494:HRQ786497 IBM786494:IBM786497 ILI786494:ILI786497 IVE786494:IVE786497 JFA786494:JFA786497 JOW786494:JOW786497 JYS786494:JYS786497 KIO786494:KIO786497 KSK786494:KSK786497 LCG786494:LCG786497 LMC786494:LMC786497 LVY786494:LVY786497 MFU786494:MFU786497 MPQ786494:MPQ786497 MZM786494:MZM786497 NJI786494:NJI786497 NTE786494:NTE786497 ODA786494:ODA786497 OMW786494:OMW786497 OWS786494:OWS786497 PGO786494:PGO786497 PQK786494:PQK786497 QAG786494:QAG786497 QKC786494:QKC786497 QTY786494:QTY786497 RDU786494:RDU786497 RNQ786494:RNQ786497 RXM786494:RXM786497 SHI786494:SHI786497 SRE786494:SRE786497 TBA786494:TBA786497 TKW786494:TKW786497 TUS786494:TUS786497 UEO786494:UEO786497 UOK786494:UOK786497 UYG786494:UYG786497 VIC786494:VIC786497 VRY786494:VRY786497 WBU786494:WBU786497 WLQ786494:WLQ786497 WVM786494:WVM786497 E852030:E852033 JA852030:JA852033 SW852030:SW852033 ACS852030:ACS852033 AMO852030:AMO852033 AWK852030:AWK852033 BGG852030:BGG852033 BQC852030:BQC852033 BZY852030:BZY852033 CJU852030:CJU852033 CTQ852030:CTQ852033 DDM852030:DDM852033 DNI852030:DNI852033 DXE852030:DXE852033 EHA852030:EHA852033 EQW852030:EQW852033 FAS852030:FAS852033 FKO852030:FKO852033 FUK852030:FUK852033 GEG852030:GEG852033 GOC852030:GOC852033 GXY852030:GXY852033 HHU852030:HHU852033 HRQ852030:HRQ852033 IBM852030:IBM852033 ILI852030:ILI852033 IVE852030:IVE852033 JFA852030:JFA852033 JOW852030:JOW852033 JYS852030:JYS852033 KIO852030:KIO852033 KSK852030:KSK852033 LCG852030:LCG852033 LMC852030:LMC852033 LVY852030:LVY852033 MFU852030:MFU852033 MPQ852030:MPQ852033 MZM852030:MZM852033 NJI852030:NJI852033 NTE852030:NTE852033 ODA852030:ODA852033 OMW852030:OMW852033 OWS852030:OWS852033 PGO852030:PGO852033 PQK852030:PQK852033 QAG852030:QAG852033 QKC852030:QKC852033 QTY852030:QTY852033 RDU852030:RDU852033 RNQ852030:RNQ852033 RXM852030:RXM852033 SHI852030:SHI852033 SRE852030:SRE852033 TBA852030:TBA852033 TKW852030:TKW852033 TUS852030:TUS852033 UEO852030:UEO852033 UOK852030:UOK852033 UYG852030:UYG852033 VIC852030:VIC852033 VRY852030:VRY852033 WBU852030:WBU852033 WLQ852030:WLQ852033 WVM852030:WVM852033 E917566:E917569 JA917566:JA917569 SW917566:SW917569 ACS917566:ACS917569 AMO917566:AMO917569 AWK917566:AWK917569 BGG917566:BGG917569 BQC917566:BQC917569 BZY917566:BZY917569 CJU917566:CJU917569 CTQ917566:CTQ917569 DDM917566:DDM917569 DNI917566:DNI917569 DXE917566:DXE917569 EHA917566:EHA917569 EQW917566:EQW917569 FAS917566:FAS917569 FKO917566:FKO917569 FUK917566:FUK917569 GEG917566:GEG917569 GOC917566:GOC917569 GXY917566:GXY917569 HHU917566:HHU917569 HRQ917566:HRQ917569 IBM917566:IBM917569 ILI917566:ILI917569 IVE917566:IVE917569 JFA917566:JFA917569 JOW917566:JOW917569 JYS917566:JYS917569 KIO917566:KIO917569 KSK917566:KSK917569 LCG917566:LCG917569 LMC917566:LMC917569 LVY917566:LVY917569 MFU917566:MFU917569 MPQ917566:MPQ917569 MZM917566:MZM917569 NJI917566:NJI917569 NTE917566:NTE917569 ODA917566:ODA917569 OMW917566:OMW917569 OWS917566:OWS917569 PGO917566:PGO917569 PQK917566:PQK917569 QAG917566:QAG917569 QKC917566:QKC917569 QTY917566:QTY917569 RDU917566:RDU917569 RNQ917566:RNQ917569 RXM917566:RXM917569 SHI917566:SHI917569 SRE917566:SRE917569 TBA917566:TBA917569 TKW917566:TKW917569 TUS917566:TUS917569 UEO917566:UEO917569 UOK917566:UOK917569 UYG917566:UYG917569 VIC917566:VIC917569 VRY917566:VRY917569 WBU917566:WBU917569 WLQ917566:WLQ917569 WVM917566:WVM917569 E983102:E983105 JA983102:JA983105 SW983102:SW983105 ACS983102:ACS983105 AMO983102:AMO983105 AWK983102:AWK983105 BGG983102:BGG983105 BQC983102:BQC983105 BZY983102:BZY983105 CJU983102:CJU983105 CTQ983102:CTQ983105 DDM983102:DDM983105 DNI983102:DNI983105 DXE983102:DXE983105 EHA983102:EHA983105 EQW983102:EQW983105 FAS983102:FAS983105 FKO983102:FKO983105 FUK983102:FUK983105 GEG983102:GEG983105 GOC983102:GOC983105 GXY983102:GXY983105 HHU983102:HHU983105 HRQ983102:HRQ983105 IBM983102:IBM983105 ILI983102:ILI983105 IVE983102:IVE983105 JFA983102:JFA983105 JOW983102:JOW983105 JYS983102:JYS983105 KIO983102:KIO983105 KSK983102:KSK983105 LCG983102:LCG983105 LMC983102:LMC983105 LVY983102:LVY983105 MFU983102:MFU983105 MPQ983102:MPQ983105 MZM983102:MZM983105 NJI983102:NJI983105 NTE983102:NTE983105 ODA983102:ODA983105 OMW983102:OMW983105 OWS983102:OWS983105 PGO983102:PGO983105 PQK983102:PQK983105 QAG983102:QAG983105 QKC983102:QKC983105 QTY983102:QTY983105 RDU983102:RDU983105 RNQ983102:RNQ983105 RXM983102:RXM983105 SHI983102:SHI983105 SRE983102:SRE983105 TBA983102:TBA983105 TKW983102:TKW983105 TUS983102:TUS983105 UEO983102:UEO983105 UOK983102:UOK983105 UYG983102:UYG983105 VIC983102:VIC983105 VRY983102:VRY983105 WBU983102:WBU983105 WLQ983102:WLQ983105 WVM983102:WVM983105 E58:E60 JA58:JA60 SW58:SW60 ACS58:ACS60 AMO58:AMO60 AWK58:AWK60 BGG58:BGG60 BQC58:BQC60 BZY58:BZY60 CJU58:CJU60 CTQ58:CTQ60 DDM58:DDM60 DNI58:DNI60 DXE58:DXE60 EHA58:EHA60 EQW58:EQW60 FAS58:FAS60 FKO58:FKO60 FUK58:FUK60 GEG58:GEG60 GOC58:GOC60 GXY58:GXY60 HHU58:HHU60 HRQ58:HRQ60 IBM58:IBM60 ILI58:ILI60 IVE58:IVE60 JFA58:JFA60 JOW58:JOW60 JYS58:JYS60 KIO58:KIO60 KSK58:KSK60 LCG58:LCG60 LMC58:LMC60 LVY58:LVY60 MFU58:MFU60 MPQ58:MPQ60 MZM58:MZM60 NJI58:NJI60 NTE58:NTE60 ODA58:ODA60 OMW58:OMW60 OWS58:OWS60 PGO58:PGO60 PQK58:PQK60 QAG58:QAG60 QKC58:QKC60 QTY58:QTY60 RDU58:RDU60 RNQ58:RNQ60 RXM58:RXM60 SHI58:SHI60 SRE58:SRE60 TBA58:TBA60 TKW58:TKW60 TUS58:TUS60 UEO58:UEO60 UOK58:UOK60 UYG58:UYG60 VIC58:VIC60 VRY58:VRY60 WBU58:WBU60 WLQ58:WLQ60 WVM58:WVM60 E65594:E65596 JA65594:JA65596 SW65594:SW65596 ACS65594:ACS65596 AMO65594:AMO65596 AWK65594:AWK65596 BGG65594:BGG65596 BQC65594:BQC65596 BZY65594:BZY65596 CJU65594:CJU65596 CTQ65594:CTQ65596 DDM65594:DDM65596 DNI65594:DNI65596 DXE65594:DXE65596 EHA65594:EHA65596 EQW65594:EQW65596 FAS65594:FAS65596 FKO65594:FKO65596 FUK65594:FUK65596 GEG65594:GEG65596 GOC65594:GOC65596 GXY65594:GXY65596 HHU65594:HHU65596 HRQ65594:HRQ65596 IBM65594:IBM65596 ILI65594:ILI65596 IVE65594:IVE65596 JFA65594:JFA65596 JOW65594:JOW65596 JYS65594:JYS65596 KIO65594:KIO65596 KSK65594:KSK65596 LCG65594:LCG65596 LMC65594:LMC65596 LVY65594:LVY65596 MFU65594:MFU65596 MPQ65594:MPQ65596 MZM65594:MZM65596 NJI65594:NJI65596 NTE65594:NTE65596 ODA65594:ODA65596 OMW65594:OMW65596 OWS65594:OWS65596 PGO65594:PGO65596 PQK65594:PQK65596 QAG65594:QAG65596 QKC65594:QKC65596 QTY65594:QTY65596 RDU65594:RDU65596 RNQ65594:RNQ65596 RXM65594:RXM65596 SHI65594:SHI65596 SRE65594:SRE65596 TBA65594:TBA65596 TKW65594:TKW65596 TUS65594:TUS65596 UEO65594:UEO65596 UOK65594:UOK65596 UYG65594:UYG65596 VIC65594:VIC65596 VRY65594:VRY65596 WBU65594:WBU65596 WLQ65594:WLQ65596 WVM65594:WVM65596 E131130:E131132 JA131130:JA131132 SW131130:SW131132 ACS131130:ACS131132 AMO131130:AMO131132 AWK131130:AWK131132 BGG131130:BGG131132 BQC131130:BQC131132 BZY131130:BZY131132 CJU131130:CJU131132 CTQ131130:CTQ131132 DDM131130:DDM131132 DNI131130:DNI131132 DXE131130:DXE131132 EHA131130:EHA131132 EQW131130:EQW131132 FAS131130:FAS131132 FKO131130:FKO131132 FUK131130:FUK131132 GEG131130:GEG131132 GOC131130:GOC131132 GXY131130:GXY131132 HHU131130:HHU131132 HRQ131130:HRQ131132 IBM131130:IBM131132 ILI131130:ILI131132 IVE131130:IVE131132 JFA131130:JFA131132 JOW131130:JOW131132 JYS131130:JYS131132 KIO131130:KIO131132 KSK131130:KSK131132 LCG131130:LCG131132 LMC131130:LMC131132 LVY131130:LVY131132 MFU131130:MFU131132 MPQ131130:MPQ131132 MZM131130:MZM131132 NJI131130:NJI131132 NTE131130:NTE131132 ODA131130:ODA131132 OMW131130:OMW131132 OWS131130:OWS131132 PGO131130:PGO131132 PQK131130:PQK131132 QAG131130:QAG131132 QKC131130:QKC131132 QTY131130:QTY131132 RDU131130:RDU131132 RNQ131130:RNQ131132 RXM131130:RXM131132 SHI131130:SHI131132 SRE131130:SRE131132 TBA131130:TBA131132 TKW131130:TKW131132 TUS131130:TUS131132 UEO131130:UEO131132 UOK131130:UOK131132 UYG131130:UYG131132 VIC131130:VIC131132 VRY131130:VRY131132 WBU131130:WBU131132 WLQ131130:WLQ131132 WVM131130:WVM131132 E196666:E196668 JA196666:JA196668 SW196666:SW196668 ACS196666:ACS196668 AMO196666:AMO196668 AWK196666:AWK196668 BGG196666:BGG196668 BQC196666:BQC196668 BZY196666:BZY196668 CJU196666:CJU196668 CTQ196666:CTQ196668 DDM196666:DDM196668 DNI196666:DNI196668 DXE196666:DXE196668 EHA196666:EHA196668 EQW196666:EQW196668 FAS196666:FAS196668 FKO196666:FKO196668 FUK196666:FUK196668 GEG196666:GEG196668 GOC196666:GOC196668 GXY196666:GXY196668 HHU196666:HHU196668 HRQ196666:HRQ196668 IBM196666:IBM196668 ILI196666:ILI196668 IVE196666:IVE196668 JFA196666:JFA196668 JOW196666:JOW196668 JYS196666:JYS196668 KIO196666:KIO196668 KSK196666:KSK196668 LCG196666:LCG196668 LMC196666:LMC196668 LVY196666:LVY196668 MFU196666:MFU196668 MPQ196666:MPQ196668 MZM196666:MZM196668 NJI196666:NJI196668 NTE196666:NTE196668 ODA196666:ODA196668 OMW196666:OMW196668 OWS196666:OWS196668 PGO196666:PGO196668 PQK196666:PQK196668 QAG196666:QAG196668 QKC196666:QKC196668 QTY196666:QTY196668 RDU196666:RDU196668 RNQ196666:RNQ196668 RXM196666:RXM196668 SHI196666:SHI196668 SRE196666:SRE196668 TBA196666:TBA196668 TKW196666:TKW196668 TUS196666:TUS196668 UEO196666:UEO196668 UOK196666:UOK196668 UYG196666:UYG196668 VIC196666:VIC196668 VRY196666:VRY196668 WBU196666:WBU196668 WLQ196666:WLQ196668 WVM196666:WVM196668 E262202:E262204 JA262202:JA262204 SW262202:SW262204 ACS262202:ACS262204 AMO262202:AMO262204 AWK262202:AWK262204 BGG262202:BGG262204 BQC262202:BQC262204 BZY262202:BZY262204 CJU262202:CJU262204 CTQ262202:CTQ262204 DDM262202:DDM262204 DNI262202:DNI262204 DXE262202:DXE262204 EHA262202:EHA262204 EQW262202:EQW262204 FAS262202:FAS262204 FKO262202:FKO262204 FUK262202:FUK262204 GEG262202:GEG262204 GOC262202:GOC262204 GXY262202:GXY262204 HHU262202:HHU262204 HRQ262202:HRQ262204 IBM262202:IBM262204 ILI262202:ILI262204 IVE262202:IVE262204 JFA262202:JFA262204 JOW262202:JOW262204 JYS262202:JYS262204 KIO262202:KIO262204 KSK262202:KSK262204 LCG262202:LCG262204 LMC262202:LMC262204 LVY262202:LVY262204 MFU262202:MFU262204 MPQ262202:MPQ262204 MZM262202:MZM262204 NJI262202:NJI262204 NTE262202:NTE262204 ODA262202:ODA262204 OMW262202:OMW262204 OWS262202:OWS262204 PGO262202:PGO262204 PQK262202:PQK262204 QAG262202:QAG262204 QKC262202:QKC262204 QTY262202:QTY262204 RDU262202:RDU262204 RNQ262202:RNQ262204 RXM262202:RXM262204 SHI262202:SHI262204 SRE262202:SRE262204 TBA262202:TBA262204 TKW262202:TKW262204 TUS262202:TUS262204 UEO262202:UEO262204 UOK262202:UOK262204 UYG262202:UYG262204 VIC262202:VIC262204 VRY262202:VRY262204 WBU262202:WBU262204 WLQ262202:WLQ262204 WVM262202:WVM262204 E327738:E327740 JA327738:JA327740 SW327738:SW327740 ACS327738:ACS327740 AMO327738:AMO327740 AWK327738:AWK327740 BGG327738:BGG327740 BQC327738:BQC327740 BZY327738:BZY327740 CJU327738:CJU327740 CTQ327738:CTQ327740 DDM327738:DDM327740 DNI327738:DNI327740 DXE327738:DXE327740 EHA327738:EHA327740 EQW327738:EQW327740 FAS327738:FAS327740 FKO327738:FKO327740 FUK327738:FUK327740 GEG327738:GEG327740 GOC327738:GOC327740 GXY327738:GXY327740 HHU327738:HHU327740 HRQ327738:HRQ327740 IBM327738:IBM327740 ILI327738:ILI327740 IVE327738:IVE327740 JFA327738:JFA327740 JOW327738:JOW327740 JYS327738:JYS327740 KIO327738:KIO327740 KSK327738:KSK327740 LCG327738:LCG327740 LMC327738:LMC327740 LVY327738:LVY327740 MFU327738:MFU327740 MPQ327738:MPQ327740 MZM327738:MZM327740 NJI327738:NJI327740 NTE327738:NTE327740 ODA327738:ODA327740 OMW327738:OMW327740 OWS327738:OWS327740 PGO327738:PGO327740 PQK327738:PQK327740 QAG327738:QAG327740 QKC327738:QKC327740 QTY327738:QTY327740 RDU327738:RDU327740 RNQ327738:RNQ327740 RXM327738:RXM327740 SHI327738:SHI327740 SRE327738:SRE327740 TBA327738:TBA327740 TKW327738:TKW327740 TUS327738:TUS327740 UEO327738:UEO327740 UOK327738:UOK327740 UYG327738:UYG327740 VIC327738:VIC327740 VRY327738:VRY327740 WBU327738:WBU327740 WLQ327738:WLQ327740 WVM327738:WVM327740 E393274:E393276 JA393274:JA393276 SW393274:SW393276 ACS393274:ACS393276 AMO393274:AMO393276 AWK393274:AWK393276 BGG393274:BGG393276 BQC393274:BQC393276 BZY393274:BZY393276 CJU393274:CJU393276 CTQ393274:CTQ393276 DDM393274:DDM393276 DNI393274:DNI393276 DXE393274:DXE393276 EHA393274:EHA393276 EQW393274:EQW393276 FAS393274:FAS393276 FKO393274:FKO393276 FUK393274:FUK393276 GEG393274:GEG393276 GOC393274:GOC393276 GXY393274:GXY393276 HHU393274:HHU393276 HRQ393274:HRQ393276 IBM393274:IBM393276 ILI393274:ILI393276 IVE393274:IVE393276 JFA393274:JFA393276 JOW393274:JOW393276 JYS393274:JYS393276 KIO393274:KIO393276 KSK393274:KSK393276 LCG393274:LCG393276 LMC393274:LMC393276 LVY393274:LVY393276 MFU393274:MFU393276 MPQ393274:MPQ393276 MZM393274:MZM393276 NJI393274:NJI393276 NTE393274:NTE393276 ODA393274:ODA393276 OMW393274:OMW393276 OWS393274:OWS393276 PGO393274:PGO393276 PQK393274:PQK393276 QAG393274:QAG393276 QKC393274:QKC393276 QTY393274:QTY393276 RDU393274:RDU393276 RNQ393274:RNQ393276 RXM393274:RXM393276 SHI393274:SHI393276 SRE393274:SRE393276 TBA393274:TBA393276 TKW393274:TKW393276 TUS393274:TUS393276 UEO393274:UEO393276 UOK393274:UOK393276 UYG393274:UYG393276 VIC393274:VIC393276 VRY393274:VRY393276 WBU393274:WBU393276 WLQ393274:WLQ393276 WVM393274:WVM393276 E458810:E458812 JA458810:JA458812 SW458810:SW458812 ACS458810:ACS458812 AMO458810:AMO458812 AWK458810:AWK458812 BGG458810:BGG458812 BQC458810:BQC458812 BZY458810:BZY458812 CJU458810:CJU458812 CTQ458810:CTQ458812 DDM458810:DDM458812 DNI458810:DNI458812 DXE458810:DXE458812 EHA458810:EHA458812 EQW458810:EQW458812 FAS458810:FAS458812 FKO458810:FKO458812 FUK458810:FUK458812 GEG458810:GEG458812 GOC458810:GOC458812 GXY458810:GXY458812 HHU458810:HHU458812 HRQ458810:HRQ458812 IBM458810:IBM458812 ILI458810:ILI458812 IVE458810:IVE458812 JFA458810:JFA458812 JOW458810:JOW458812 JYS458810:JYS458812 KIO458810:KIO458812 KSK458810:KSK458812 LCG458810:LCG458812 LMC458810:LMC458812 LVY458810:LVY458812 MFU458810:MFU458812 MPQ458810:MPQ458812 MZM458810:MZM458812 NJI458810:NJI458812 NTE458810:NTE458812 ODA458810:ODA458812 OMW458810:OMW458812 OWS458810:OWS458812 PGO458810:PGO458812 PQK458810:PQK458812 QAG458810:QAG458812 QKC458810:QKC458812 QTY458810:QTY458812 RDU458810:RDU458812 RNQ458810:RNQ458812 RXM458810:RXM458812 SHI458810:SHI458812 SRE458810:SRE458812 TBA458810:TBA458812 TKW458810:TKW458812 TUS458810:TUS458812 UEO458810:UEO458812 UOK458810:UOK458812 UYG458810:UYG458812 VIC458810:VIC458812 VRY458810:VRY458812 WBU458810:WBU458812 WLQ458810:WLQ458812 WVM458810:WVM458812 E524346:E524348 JA524346:JA524348 SW524346:SW524348 ACS524346:ACS524348 AMO524346:AMO524348 AWK524346:AWK524348 BGG524346:BGG524348 BQC524346:BQC524348 BZY524346:BZY524348 CJU524346:CJU524348 CTQ524346:CTQ524348 DDM524346:DDM524348 DNI524346:DNI524348 DXE524346:DXE524348 EHA524346:EHA524348 EQW524346:EQW524348 FAS524346:FAS524348 FKO524346:FKO524348 FUK524346:FUK524348 GEG524346:GEG524348 GOC524346:GOC524348 GXY524346:GXY524348 HHU524346:HHU524348 HRQ524346:HRQ524348 IBM524346:IBM524348 ILI524346:ILI524348 IVE524346:IVE524348 JFA524346:JFA524348 JOW524346:JOW524348 JYS524346:JYS524348 KIO524346:KIO524348 KSK524346:KSK524348 LCG524346:LCG524348 LMC524346:LMC524348 LVY524346:LVY524348 MFU524346:MFU524348 MPQ524346:MPQ524348 MZM524346:MZM524348 NJI524346:NJI524348 NTE524346:NTE524348 ODA524346:ODA524348 OMW524346:OMW524348 OWS524346:OWS524348 PGO524346:PGO524348 PQK524346:PQK524348 QAG524346:QAG524348 QKC524346:QKC524348 QTY524346:QTY524348 RDU524346:RDU524348 RNQ524346:RNQ524348 RXM524346:RXM524348 SHI524346:SHI524348 SRE524346:SRE524348 TBA524346:TBA524348 TKW524346:TKW524348 TUS524346:TUS524348 UEO524346:UEO524348 UOK524346:UOK524348 UYG524346:UYG524348 VIC524346:VIC524348 VRY524346:VRY524348 WBU524346:WBU524348 WLQ524346:WLQ524348 WVM524346:WVM524348 E589882:E589884 JA589882:JA589884 SW589882:SW589884 ACS589882:ACS589884 AMO589882:AMO589884 AWK589882:AWK589884 BGG589882:BGG589884 BQC589882:BQC589884 BZY589882:BZY589884 CJU589882:CJU589884 CTQ589882:CTQ589884 DDM589882:DDM589884 DNI589882:DNI589884 DXE589882:DXE589884 EHA589882:EHA589884 EQW589882:EQW589884 FAS589882:FAS589884 FKO589882:FKO589884 FUK589882:FUK589884 GEG589882:GEG589884 GOC589882:GOC589884 GXY589882:GXY589884 HHU589882:HHU589884 HRQ589882:HRQ589884 IBM589882:IBM589884 ILI589882:ILI589884 IVE589882:IVE589884 JFA589882:JFA589884 JOW589882:JOW589884 JYS589882:JYS589884 KIO589882:KIO589884 KSK589882:KSK589884 LCG589882:LCG589884 LMC589882:LMC589884 LVY589882:LVY589884 MFU589882:MFU589884 MPQ589882:MPQ589884 MZM589882:MZM589884 NJI589882:NJI589884 NTE589882:NTE589884 ODA589882:ODA589884 OMW589882:OMW589884 OWS589882:OWS589884 PGO589882:PGO589884 PQK589882:PQK589884 QAG589882:QAG589884 QKC589882:QKC589884 QTY589882:QTY589884 RDU589882:RDU589884 RNQ589882:RNQ589884 RXM589882:RXM589884 SHI589882:SHI589884 SRE589882:SRE589884 TBA589882:TBA589884 TKW589882:TKW589884 TUS589882:TUS589884 UEO589882:UEO589884 UOK589882:UOK589884 UYG589882:UYG589884 VIC589882:VIC589884 VRY589882:VRY589884 WBU589882:WBU589884 WLQ589882:WLQ589884 WVM589882:WVM589884 E655418:E655420 JA655418:JA655420 SW655418:SW655420 ACS655418:ACS655420 AMO655418:AMO655420 AWK655418:AWK655420 BGG655418:BGG655420 BQC655418:BQC655420 BZY655418:BZY655420 CJU655418:CJU655420 CTQ655418:CTQ655420 DDM655418:DDM655420 DNI655418:DNI655420 DXE655418:DXE655420 EHA655418:EHA655420 EQW655418:EQW655420 FAS655418:FAS655420 FKO655418:FKO655420 FUK655418:FUK655420 GEG655418:GEG655420 GOC655418:GOC655420 GXY655418:GXY655420 HHU655418:HHU655420 HRQ655418:HRQ655420 IBM655418:IBM655420 ILI655418:ILI655420 IVE655418:IVE655420 JFA655418:JFA655420 JOW655418:JOW655420 JYS655418:JYS655420 KIO655418:KIO655420 KSK655418:KSK655420 LCG655418:LCG655420 LMC655418:LMC655420 LVY655418:LVY655420 MFU655418:MFU655420 MPQ655418:MPQ655420 MZM655418:MZM655420 NJI655418:NJI655420 NTE655418:NTE655420 ODA655418:ODA655420 OMW655418:OMW655420 OWS655418:OWS655420 PGO655418:PGO655420 PQK655418:PQK655420 QAG655418:QAG655420 QKC655418:QKC655420 QTY655418:QTY655420 RDU655418:RDU655420 RNQ655418:RNQ655420 RXM655418:RXM655420 SHI655418:SHI655420 SRE655418:SRE655420 TBA655418:TBA655420 TKW655418:TKW655420 TUS655418:TUS655420 UEO655418:UEO655420 UOK655418:UOK655420 UYG655418:UYG655420 VIC655418:VIC655420 VRY655418:VRY655420 WBU655418:WBU655420 WLQ655418:WLQ655420 WVM655418:WVM655420 E720954:E720956 JA720954:JA720956 SW720954:SW720956 ACS720954:ACS720956 AMO720954:AMO720956 AWK720954:AWK720956 BGG720954:BGG720956 BQC720954:BQC720956 BZY720954:BZY720956 CJU720954:CJU720956 CTQ720954:CTQ720956 DDM720954:DDM720956 DNI720954:DNI720956 DXE720954:DXE720956 EHA720954:EHA720956 EQW720954:EQW720956 FAS720954:FAS720956 FKO720954:FKO720956 FUK720954:FUK720956 GEG720954:GEG720956 GOC720954:GOC720956 GXY720954:GXY720956 HHU720954:HHU720956 HRQ720954:HRQ720956 IBM720954:IBM720956 ILI720954:ILI720956 IVE720954:IVE720956 JFA720954:JFA720956 JOW720954:JOW720956 JYS720954:JYS720956 KIO720954:KIO720956 KSK720954:KSK720956 LCG720954:LCG720956 LMC720954:LMC720956 LVY720954:LVY720956 MFU720954:MFU720956 MPQ720954:MPQ720956 MZM720954:MZM720956 NJI720954:NJI720956 NTE720954:NTE720956 ODA720954:ODA720956 OMW720954:OMW720956 OWS720954:OWS720956 PGO720954:PGO720956 PQK720954:PQK720956 QAG720954:QAG720956 QKC720954:QKC720956 QTY720954:QTY720956 RDU720954:RDU720956 RNQ720954:RNQ720956 RXM720954:RXM720956 SHI720954:SHI720956 SRE720954:SRE720956 TBA720954:TBA720956 TKW720954:TKW720956 TUS720954:TUS720956 UEO720954:UEO720956 UOK720954:UOK720956 UYG720954:UYG720956 VIC720954:VIC720956 VRY720954:VRY720956 WBU720954:WBU720956 WLQ720954:WLQ720956 WVM720954:WVM720956 E786490:E786492 JA786490:JA786492 SW786490:SW786492 ACS786490:ACS786492 AMO786490:AMO786492 AWK786490:AWK786492 BGG786490:BGG786492 BQC786490:BQC786492 BZY786490:BZY786492 CJU786490:CJU786492 CTQ786490:CTQ786492 DDM786490:DDM786492 DNI786490:DNI786492 DXE786490:DXE786492 EHA786490:EHA786492 EQW786490:EQW786492 FAS786490:FAS786492 FKO786490:FKO786492 FUK786490:FUK786492 GEG786490:GEG786492 GOC786490:GOC786492 GXY786490:GXY786492 HHU786490:HHU786492 HRQ786490:HRQ786492 IBM786490:IBM786492 ILI786490:ILI786492 IVE786490:IVE786492 JFA786490:JFA786492 JOW786490:JOW786492 JYS786490:JYS786492 KIO786490:KIO786492 KSK786490:KSK786492 LCG786490:LCG786492 LMC786490:LMC786492 LVY786490:LVY786492 MFU786490:MFU786492 MPQ786490:MPQ786492 MZM786490:MZM786492 NJI786490:NJI786492 NTE786490:NTE786492 ODA786490:ODA786492 OMW786490:OMW786492 OWS786490:OWS786492 PGO786490:PGO786492 PQK786490:PQK786492 QAG786490:QAG786492 QKC786490:QKC786492 QTY786490:QTY786492 RDU786490:RDU786492 RNQ786490:RNQ786492 RXM786490:RXM786492 SHI786490:SHI786492 SRE786490:SRE786492 TBA786490:TBA786492 TKW786490:TKW786492 TUS786490:TUS786492 UEO786490:UEO786492 UOK786490:UOK786492 UYG786490:UYG786492 VIC786490:VIC786492 VRY786490:VRY786492 WBU786490:WBU786492 WLQ786490:WLQ786492 WVM786490:WVM786492 E852026:E852028 JA852026:JA852028 SW852026:SW852028 ACS852026:ACS852028 AMO852026:AMO852028 AWK852026:AWK852028 BGG852026:BGG852028 BQC852026:BQC852028 BZY852026:BZY852028 CJU852026:CJU852028 CTQ852026:CTQ852028 DDM852026:DDM852028 DNI852026:DNI852028 DXE852026:DXE852028 EHA852026:EHA852028 EQW852026:EQW852028 FAS852026:FAS852028 FKO852026:FKO852028 FUK852026:FUK852028 GEG852026:GEG852028 GOC852026:GOC852028 GXY852026:GXY852028 HHU852026:HHU852028 HRQ852026:HRQ852028 IBM852026:IBM852028 ILI852026:ILI852028 IVE852026:IVE852028 JFA852026:JFA852028 JOW852026:JOW852028 JYS852026:JYS852028 KIO852026:KIO852028 KSK852026:KSK852028 LCG852026:LCG852028 LMC852026:LMC852028 LVY852026:LVY852028 MFU852026:MFU852028 MPQ852026:MPQ852028 MZM852026:MZM852028 NJI852026:NJI852028 NTE852026:NTE852028 ODA852026:ODA852028 OMW852026:OMW852028 OWS852026:OWS852028 PGO852026:PGO852028 PQK852026:PQK852028 QAG852026:QAG852028 QKC852026:QKC852028 QTY852026:QTY852028 RDU852026:RDU852028 RNQ852026:RNQ852028 RXM852026:RXM852028 SHI852026:SHI852028 SRE852026:SRE852028 TBA852026:TBA852028 TKW852026:TKW852028 TUS852026:TUS852028 UEO852026:UEO852028 UOK852026:UOK852028 UYG852026:UYG852028 VIC852026:VIC852028 VRY852026:VRY852028 WBU852026:WBU852028 WLQ852026:WLQ852028 WVM852026:WVM852028 E917562:E917564 JA917562:JA917564 SW917562:SW917564 ACS917562:ACS917564 AMO917562:AMO917564 AWK917562:AWK917564 BGG917562:BGG917564 BQC917562:BQC917564 BZY917562:BZY917564 CJU917562:CJU917564 CTQ917562:CTQ917564 DDM917562:DDM917564 DNI917562:DNI917564 DXE917562:DXE917564 EHA917562:EHA917564 EQW917562:EQW917564 FAS917562:FAS917564 FKO917562:FKO917564 FUK917562:FUK917564 GEG917562:GEG917564 GOC917562:GOC917564 GXY917562:GXY917564 HHU917562:HHU917564 HRQ917562:HRQ917564 IBM917562:IBM917564 ILI917562:ILI917564 IVE917562:IVE917564 JFA917562:JFA917564 JOW917562:JOW917564 JYS917562:JYS917564 KIO917562:KIO917564 KSK917562:KSK917564 LCG917562:LCG917564 LMC917562:LMC917564 LVY917562:LVY917564 MFU917562:MFU917564 MPQ917562:MPQ917564 MZM917562:MZM917564 NJI917562:NJI917564 NTE917562:NTE917564 ODA917562:ODA917564 OMW917562:OMW917564 OWS917562:OWS917564 PGO917562:PGO917564 PQK917562:PQK917564 QAG917562:QAG917564 QKC917562:QKC917564 QTY917562:QTY917564 RDU917562:RDU917564 RNQ917562:RNQ917564 RXM917562:RXM917564 SHI917562:SHI917564 SRE917562:SRE917564 TBA917562:TBA917564 TKW917562:TKW917564 TUS917562:TUS917564 UEO917562:UEO917564 UOK917562:UOK917564 UYG917562:UYG917564 VIC917562:VIC917564 VRY917562:VRY917564 WBU917562:WBU917564 WLQ917562:WLQ917564 WVM917562:WVM917564 E983098:E983100 JA983098:JA983100 SW983098:SW983100 ACS983098:ACS983100 AMO983098:AMO983100 AWK983098:AWK983100 BGG983098:BGG983100 BQC983098:BQC983100 BZY983098:BZY983100 CJU983098:CJU983100 CTQ983098:CTQ983100 DDM983098:DDM983100 DNI983098:DNI983100 DXE983098:DXE983100 EHA983098:EHA983100 EQW983098:EQW983100 FAS983098:FAS983100 FKO983098:FKO983100 FUK983098:FUK983100 GEG983098:GEG983100 GOC983098:GOC983100 GXY983098:GXY983100 HHU983098:HHU983100 HRQ983098:HRQ983100 IBM983098:IBM983100 ILI983098:ILI983100 IVE983098:IVE983100 JFA983098:JFA983100 JOW983098:JOW983100 JYS983098:JYS983100 KIO983098:KIO983100 KSK983098:KSK983100 LCG983098:LCG983100 LMC983098:LMC983100 LVY983098:LVY983100 MFU983098:MFU983100 MPQ983098:MPQ983100 MZM983098:MZM983100 NJI983098:NJI983100 NTE983098:NTE983100 ODA983098:ODA983100 OMW983098:OMW983100 OWS983098:OWS983100 PGO983098:PGO983100 PQK983098:PQK983100 QAG983098:QAG983100 QKC983098:QKC983100 QTY983098:QTY983100 RDU983098:RDU983100 RNQ983098:RNQ983100 RXM983098:RXM983100 SHI983098:SHI983100 SRE983098:SRE983100 TBA983098:TBA983100 TKW983098:TKW983100 TUS983098:TUS983100 UEO983098:UEO983100 UOK983098:UOK983100 UYG983098:UYG983100 VIC983098:VIC983100 VRY983098:VRY983100 WBU983098:WBU983100 WLQ983098:WLQ983100 WVM983098:WVM983100 E34:E56 JA34:JA56 SW34:SW56 ACS34:ACS56 AMO34:AMO56 AWK34:AWK56 BGG34:BGG56 BQC34:BQC56 BZY34:BZY56 CJU34:CJU56 CTQ34:CTQ56 DDM34:DDM56 DNI34:DNI56 DXE34:DXE56 EHA34:EHA56 EQW34:EQW56 FAS34:FAS56 FKO34:FKO56 FUK34:FUK56 GEG34:GEG56 GOC34:GOC56 GXY34:GXY56 HHU34:HHU56 HRQ34:HRQ56 IBM34:IBM56 ILI34:ILI56 IVE34:IVE56 JFA34:JFA56 JOW34:JOW56 JYS34:JYS56 KIO34:KIO56 KSK34:KSK56 LCG34:LCG56 LMC34:LMC56 LVY34:LVY56 MFU34:MFU56 MPQ34:MPQ56 MZM34:MZM56 NJI34:NJI56 NTE34:NTE56 ODA34:ODA56 OMW34:OMW56 OWS34:OWS56 PGO34:PGO56 PQK34:PQK56 QAG34:QAG56 QKC34:QKC56 QTY34:QTY56 RDU34:RDU56 RNQ34:RNQ56 RXM34:RXM56 SHI34:SHI56 SRE34:SRE56 TBA34:TBA56 TKW34:TKW56 TUS34:TUS56 UEO34:UEO56 UOK34:UOK56 UYG34:UYG56 VIC34:VIC56 VRY34:VRY56 WBU34:WBU56 WLQ34:WLQ56 WVM34:WVM56 E65570:E65592 JA65570:JA65592 SW65570:SW65592 ACS65570:ACS65592 AMO65570:AMO65592 AWK65570:AWK65592 BGG65570:BGG65592 BQC65570:BQC65592 BZY65570:BZY65592 CJU65570:CJU65592 CTQ65570:CTQ65592 DDM65570:DDM65592 DNI65570:DNI65592 DXE65570:DXE65592 EHA65570:EHA65592 EQW65570:EQW65592 FAS65570:FAS65592 FKO65570:FKO65592 FUK65570:FUK65592 GEG65570:GEG65592 GOC65570:GOC65592 GXY65570:GXY65592 HHU65570:HHU65592 HRQ65570:HRQ65592 IBM65570:IBM65592 ILI65570:ILI65592 IVE65570:IVE65592 JFA65570:JFA65592 JOW65570:JOW65592 JYS65570:JYS65592 KIO65570:KIO65592 KSK65570:KSK65592 LCG65570:LCG65592 LMC65570:LMC65592 LVY65570:LVY65592 MFU65570:MFU65592 MPQ65570:MPQ65592 MZM65570:MZM65592 NJI65570:NJI65592 NTE65570:NTE65592 ODA65570:ODA65592 OMW65570:OMW65592 OWS65570:OWS65592 PGO65570:PGO65592 PQK65570:PQK65592 QAG65570:QAG65592 QKC65570:QKC65592 QTY65570:QTY65592 RDU65570:RDU65592 RNQ65570:RNQ65592 RXM65570:RXM65592 SHI65570:SHI65592 SRE65570:SRE65592 TBA65570:TBA65592 TKW65570:TKW65592 TUS65570:TUS65592 UEO65570:UEO65592 UOK65570:UOK65592 UYG65570:UYG65592 VIC65570:VIC65592 VRY65570:VRY65592 WBU65570:WBU65592 WLQ65570:WLQ65592 WVM65570:WVM65592 E131106:E131128 JA131106:JA131128 SW131106:SW131128 ACS131106:ACS131128 AMO131106:AMO131128 AWK131106:AWK131128 BGG131106:BGG131128 BQC131106:BQC131128 BZY131106:BZY131128 CJU131106:CJU131128 CTQ131106:CTQ131128 DDM131106:DDM131128 DNI131106:DNI131128 DXE131106:DXE131128 EHA131106:EHA131128 EQW131106:EQW131128 FAS131106:FAS131128 FKO131106:FKO131128 FUK131106:FUK131128 GEG131106:GEG131128 GOC131106:GOC131128 GXY131106:GXY131128 HHU131106:HHU131128 HRQ131106:HRQ131128 IBM131106:IBM131128 ILI131106:ILI131128 IVE131106:IVE131128 JFA131106:JFA131128 JOW131106:JOW131128 JYS131106:JYS131128 KIO131106:KIO131128 KSK131106:KSK131128 LCG131106:LCG131128 LMC131106:LMC131128 LVY131106:LVY131128 MFU131106:MFU131128 MPQ131106:MPQ131128 MZM131106:MZM131128 NJI131106:NJI131128 NTE131106:NTE131128 ODA131106:ODA131128 OMW131106:OMW131128 OWS131106:OWS131128 PGO131106:PGO131128 PQK131106:PQK131128 QAG131106:QAG131128 QKC131106:QKC131128 QTY131106:QTY131128 RDU131106:RDU131128 RNQ131106:RNQ131128 RXM131106:RXM131128 SHI131106:SHI131128 SRE131106:SRE131128 TBA131106:TBA131128 TKW131106:TKW131128 TUS131106:TUS131128 UEO131106:UEO131128 UOK131106:UOK131128 UYG131106:UYG131128 VIC131106:VIC131128 VRY131106:VRY131128 WBU131106:WBU131128 WLQ131106:WLQ131128 WVM131106:WVM131128 E196642:E196664 JA196642:JA196664 SW196642:SW196664 ACS196642:ACS196664 AMO196642:AMO196664 AWK196642:AWK196664 BGG196642:BGG196664 BQC196642:BQC196664 BZY196642:BZY196664 CJU196642:CJU196664 CTQ196642:CTQ196664 DDM196642:DDM196664 DNI196642:DNI196664 DXE196642:DXE196664 EHA196642:EHA196664 EQW196642:EQW196664 FAS196642:FAS196664 FKO196642:FKO196664 FUK196642:FUK196664 GEG196642:GEG196664 GOC196642:GOC196664 GXY196642:GXY196664 HHU196642:HHU196664 HRQ196642:HRQ196664 IBM196642:IBM196664 ILI196642:ILI196664 IVE196642:IVE196664 JFA196642:JFA196664 JOW196642:JOW196664 JYS196642:JYS196664 KIO196642:KIO196664 KSK196642:KSK196664 LCG196642:LCG196664 LMC196642:LMC196664 LVY196642:LVY196664 MFU196642:MFU196664 MPQ196642:MPQ196664 MZM196642:MZM196664 NJI196642:NJI196664 NTE196642:NTE196664 ODA196642:ODA196664 OMW196642:OMW196664 OWS196642:OWS196664 PGO196642:PGO196664 PQK196642:PQK196664 QAG196642:QAG196664 QKC196642:QKC196664 QTY196642:QTY196664 RDU196642:RDU196664 RNQ196642:RNQ196664 RXM196642:RXM196664 SHI196642:SHI196664 SRE196642:SRE196664 TBA196642:TBA196664 TKW196642:TKW196664 TUS196642:TUS196664 UEO196642:UEO196664 UOK196642:UOK196664 UYG196642:UYG196664 VIC196642:VIC196664 VRY196642:VRY196664 WBU196642:WBU196664 WLQ196642:WLQ196664 WVM196642:WVM196664 E262178:E262200 JA262178:JA262200 SW262178:SW262200 ACS262178:ACS262200 AMO262178:AMO262200 AWK262178:AWK262200 BGG262178:BGG262200 BQC262178:BQC262200 BZY262178:BZY262200 CJU262178:CJU262200 CTQ262178:CTQ262200 DDM262178:DDM262200 DNI262178:DNI262200 DXE262178:DXE262200 EHA262178:EHA262200 EQW262178:EQW262200 FAS262178:FAS262200 FKO262178:FKO262200 FUK262178:FUK262200 GEG262178:GEG262200 GOC262178:GOC262200 GXY262178:GXY262200 HHU262178:HHU262200 HRQ262178:HRQ262200 IBM262178:IBM262200 ILI262178:ILI262200 IVE262178:IVE262200 JFA262178:JFA262200 JOW262178:JOW262200 JYS262178:JYS262200 KIO262178:KIO262200 KSK262178:KSK262200 LCG262178:LCG262200 LMC262178:LMC262200 LVY262178:LVY262200 MFU262178:MFU262200 MPQ262178:MPQ262200 MZM262178:MZM262200 NJI262178:NJI262200 NTE262178:NTE262200 ODA262178:ODA262200 OMW262178:OMW262200 OWS262178:OWS262200 PGO262178:PGO262200 PQK262178:PQK262200 QAG262178:QAG262200 QKC262178:QKC262200 QTY262178:QTY262200 RDU262178:RDU262200 RNQ262178:RNQ262200 RXM262178:RXM262200 SHI262178:SHI262200 SRE262178:SRE262200 TBA262178:TBA262200 TKW262178:TKW262200 TUS262178:TUS262200 UEO262178:UEO262200 UOK262178:UOK262200 UYG262178:UYG262200 VIC262178:VIC262200 VRY262178:VRY262200 WBU262178:WBU262200 WLQ262178:WLQ262200 WVM262178:WVM262200 E327714:E327736 JA327714:JA327736 SW327714:SW327736 ACS327714:ACS327736 AMO327714:AMO327736 AWK327714:AWK327736 BGG327714:BGG327736 BQC327714:BQC327736 BZY327714:BZY327736 CJU327714:CJU327736 CTQ327714:CTQ327736 DDM327714:DDM327736 DNI327714:DNI327736 DXE327714:DXE327736 EHA327714:EHA327736 EQW327714:EQW327736 FAS327714:FAS327736 FKO327714:FKO327736 FUK327714:FUK327736 GEG327714:GEG327736 GOC327714:GOC327736 GXY327714:GXY327736 HHU327714:HHU327736 HRQ327714:HRQ327736 IBM327714:IBM327736 ILI327714:ILI327736 IVE327714:IVE327736 JFA327714:JFA327736 JOW327714:JOW327736 JYS327714:JYS327736 KIO327714:KIO327736 KSK327714:KSK327736 LCG327714:LCG327736 LMC327714:LMC327736 LVY327714:LVY327736 MFU327714:MFU327736 MPQ327714:MPQ327736 MZM327714:MZM327736 NJI327714:NJI327736 NTE327714:NTE327736 ODA327714:ODA327736 OMW327714:OMW327736 OWS327714:OWS327736 PGO327714:PGO327736 PQK327714:PQK327736 QAG327714:QAG327736 QKC327714:QKC327736 QTY327714:QTY327736 RDU327714:RDU327736 RNQ327714:RNQ327736 RXM327714:RXM327736 SHI327714:SHI327736 SRE327714:SRE327736 TBA327714:TBA327736 TKW327714:TKW327736 TUS327714:TUS327736 UEO327714:UEO327736 UOK327714:UOK327736 UYG327714:UYG327736 VIC327714:VIC327736 VRY327714:VRY327736 WBU327714:WBU327736 WLQ327714:WLQ327736 WVM327714:WVM327736 E393250:E393272 JA393250:JA393272 SW393250:SW393272 ACS393250:ACS393272 AMO393250:AMO393272 AWK393250:AWK393272 BGG393250:BGG393272 BQC393250:BQC393272 BZY393250:BZY393272 CJU393250:CJU393272 CTQ393250:CTQ393272 DDM393250:DDM393272 DNI393250:DNI393272 DXE393250:DXE393272 EHA393250:EHA393272 EQW393250:EQW393272 FAS393250:FAS393272 FKO393250:FKO393272 FUK393250:FUK393272 GEG393250:GEG393272 GOC393250:GOC393272 GXY393250:GXY393272 HHU393250:HHU393272 HRQ393250:HRQ393272 IBM393250:IBM393272 ILI393250:ILI393272 IVE393250:IVE393272 JFA393250:JFA393272 JOW393250:JOW393272 JYS393250:JYS393272 KIO393250:KIO393272 KSK393250:KSK393272 LCG393250:LCG393272 LMC393250:LMC393272 LVY393250:LVY393272 MFU393250:MFU393272 MPQ393250:MPQ393272 MZM393250:MZM393272 NJI393250:NJI393272 NTE393250:NTE393272 ODA393250:ODA393272 OMW393250:OMW393272 OWS393250:OWS393272 PGO393250:PGO393272 PQK393250:PQK393272 QAG393250:QAG393272 QKC393250:QKC393272 QTY393250:QTY393272 RDU393250:RDU393272 RNQ393250:RNQ393272 RXM393250:RXM393272 SHI393250:SHI393272 SRE393250:SRE393272 TBA393250:TBA393272 TKW393250:TKW393272 TUS393250:TUS393272 UEO393250:UEO393272 UOK393250:UOK393272 UYG393250:UYG393272 VIC393250:VIC393272 VRY393250:VRY393272 WBU393250:WBU393272 WLQ393250:WLQ393272 WVM393250:WVM393272 E458786:E458808 JA458786:JA458808 SW458786:SW458808 ACS458786:ACS458808 AMO458786:AMO458808 AWK458786:AWK458808 BGG458786:BGG458808 BQC458786:BQC458808 BZY458786:BZY458808 CJU458786:CJU458808 CTQ458786:CTQ458808 DDM458786:DDM458808 DNI458786:DNI458808 DXE458786:DXE458808 EHA458786:EHA458808 EQW458786:EQW458808 FAS458786:FAS458808 FKO458786:FKO458808 FUK458786:FUK458808 GEG458786:GEG458808 GOC458786:GOC458808 GXY458786:GXY458808 HHU458786:HHU458808 HRQ458786:HRQ458808 IBM458786:IBM458808 ILI458786:ILI458808 IVE458786:IVE458808 JFA458786:JFA458808 JOW458786:JOW458808 JYS458786:JYS458808 KIO458786:KIO458808 KSK458786:KSK458808 LCG458786:LCG458808 LMC458786:LMC458808 LVY458786:LVY458808 MFU458786:MFU458808 MPQ458786:MPQ458808 MZM458786:MZM458808 NJI458786:NJI458808 NTE458786:NTE458808 ODA458786:ODA458808 OMW458786:OMW458808 OWS458786:OWS458808 PGO458786:PGO458808 PQK458786:PQK458808 QAG458786:QAG458808 QKC458786:QKC458808 QTY458786:QTY458808 RDU458786:RDU458808 RNQ458786:RNQ458808 RXM458786:RXM458808 SHI458786:SHI458808 SRE458786:SRE458808 TBA458786:TBA458808 TKW458786:TKW458808 TUS458786:TUS458808 UEO458786:UEO458808 UOK458786:UOK458808 UYG458786:UYG458808 VIC458786:VIC458808 VRY458786:VRY458808 WBU458786:WBU458808 WLQ458786:WLQ458808 WVM458786:WVM458808 E524322:E524344 JA524322:JA524344 SW524322:SW524344 ACS524322:ACS524344 AMO524322:AMO524344 AWK524322:AWK524344 BGG524322:BGG524344 BQC524322:BQC524344 BZY524322:BZY524344 CJU524322:CJU524344 CTQ524322:CTQ524344 DDM524322:DDM524344 DNI524322:DNI524344 DXE524322:DXE524344 EHA524322:EHA524344 EQW524322:EQW524344 FAS524322:FAS524344 FKO524322:FKO524344 FUK524322:FUK524344 GEG524322:GEG524344 GOC524322:GOC524344 GXY524322:GXY524344 HHU524322:HHU524344 HRQ524322:HRQ524344 IBM524322:IBM524344 ILI524322:ILI524344 IVE524322:IVE524344 JFA524322:JFA524344 JOW524322:JOW524344 JYS524322:JYS524344 KIO524322:KIO524344 KSK524322:KSK524344 LCG524322:LCG524344 LMC524322:LMC524344 LVY524322:LVY524344 MFU524322:MFU524344 MPQ524322:MPQ524344 MZM524322:MZM524344 NJI524322:NJI524344 NTE524322:NTE524344 ODA524322:ODA524344 OMW524322:OMW524344 OWS524322:OWS524344 PGO524322:PGO524344 PQK524322:PQK524344 QAG524322:QAG524344 QKC524322:QKC524344 QTY524322:QTY524344 RDU524322:RDU524344 RNQ524322:RNQ524344 RXM524322:RXM524344 SHI524322:SHI524344 SRE524322:SRE524344 TBA524322:TBA524344 TKW524322:TKW524344 TUS524322:TUS524344 UEO524322:UEO524344 UOK524322:UOK524344 UYG524322:UYG524344 VIC524322:VIC524344 VRY524322:VRY524344 WBU524322:WBU524344 WLQ524322:WLQ524344 WVM524322:WVM524344 E589858:E589880 JA589858:JA589880 SW589858:SW589880 ACS589858:ACS589880 AMO589858:AMO589880 AWK589858:AWK589880 BGG589858:BGG589880 BQC589858:BQC589880 BZY589858:BZY589880 CJU589858:CJU589880 CTQ589858:CTQ589880 DDM589858:DDM589880 DNI589858:DNI589880 DXE589858:DXE589880 EHA589858:EHA589880 EQW589858:EQW589880 FAS589858:FAS589880 FKO589858:FKO589880 FUK589858:FUK589880 GEG589858:GEG589880 GOC589858:GOC589880 GXY589858:GXY589880 HHU589858:HHU589880 HRQ589858:HRQ589880 IBM589858:IBM589880 ILI589858:ILI589880 IVE589858:IVE589880 JFA589858:JFA589880 JOW589858:JOW589880 JYS589858:JYS589880 KIO589858:KIO589880 KSK589858:KSK589880 LCG589858:LCG589880 LMC589858:LMC589880 LVY589858:LVY589880 MFU589858:MFU589880 MPQ589858:MPQ589880 MZM589858:MZM589880 NJI589858:NJI589880 NTE589858:NTE589880 ODA589858:ODA589880 OMW589858:OMW589880 OWS589858:OWS589880 PGO589858:PGO589880 PQK589858:PQK589880 QAG589858:QAG589880 QKC589858:QKC589880 QTY589858:QTY589880 RDU589858:RDU589880 RNQ589858:RNQ589880 RXM589858:RXM589880 SHI589858:SHI589880 SRE589858:SRE589880 TBA589858:TBA589880 TKW589858:TKW589880 TUS589858:TUS589880 UEO589858:UEO589880 UOK589858:UOK589880 UYG589858:UYG589880 VIC589858:VIC589880 VRY589858:VRY589880 WBU589858:WBU589880 WLQ589858:WLQ589880 WVM589858:WVM589880 E655394:E655416 JA655394:JA655416 SW655394:SW655416 ACS655394:ACS655416 AMO655394:AMO655416 AWK655394:AWK655416 BGG655394:BGG655416 BQC655394:BQC655416 BZY655394:BZY655416 CJU655394:CJU655416 CTQ655394:CTQ655416 DDM655394:DDM655416 DNI655394:DNI655416 DXE655394:DXE655416 EHA655394:EHA655416 EQW655394:EQW655416 FAS655394:FAS655416 FKO655394:FKO655416 FUK655394:FUK655416 GEG655394:GEG655416 GOC655394:GOC655416 GXY655394:GXY655416 HHU655394:HHU655416 HRQ655394:HRQ655416 IBM655394:IBM655416 ILI655394:ILI655416 IVE655394:IVE655416 JFA655394:JFA655416 JOW655394:JOW655416 JYS655394:JYS655416 KIO655394:KIO655416 KSK655394:KSK655416 LCG655394:LCG655416 LMC655394:LMC655416 LVY655394:LVY655416 MFU655394:MFU655416 MPQ655394:MPQ655416 MZM655394:MZM655416 NJI655394:NJI655416 NTE655394:NTE655416 ODA655394:ODA655416 OMW655394:OMW655416 OWS655394:OWS655416 PGO655394:PGO655416 PQK655394:PQK655416 QAG655394:QAG655416 QKC655394:QKC655416 QTY655394:QTY655416 RDU655394:RDU655416 RNQ655394:RNQ655416 RXM655394:RXM655416 SHI655394:SHI655416 SRE655394:SRE655416 TBA655394:TBA655416 TKW655394:TKW655416 TUS655394:TUS655416 UEO655394:UEO655416 UOK655394:UOK655416 UYG655394:UYG655416 VIC655394:VIC655416 VRY655394:VRY655416 WBU655394:WBU655416 WLQ655394:WLQ655416 WVM655394:WVM655416 E720930:E720952 JA720930:JA720952 SW720930:SW720952 ACS720930:ACS720952 AMO720930:AMO720952 AWK720930:AWK720952 BGG720930:BGG720952 BQC720930:BQC720952 BZY720930:BZY720952 CJU720930:CJU720952 CTQ720930:CTQ720952 DDM720930:DDM720952 DNI720930:DNI720952 DXE720930:DXE720952 EHA720930:EHA720952 EQW720930:EQW720952 FAS720930:FAS720952 FKO720930:FKO720952 FUK720930:FUK720952 GEG720930:GEG720952 GOC720930:GOC720952 GXY720930:GXY720952 HHU720930:HHU720952 HRQ720930:HRQ720952 IBM720930:IBM720952 ILI720930:ILI720952 IVE720930:IVE720952 JFA720930:JFA720952 JOW720930:JOW720952 JYS720930:JYS720952 KIO720930:KIO720952 KSK720930:KSK720952 LCG720930:LCG720952 LMC720930:LMC720952 LVY720930:LVY720952 MFU720930:MFU720952 MPQ720930:MPQ720952 MZM720930:MZM720952 NJI720930:NJI720952 NTE720930:NTE720952 ODA720930:ODA720952 OMW720930:OMW720952 OWS720930:OWS720952 PGO720930:PGO720952 PQK720930:PQK720952 QAG720930:QAG720952 QKC720930:QKC720952 QTY720930:QTY720952 RDU720930:RDU720952 RNQ720930:RNQ720952 RXM720930:RXM720952 SHI720930:SHI720952 SRE720930:SRE720952 TBA720930:TBA720952 TKW720930:TKW720952 TUS720930:TUS720952 UEO720930:UEO720952 UOK720930:UOK720952 UYG720930:UYG720952 VIC720930:VIC720952 VRY720930:VRY720952 WBU720930:WBU720952 WLQ720930:WLQ720952 WVM720930:WVM720952 E786466:E786488 JA786466:JA786488 SW786466:SW786488 ACS786466:ACS786488 AMO786466:AMO786488 AWK786466:AWK786488 BGG786466:BGG786488 BQC786466:BQC786488 BZY786466:BZY786488 CJU786466:CJU786488 CTQ786466:CTQ786488 DDM786466:DDM786488 DNI786466:DNI786488 DXE786466:DXE786488 EHA786466:EHA786488 EQW786466:EQW786488 FAS786466:FAS786488 FKO786466:FKO786488 FUK786466:FUK786488 GEG786466:GEG786488 GOC786466:GOC786488 GXY786466:GXY786488 HHU786466:HHU786488 HRQ786466:HRQ786488 IBM786466:IBM786488 ILI786466:ILI786488 IVE786466:IVE786488 JFA786466:JFA786488 JOW786466:JOW786488 JYS786466:JYS786488 KIO786466:KIO786488 KSK786466:KSK786488 LCG786466:LCG786488 LMC786466:LMC786488 LVY786466:LVY786488 MFU786466:MFU786488 MPQ786466:MPQ786488 MZM786466:MZM786488 NJI786466:NJI786488 NTE786466:NTE786488 ODA786466:ODA786488 OMW786466:OMW786488 OWS786466:OWS786488 PGO786466:PGO786488 PQK786466:PQK786488 QAG786466:QAG786488 QKC786466:QKC786488 QTY786466:QTY786488 RDU786466:RDU786488 RNQ786466:RNQ786488 RXM786466:RXM786488 SHI786466:SHI786488 SRE786466:SRE786488 TBA786466:TBA786488 TKW786466:TKW786488 TUS786466:TUS786488 UEO786466:UEO786488 UOK786466:UOK786488 UYG786466:UYG786488 VIC786466:VIC786488 VRY786466:VRY786488 WBU786466:WBU786488 WLQ786466:WLQ786488 WVM786466:WVM786488 E852002:E852024 JA852002:JA852024 SW852002:SW852024 ACS852002:ACS852024 AMO852002:AMO852024 AWK852002:AWK852024 BGG852002:BGG852024 BQC852002:BQC852024 BZY852002:BZY852024 CJU852002:CJU852024 CTQ852002:CTQ852024 DDM852002:DDM852024 DNI852002:DNI852024 DXE852002:DXE852024 EHA852002:EHA852024 EQW852002:EQW852024 FAS852002:FAS852024 FKO852002:FKO852024 FUK852002:FUK852024 GEG852002:GEG852024 GOC852002:GOC852024 GXY852002:GXY852024 HHU852002:HHU852024 HRQ852002:HRQ852024 IBM852002:IBM852024 ILI852002:ILI852024 IVE852002:IVE852024 JFA852002:JFA852024 JOW852002:JOW852024 JYS852002:JYS852024 KIO852002:KIO852024 KSK852002:KSK852024 LCG852002:LCG852024 LMC852002:LMC852024 LVY852002:LVY852024 MFU852002:MFU852024 MPQ852002:MPQ852024 MZM852002:MZM852024 NJI852002:NJI852024 NTE852002:NTE852024 ODA852002:ODA852024 OMW852002:OMW852024 OWS852002:OWS852024 PGO852002:PGO852024 PQK852002:PQK852024 QAG852002:QAG852024 QKC852002:QKC852024 QTY852002:QTY852024 RDU852002:RDU852024 RNQ852002:RNQ852024 RXM852002:RXM852024 SHI852002:SHI852024 SRE852002:SRE852024 TBA852002:TBA852024 TKW852002:TKW852024 TUS852002:TUS852024 UEO852002:UEO852024 UOK852002:UOK852024 UYG852002:UYG852024 VIC852002:VIC852024 VRY852002:VRY852024 WBU852002:WBU852024 WLQ852002:WLQ852024 WVM852002:WVM852024 E917538:E917560 JA917538:JA917560 SW917538:SW917560 ACS917538:ACS917560 AMO917538:AMO917560 AWK917538:AWK917560 BGG917538:BGG917560 BQC917538:BQC917560 BZY917538:BZY917560 CJU917538:CJU917560 CTQ917538:CTQ917560 DDM917538:DDM917560 DNI917538:DNI917560 DXE917538:DXE917560 EHA917538:EHA917560 EQW917538:EQW917560 FAS917538:FAS917560 FKO917538:FKO917560 FUK917538:FUK917560 GEG917538:GEG917560 GOC917538:GOC917560 GXY917538:GXY917560 HHU917538:HHU917560 HRQ917538:HRQ917560 IBM917538:IBM917560 ILI917538:ILI917560 IVE917538:IVE917560 JFA917538:JFA917560 JOW917538:JOW917560 JYS917538:JYS917560 KIO917538:KIO917560 KSK917538:KSK917560 LCG917538:LCG917560 LMC917538:LMC917560 LVY917538:LVY917560 MFU917538:MFU917560 MPQ917538:MPQ917560 MZM917538:MZM917560 NJI917538:NJI917560 NTE917538:NTE917560 ODA917538:ODA917560 OMW917538:OMW917560 OWS917538:OWS917560 PGO917538:PGO917560 PQK917538:PQK917560 QAG917538:QAG917560 QKC917538:QKC917560 QTY917538:QTY917560 RDU917538:RDU917560 RNQ917538:RNQ917560 RXM917538:RXM917560 SHI917538:SHI917560 SRE917538:SRE917560 TBA917538:TBA917560 TKW917538:TKW917560 TUS917538:TUS917560 UEO917538:UEO917560 UOK917538:UOK917560 UYG917538:UYG917560 VIC917538:VIC917560 VRY917538:VRY917560 WBU917538:WBU917560 WLQ917538:WLQ917560 WVM917538:WVM917560 E983074:E983096 JA983074:JA983096 SW983074:SW983096 ACS983074:ACS983096 AMO983074:AMO983096 AWK983074:AWK983096 BGG983074:BGG983096 BQC983074:BQC983096 BZY983074:BZY983096 CJU983074:CJU983096 CTQ983074:CTQ983096 DDM983074:DDM983096 DNI983074:DNI983096 DXE983074:DXE983096 EHA983074:EHA983096 EQW983074:EQW983096 FAS983074:FAS983096 FKO983074:FKO983096 FUK983074:FUK983096 GEG983074:GEG983096 GOC983074:GOC983096 GXY983074:GXY983096 HHU983074:HHU983096 HRQ983074:HRQ983096 IBM983074:IBM983096 ILI983074:ILI983096 IVE983074:IVE983096 JFA983074:JFA983096 JOW983074:JOW983096 JYS983074:JYS983096 KIO983074:KIO983096 KSK983074:KSK983096 LCG983074:LCG983096 LMC983074:LMC983096 LVY983074:LVY983096 MFU983074:MFU983096 MPQ983074:MPQ983096 MZM983074:MZM983096 NJI983074:NJI983096 NTE983074:NTE983096 ODA983074:ODA983096 OMW983074:OMW983096 OWS983074:OWS983096 PGO983074:PGO983096 PQK983074:PQK983096 QAG983074:QAG983096 QKC983074:QKC983096 QTY983074:QTY983096 RDU983074:RDU983096 RNQ983074:RNQ983096 RXM983074:RXM983096 SHI983074:SHI983096 SRE983074:SRE983096 TBA983074:TBA983096 TKW983074:TKW983096 TUS983074:TUS983096 UEO983074:UEO983096 UOK983074:UOK983096 UYG983074:UYG983096 VIC983074:VIC983096 VRY983074:VRY983096 WBU983074:WBU983096 WLQ983074:WLQ983096 WVM983074:WVM983096 E14:E26 JA14:JA26 SW14:SW26 ACS14:ACS26 AMO14:AMO26 AWK14:AWK26 BGG14:BGG26 BQC14:BQC26 BZY14:BZY26 CJU14:CJU26 CTQ14:CTQ26 DDM14:DDM26 DNI14:DNI26 DXE14:DXE26 EHA14:EHA26 EQW14:EQW26 FAS14:FAS26 FKO14:FKO26 FUK14:FUK26 GEG14:GEG26 GOC14:GOC26 GXY14:GXY26 HHU14:HHU26 HRQ14:HRQ26 IBM14:IBM26 ILI14:ILI26 IVE14:IVE26 JFA14:JFA26 JOW14:JOW26 JYS14:JYS26 KIO14:KIO26 KSK14:KSK26 LCG14:LCG26 LMC14:LMC26 LVY14:LVY26 MFU14:MFU26 MPQ14:MPQ26 MZM14:MZM26 NJI14:NJI26 NTE14:NTE26 ODA14:ODA26 OMW14:OMW26 OWS14:OWS26 PGO14:PGO26 PQK14:PQK26 QAG14:QAG26 QKC14:QKC26 QTY14:QTY26 RDU14:RDU26 RNQ14:RNQ26 RXM14:RXM26 SHI14:SHI26 SRE14:SRE26 TBA14:TBA26 TKW14:TKW26 TUS14:TUS26 UEO14:UEO26 UOK14:UOK26 UYG14:UYG26 VIC14:VIC26 VRY14:VRY26 WBU14:WBU26 WLQ14:WLQ26 WVM14:WVM26 E65550:E65562 JA65550:JA65562 SW65550:SW65562 ACS65550:ACS65562 AMO65550:AMO65562 AWK65550:AWK65562 BGG65550:BGG65562 BQC65550:BQC65562 BZY65550:BZY65562 CJU65550:CJU65562 CTQ65550:CTQ65562 DDM65550:DDM65562 DNI65550:DNI65562 DXE65550:DXE65562 EHA65550:EHA65562 EQW65550:EQW65562 FAS65550:FAS65562 FKO65550:FKO65562 FUK65550:FUK65562 GEG65550:GEG65562 GOC65550:GOC65562 GXY65550:GXY65562 HHU65550:HHU65562 HRQ65550:HRQ65562 IBM65550:IBM65562 ILI65550:ILI65562 IVE65550:IVE65562 JFA65550:JFA65562 JOW65550:JOW65562 JYS65550:JYS65562 KIO65550:KIO65562 KSK65550:KSK65562 LCG65550:LCG65562 LMC65550:LMC65562 LVY65550:LVY65562 MFU65550:MFU65562 MPQ65550:MPQ65562 MZM65550:MZM65562 NJI65550:NJI65562 NTE65550:NTE65562 ODA65550:ODA65562 OMW65550:OMW65562 OWS65550:OWS65562 PGO65550:PGO65562 PQK65550:PQK65562 QAG65550:QAG65562 QKC65550:QKC65562 QTY65550:QTY65562 RDU65550:RDU65562 RNQ65550:RNQ65562 RXM65550:RXM65562 SHI65550:SHI65562 SRE65550:SRE65562 TBA65550:TBA65562 TKW65550:TKW65562 TUS65550:TUS65562 UEO65550:UEO65562 UOK65550:UOK65562 UYG65550:UYG65562 VIC65550:VIC65562 VRY65550:VRY65562 WBU65550:WBU65562 WLQ65550:WLQ65562 WVM65550:WVM65562 E131086:E131098 JA131086:JA131098 SW131086:SW131098 ACS131086:ACS131098 AMO131086:AMO131098 AWK131086:AWK131098 BGG131086:BGG131098 BQC131086:BQC131098 BZY131086:BZY131098 CJU131086:CJU131098 CTQ131086:CTQ131098 DDM131086:DDM131098 DNI131086:DNI131098 DXE131086:DXE131098 EHA131086:EHA131098 EQW131086:EQW131098 FAS131086:FAS131098 FKO131086:FKO131098 FUK131086:FUK131098 GEG131086:GEG131098 GOC131086:GOC131098 GXY131086:GXY131098 HHU131086:HHU131098 HRQ131086:HRQ131098 IBM131086:IBM131098 ILI131086:ILI131098 IVE131086:IVE131098 JFA131086:JFA131098 JOW131086:JOW131098 JYS131086:JYS131098 KIO131086:KIO131098 KSK131086:KSK131098 LCG131086:LCG131098 LMC131086:LMC131098 LVY131086:LVY131098 MFU131086:MFU131098 MPQ131086:MPQ131098 MZM131086:MZM131098 NJI131086:NJI131098 NTE131086:NTE131098 ODA131086:ODA131098 OMW131086:OMW131098 OWS131086:OWS131098 PGO131086:PGO131098 PQK131086:PQK131098 QAG131086:QAG131098 QKC131086:QKC131098 QTY131086:QTY131098 RDU131086:RDU131098 RNQ131086:RNQ131098 RXM131086:RXM131098 SHI131086:SHI131098 SRE131086:SRE131098 TBA131086:TBA131098 TKW131086:TKW131098 TUS131086:TUS131098 UEO131086:UEO131098 UOK131086:UOK131098 UYG131086:UYG131098 VIC131086:VIC131098 VRY131086:VRY131098 WBU131086:WBU131098 WLQ131086:WLQ131098 WVM131086:WVM131098 E196622:E196634 JA196622:JA196634 SW196622:SW196634 ACS196622:ACS196634 AMO196622:AMO196634 AWK196622:AWK196634 BGG196622:BGG196634 BQC196622:BQC196634 BZY196622:BZY196634 CJU196622:CJU196634 CTQ196622:CTQ196634 DDM196622:DDM196634 DNI196622:DNI196634 DXE196622:DXE196634 EHA196622:EHA196634 EQW196622:EQW196634 FAS196622:FAS196634 FKO196622:FKO196634 FUK196622:FUK196634 GEG196622:GEG196634 GOC196622:GOC196634 GXY196622:GXY196634 HHU196622:HHU196634 HRQ196622:HRQ196634 IBM196622:IBM196634 ILI196622:ILI196634 IVE196622:IVE196634 JFA196622:JFA196634 JOW196622:JOW196634 JYS196622:JYS196634 KIO196622:KIO196634 KSK196622:KSK196634 LCG196622:LCG196634 LMC196622:LMC196634 LVY196622:LVY196634 MFU196622:MFU196634 MPQ196622:MPQ196634 MZM196622:MZM196634 NJI196622:NJI196634 NTE196622:NTE196634 ODA196622:ODA196634 OMW196622:OMW196634 OWS196622:OWS196634 PGO196622:PGO196634 PQK196622:PQK196634 QAG196622:QAG196634 QKC196622:QKC196634 QTY196622:QTY196634 RDU196622:RDU196634 RNQ196622:RNQ196634 RXM196622:RXM196634 SHI196622:SHI196634 SRE196622:SRE196634 TBA196622:TBA196634 TKW196622:TKW196634 TUS196622:TUS196634 UEO196622:UEO196634 UOK196622:UOK196634 UYG196622:UYG196634 VIC196622:VIC196634 VRY196622:VRY196634 WBU196622:WBU196634 WLQ196622:WLQ196634 WVM196622:WVM196634 E262158:E262170 JA262158:JA262170 SW262158:SW262170 ACS262158:ACS262170 AMO262158:AMO262170 AWK262158:AWK262170 BGG262158:BGG262170 BQC262158:BQC262170 BZY262158:BZY262170 CJU262158:CJU262170 CTQ262158:CTQ262170 DDM262158:DDM262170 DNI262158:DNI262170 DXE262158:DXE262170 EHA262158:EHA262170 EQW262158:EQW262170 FAS262158:FAS262170 FKO262158:FKO262170 FUK262158:FUK262170 GEG262158:GEG262170 GOC262158:GOC262170 GXY262158:GXY262170 HHU262158:HHU262170 HRQ262158:HRQ262170 IBM262158:IBM262170 ILI262158:ILI262170 IVE262158:IVE262170 JFA262158:JFA262170 JOW262158:JOW262170 JYS262158:JYS262170 KIO262158:KIO262170 KSK262158:KSK262170 LCG262158:LCG262170 LMC262158:LMC262170 LVY262158:LVY262170 MFU262158:MFU262170 MPQ262158:MPQ262170 MZM262158:MZM262170 NJI262158:NJI262170 NTE262158:NTE262170 ODA262158:ODA262170 OMW262158:OMW262170 OWS262158:OWS262170 PGO262158:PGO262170 PQK262158:PQK262170 QAG262158:QAG262170 QKC262158:QKC262170 QTY262158:QTY262170 RDU262158:RDU262170 RNQ262158:RNQ262170 RXM262158:RXM262170 SHI262158:SHI262170 SRE262158:SRE262170 TBA262158:TBA262170 TKW262158:TKW262170 TUS262158:TUS262170 UEO262158:UEO262170 UOK262158:UOK262170 UYG262158:UYG262170 VIC262158:VIC262170 VRY262158:VRY262170 WBU262158:WBU262170 WLQ262158:WLQ262170 WVM262158:WVM262170 E327694:E327706 JA327694:JA327706 SW327694:SW327706 ACS327694:ACS327706 AMO327694:AMO327706 AWK327694:AWK327706 BGG327694:BGG327706 BQC327694:BQC327706 BZY327694:BZY327706 CJU327694:CJU327706 CTQ327694:CTQ327706 DDM327694:DDM327706 DNI327694:DNI327706 DXE327694:DXE327706 EHA327694:EHA327706 EQW327694:EQW327706 FAS327694:FAS327706 FKO327694:FKO327706 FUK327694:FUK327706 GEG327694:GEG327706 GOC327694:GOC327706 GXY327694:GXY327706 HHU327694:HHU327706 HRQ327694:HRQ327706 IBM327694:IBM327706 ILI327694:ILI327706 IVE327694:IVE327706 JFA327694:JFA327706 JOW327694:JOW327706 JYS327694:JYS327706 KIO327694:KIO327706 KSK327694:KSK327706 LCG327694:LCG327706 LMC327694:LMC327706 LVY327694:LVY327706 MFU327694:MFU327706 MPQ327694:MPQ327706 MZM327694:MZM327706 NJI327694:NJI327706 NTE327694:NTE327706 ODA327694:ODA327706 OMW327694:OMW327706 OWS327694:OWS327706 PGO327694:PGO327706 PQK327694:PQK327706 QAG327694:QAG327706 QKC327694:QKC327706 QTY327694:QTY327706 RDU327694:RDU327706 RNQ327694:RNQ327706 RXM327694:RXM327706 SHI327694:SHI327706 SRE327694:SRE327706 TBA327694:TBA327706 TKW327694:TKW327706 TUS327694:TUS327706 UEO327694:UEO327706 UOK327694:UOK327706 UYG327694:UYG327706 VIC327694:VIC327706 VRY327694:VRY327706 WBU327694:WBU327706 WLQ327694:WLQ327706 WVM327694:WVM327706 E393230:E393242 JA393230:JA393242 SW393230:SW393242 ACS393230:ACS393242 AMO393230:AMO393242 AWK393230:AWK393242 BGG393230:BGG393242 BQC393230:BQC393242 BZY393230:BZY393242 CJU393230:CJU393242 CTQ393230:CTQ393242 DDM393230:DDM393242 DNI393230:DNI393242 DXE393230:DXE393242 EHA393230:EHA393242 EQW393230:EQW393242 FAS393230:FAS393242 FKO393230:FKO393242 FUK393230:FUK393242 GEG393230:GEG393242 GOC393230:GOC393242 GXY393230:GXY393242 HHU393230:HHU393242 HRQ393230:HRQ393242 IBM393230:IBM393242 ILI393230:ILI393242 IVE393230:IVE393242 JFA393230:JFA393242 JOW393230:JOW393242 JYS393230:JYS393242 KIO393230:KIO393242 KSK393230:KSK393242 LCG393230:LCG393242 LMC393230:LMC393242 LVY393230:LVY393242 MFU393230:MFU393242 MPQ393230:MPQ393242 MZM393230:MZM393242 NJI393230:NJI393242 NTE393230:NTE393242 ODA393230:ODA393242 OMW393230:OMW393242 OWS393230:OWS393242 PGO393230:PGO393242 PQK393230:PQK393242 QAG393230:QAG393242 QKC393230:QKC393242 QTY393230:QTY393242 RDU393230:RDU393242 RNQ393230:RNQ393242 RXM393230:RXM393242 SHI393230:SHI393242 SRE393230:SRE393242 TBA393230:TBA393242 TKW393230:TKW393242 TUS393230:TUS393242 UEO393230:UEO393242 UOK393230:UOK393242 UYG393230:UYG393242 VIC393230:VIC393242 VRY393230:VRY393242 WBU393230:WBU393242 WLQ393230:WLQ393242 WVM393230:WVM393242 E458766:E458778 JA458766:JA458778 SW458766:SW458778 ACS458766:ACS458778 AMO458766:AMO458778 AWK458766:AWK458778 BGG458766:BGG458778 BQC458766:BQC458778 BZY458766:BZY458778 CJU458766:CJU458778 CTQ458766:CTQ458778 DDM458766:DDM458778 DNI458766:DNI458778 DXE458766:DXE458778 EHA458766:EHA458778 EQW458766:EQW458778 FAS458766:FAS458778 FKO458766:FKO458778 FUK458766:FUK458778 GEG458766:GEG458778 GOC458766:GOC458778 GXY458766:GXY458778 HHU458766:HHU458778 HRQ458766:HRQ458778 IBM458766:IBM458778 ILI458766:ILI458778 IVE458766:IVE458778 JFA458766:JFA458778 JOW458766:JOW458778 JYS458766:JYS458778 KIO458766:KIO458778 KSK458766:KSK458778 LCG458766:LCG458778 LMC458766:LMC458778 LVY458766:LVY458778 MFU458766:MFU458778 MPQ458766:MPQ458778 MZM458766:MZM458778 NJI458766:NJI458778 NTE458766:NTE458778 ODA458766:ODA458778 OMW458766:OMW458778 OWS458766:OWS458778 PGO458766:PGO458778 PQK458766:PQK458778 QAG458766:QAG458778 QKC458766:QKC458778 QTY458766:QTY458778 RDU458766:RDU458778 RNQ458766:RNQ458778 RXM458766:RXM458778 SHI458766:SHI458778 SRE458766:SRE458778 TBA458766:TBA458778 TKW458766:TKW458778 TUS458766:TUS458778 UEO458766:UEO458778 UOK458766:UOK458778 UYG458766:UYG458778 VIC458766:VIC458778 VRY458766:VRY458778 WBU458766:WBU458778 WLQ458766:WLQ458778 WVM458766:WVM458778 E524302:E524314 JA524302:JA524314 SW524302:SW524314 ACS524302:ACS524314 AMO524302:AMO524314 AWK524302:AWK524314 BGG524302:BGG524314 BQC524302:BQC524314 BZY524302:BZY524314 CJU524302:CJU524314 CTQ524302:CTQ524314 DDM524302:DDM524314 DNI524302:DNI524314 DXE524302:DXE524314 EHA524302:EHA524314 EQW524302:EQW524314 FAS524302:FAS524314 FKO524302:FKO524314 FUK524302:FUK524314 GEG524302:GEG524314 GOC524302:GOC524314 GXY524302:GXY524314 HHU524302:HHU524314 HRQ524302:HRQ524314 IBM524302:IBM524314 ILI524302:ILI524314 IVE524302:IVE524314 JFA524302:JFA524314 JOW524302:JOW524314 JYS524302:JYS524314 KIO524302:KIO524314 KSK524302:KSK524314 LCG524302:LCG524314 LMC524302:LMC524314 LVY524302:LVY524314 MFU524302:MFU524314 MPQ524302:MPQ524314 MZM524302:MZM524314 NJI524302:NJI524314 NTE524302:NTE524314 ODA524302:ODA524314 OMW524302:OMW524314 OWS524302:OWS524314 PGO524302:PGO524314 PQK524302:PQK524314 QAG524302:QAG524314 QKC524302:QKC524314 QTY524302:QTY524314 RDU524302:RDU524314 RNQ524302:RNQ524314 RXM524302:RXM524314 SHI524302:SHI524314 SRE524302:SRE524314 TBA524302:TBA524314 TKW524302:TKW524314 TUS524302:TUS524314 UEO524302:UEO524314 UOK524302:UOK524314 UYG524302:UYG524314 VIC524302:VIC524314 VRY524302:VRY524314 WBU524302:WBU524314 WLQ524302:WLQ524314 WVM524302:WVM524314 E589838:E589850 JA589838:JA589850 SW589838:SW589850 ACS589838:ACS589850 AMO589838:AMO589850 AWK589838:AWK589850 BGG589838:BGG589850 BQC589838:BQC589850 BZY589838:BZY589850 CJU589838:CJU589850 CTQ589838:CTQ589850 DDM589838:DDM589850 DNI589838:DNI589850 DXE589838:DXE589850 EHA589838:EHA589850 EQW589838:EQW589850 FAS589838:FAS589850 FKO589838:FKO589850 FUK589838:FUK589850 GEG589838:GEG589850 GOC589838:GOC589850 GXY589838:GXY589850 HHU589838:HHU589850 HRQ589838:HRQ589850 IBM589838:IBM589850 ILI589838:ILI589850 IVE589838:IVE589850 JFA589838:JFA589850 JOW589838:JOW589850 JYS589838:JYS589850 KIO589838:KIO589850 KSK589838:KSK589850 LCG589838:LCG589850 LMC589838:LMC589850 LVY589838:LVY589850 MFU589838:MFU589850 MPQ589838:MPQ589850 MZM589838:MZM589850 NJI589838:NJI589850 NTE589838:NTE589850 ODA589838:ODA589850 OMW589838:OMW589850 OWS589838:OWS589850 PGO589838:PGO589850 PQK589838:PQK589850 QAG589838:QAG589850 QKC589838:QKC589850 QTY589838:QTY589850 RDU589838:RDU589850 RNQ589838:RNQ589850 RXM589838:RXM589850 SHI589838:SHI589850 SRE589838:SRE589850 TBA589838:TBA589850 TKW589838:TKW589850 TUS589838:TUS589850 UEO589838:UEO589850 UOK589838:UOK589850 UYG589838:UYG589850 VIC589838:VIC589850 VRY589838:VRY589850 WBU589838:WBU589850 WLQ589838:WLQ589850 WVM589838:WVM589850 E655374:E655386 JA655374:JA655386 SW655374:SW655386 ACS655374:ACS655386 AMO655374:AMO655386 AWK655374:AWK655386 BGG655374:BGG655386 BQC655374:BQC655386 BZY655374:BZY655386 CJU655374:CJU655386 CTQ655374:CTQ655386 DDM655374:DDM655386 DNI655374:DNI655386 DXE655374:DXE655386 EHA655374:EHA655386 EQW655374:EQW655386 FAS655374:FAS655386 FKO655374:FKO655386 FUK655374:FUK655386 GEG655374:GEG655386 GOC655374:GOC655386 GXY655374:GXY655386 HHU655374:HHU655386 HRQ655374:HRQ655386 IBM655374:IBM655386 ILI655374:ILI655386 IVE655374:IVE655386 JFA655374:JFA655386 JOW655374:JOW655386 JYS655374:JYS655386 KIO655374:KIO655386 KSK655374:KSK655386 LCG655374:LCG655386 LMC655374:LMC655386 LVY655374:LVY655386 MFU655374:MFU655386 MPQ655374:MPQ655386 MZM655374:MZM655386 NJI655374:NJI655386 NTE655374:NTE655386 ODA655374:ODA655386 OMW655374:OMW655386 OWS655374:OWS655386 PGO655374:PGO655386 PQK655374:PQK655386 QAG655374:QAG655386 QKC655374:QKC655386 QTY655374:QTY655386 RDU655374:RDU655386 RNQ655374:RNQ655386 RXM655374:RXM655386 SHI655374:SHI655386 SRE655374:SRE655386 TBA655374:TBA655386 TKW655374:TKW655386 TUS655374:TUS655386 UEO655374:UEO655386 UOK655374:UOK655386 UYG655374:UYG655386 VIC655374:VIC655386 VRY655374:VRY655386 WBU655374:WBU655386 WLQ655374:WLQ655386 WVM655374:WVM655386 E720910:E720922 JA720910:JA720922 SW720910:SW720922 ACS720910:ACS720922 AMO720910:AMO720922 AWK720910:AWK720922 BGG720910:BGG720922 BQC720910:BQC720922 BZY720910:BZY720922 CJU720910:CJU720922 CTQ720910:CTQ720922 DDM720910:DDM720922 DNI720910:DNI720922 DXE720910:DXE720922 EHA720910:EHA720922 EQW720910:EQW720922 FAS720910:FAS720922 FKO720910:FKO720922 FUK720910:FUK720922 GEG720910:GEG720922 GOC720910:GOC720922 GXY720910:GXY720922 HHU720910:HHU720922 HRQ720910:HRQ720922 IBM720910:IBM720922 ILI720910:ILI720922 IVE720910:IVE720922 JFA720910:JFA720922 JOW720910:JOW720922 JYS720910:JYS720922 KIO720910:KIO720922 KSK720910:KSK720922 LCG720910:LCG720922 LMC720910:LMC720922 LVY720910:LVY720922 MFU720910:MFU720922 MPQ720910:MPQ720922 MZM720910:MZM720922 NJI720910:NJI720922 NTE720910:NTE720922 ODA720910:ODA720922 OMW720910:OMW720922 OWS720910:OWS720922 PGO720910:PGO720922 PQK720910:PQK720922 QAG720910:QAG720922 QKC720910:QKC720922 QTY720910:QTY720922 RDU720910:RDU720922 RNQ720910:RNQ720922 RXM720910:RXM720922 SHI720910:SHI720922 SRE720910:SRE720922 TBA720910:TBA720922 TKW720910:TKW720922 TUS720910:TUS720922 UEO720910:UEO720922 UOK720910:UOK720922 UYG720910:UYG720922 VIC720910:VIC720922 VRY720910:VRY720922 WBU720910:WBU720922 WLQ720910:WLQ720922 WVM720910:WVM720922 E786446:E786458 JA786446:JA786458 SW786446:SW786458 ACS786446:ACS786458 AMO786446:AMO786458 AWK786446:AWK786458 BGG786446:BGG786458 BQC786446:BQC786458 BZY786446:BZY786458 CJU786446:CJU786458 CTQ786446:CTQ786458 DDM786446:DDM786458 DNI786446:DNI786458 DXE786446:DXE786458 EHA786446:EHA786458 EQW786446:EQW786458 FAS786446:FAS786458 FKO786446:FKO786458 FUK786446:FUK786458 GEG786446:GEG786458 GOC786446:GOC786458 GXY786446:GXY786458 HHU786446:HHU786458 HRQ786446:HRQ786458 IBM786446:IBM786458 ILI786446:ILI786458 IVE786446:IVE786458 JFA786446:JFA786458 JOW786446:JOW786458 JYS786446:JYS786458 KIO786446:KIO786458 KSK786446:KSK786458 LCG786446:LCG786458 LMC786446:LMC786458 LVY786446:LVY786458 MFU786446:MFU786458 MPQ786446:MPQ786458 MZM786446:MZM786458 NJI786446:NJI786458 NTE786446:NTE786458 ODA786446:ODA786458 OMW786446:OMW786458 OWS786446:OWS786458 PGO786446:PGO786458 PQK786446:PQK786458 QAG786446:QAG786458 QKC786446:QKC786458 QTY786446:QTY786458 RDU786446:RDU786458 RNQ786446:RNQ786458 RXM786446:RXM786458 SHI786446:SHI786458 SRE786446:SRE786458 TBA786446:TBA786458 TKW786446:TKW786458 TUS786446:TUS786458 UEO786446:UEO786458 UOK786446:UOK786458 UYG786446:UYG786458 VIC786446:VIC786458 VRY786446:VRY786458 WBU786446:WBU786458 WLQ786446:WLQ786458 WVM786446:WVM786458 E851982:E851994 JA851982:JA851994 SW851982:SW851994 ACS851982:ACS851994 AMO851982:AMO851994 AWK851982:AWK851994 BGG851982:BGG851994 BQC851982:BQC851994 BZY851982:BZY851994 CJU851982:CJU851994 CTQ851982:CTQ851994 DDM851982:DDM851994 DNI851982:DNI851994 DXE851982:DXE851994 EHA851982:EHA851994 EQW851982:EQW851994 FAS851982:FAS851994 FKO851982:FKO851994 FUK851982:FUK851994 GEG851982:GEG851994 GOC851982:GOC851994 GXY851982:GXY851994 HHU851982:HHU851994 HRQ851982:HRQ851994 IBM851982:IBM851994 ILI851982:ILI851994 IVE851982:IVE851994 JFA851982:JFA851994 JOW851982:JOW851994 JYS851982:JYS851994 KIO851982:KIO851994 KSK851982:KSK851994 LCG851982:LCG851994 LMC851982:LMC851994 LVY851982:LVY851994 MFU851982:MFU851994 MPQ851982:MPQ851994 MZM851982:MZM851994 NJI851982:NJI851994 NTE851982:NTE851994 ODA851982:ODA851994 OMW851982:OMW851994 OWS851982:OWS851994 PGO851982:PGO851994 PQK851982:PQK851994 QAG851982:QAG851994 QKC851982:QKC851994 QTY851982:QTY851994 RDU851982:RDU851994 RNQ851982:RNQ851994 RXM851982:RXM851994 SHI851982:SHI851994 SRE851982:SRE851994 TBA851982:TBA851994 TKW851982:TKW851994 TUS851982:TUS851994 UEO851982:UEO851994 UOK851982:UOK851994 UYG851982:UYG851994 VIC851982:VIC851994 VRY851982:VRY851994 WBU851982:WBU851994 WLQ851982:WLQ851994 WVM851982:WVM851994 E917518:E917530 JA917518:JA917530 SW917518:SW917530 ACS917518:ACS917530 AMO917518:AMO917530 AWK917518:AWK917530 BGG917518:BGG917530 BQC917518:BQC917530 BZY917518:BZY917530 CJU917518:CJU917530 CTQ917518:CTQ917530 DDM917518:DDM917530 DNI917518:DNI917530 DXE917518:DXE917530 EHA917518:EHA917530 EQW917518:EQW917530 FAS917518:FAS917530 FKO917518:FKO917530 FUK917518:FUK917530 GEG917518:GEG917530 GOC917518:GOC917530 GXY917518:GXY917530 HHU917518:HHU917530 HRQ917518:HRQ917530 IBM917518:IBM917530 ILI917518:ILI917530 IVE917518:IVE917530 JFA917518:JFA917530 JOW917518:JOW917530 JYS917518:JYS917530 KIO917518:KIO917530 KSK917518:KSK917530 LCG917518:LCG917530 LMC917518:LMC917530 LVY917518:LVY917530 MFU917518:MFU917530 MPQ917518:MPQ917530 MZM917518:MZM917530 NJI917518:NJI917530 NTE917518:NTE917530 ODA917518:ODA917530 OMW917518:OMW917530 OWS917518:OWS917530 PGO917518:PGO917530 PQK917518:PQK917530 QAG917518:QAG917530 QKC917518:QKC917530 QTY917518:QTY917530 RDU917518:RDU917530 RNQ917518:RNQ917530 RXM917518:RXM917530 SHI917518:SHI917530 SRE917518:SRE917530 TBA917518:TBA917530 TKW917518:TKW917530 TUS917518:TUS917530 UEO917518:UEO917530 UOK917518:UOK917530 UYG917518:UYG917530 VIC917518:VIC917530 VRY917518:VRY917530 WBU917518:WBU917530 WLQ917518:WLQ917530 WVM917518:WVM917530 E983054:E983066 JA983054:JA983066 SW983054:SW983066 ACS983054:ACS983066 AMO983054:AMO983066 AWK983054:AWK983066 BGG983054:BGG983066 BQC983054:BQC983066 BZY983054:BZY983066 CJU983054:CJU983066 CTQ983054:CTQ983066 DDM983054:DDM983066 DNI983054:DNI983066 DXE983054:DXE983066 EHA983054:EHA983066 EQW983054:EQW983066 FAS983054:FAS983066 FKO983054:FKO983066 FUK983054:FUK983066 GEG983054:GEG983066 GOC983054:GOC983066 GXY983054:GXY983066 HHU983054:HHU983066 HRQ983054:HRQ983066 IBM983054:IBM983066 ILI983054:ILI983066 IVE983054:IVE983066 JFA983054:JFA983066 JOW983054:JOW983066 JYS983054:JYS983066 KIO983054:KIO983066 KSK983054:KSK983066 LCG983054:LCG983066 LMC983054:LMC983066 LVY983054:LVY983066 MFU983054:MFU983066 MPQ983054:MPQ983066 MZM983054:MZM983066 NJI983054:NJI983066 NTE983054:NTE983066 ODA983054:ODA983066 OMW983054:OMW983066 OWS983054:OWS983066 PGO983054:PGO983066 PQK983054:PQK983066 QAG983054:QAG983066 QKC983054:QKC983066 QTY983054:QTY983066 RDU983054:RDU983066 RNQ983054:RNQ983066 RXM983054:RXM983066 SHI983054:SHI983066 SRE983054:SRE983066 TBA983054:TBA983066 TKW983054:TKW983066 TUS983054:TUS983066 UEO983054:UEO983066 UOK983054:UOK983066 UYG983054:UYG983066 VIC983054:VIC983066 VRY983054:VRY983066 WBU983054:WBU983066 WLQ983054:WLQ983066 WVM983054:WVM983066 E79:E80 JA79:JA80 SW79:SW80 ACS79:ACS80 AMO79:AMO80 AWK79:AWK80 BGG79:BGG80 BQC79:BQC80 BZY79:BZY80 CJU79:CJU80 CTQ79:CTQ80 DDM79:DDM80 DNI79:DNI80 DXE79:DXE80 EHA79:EHA80 EQW79:EQW80 FAS79:FAS80 FKO79:FKO80 FUK79:FUK80 GEG79:GEG80 GOC79:GOC80 GXY79:GXY80 HHU79:HHU80 HRQ79:HRQ80 IBM79:IBM80 ILI79:ILI80 IVE79:IVE80 JFA79:JFA80 JOW79:JOW80 JYS79:JYS80 KIO79:KIO80 KSK79:KSK80 LCG79:LCG80 LMC79:LMC80 LVY79:LVY80 MFU79:MFU80 MPQ79:MPQ80 MZM79:MZM80 NJI79:NJI80 NTE79:NTE80 ODA79:ODA80 OMW79:OMW80 OWS79:OWS80 PGO79:PGO80 PQK79:PQK80 QAG79:QAG80 QKC79:QKC80 QTY79:QTY80 RDU79:RDU80 RNQ79:RNQ80 RXM79:RXM80 SHI79:SHI80 SRE79:SRE80 TBA79:TBA80 TKW79:TKW80 TUS79:TUS80 UEO79:UEO80 UOK79:UOK80 UYG79:UYG80 VIC79:VIC80 VRY79:VRY80 WBU79:WBU80 WLQ79:WLQ80 WVM79:WVM80 E65615:E65616 JA65615:JA65616 SW65615:SW65616 ACS65615:ACS65616 AMO65615:AMO65616 AWK65615:AWK65616 BGG65615:BGG65616 BQC65615:BQC65616 BZY65615:BZY65616 CJU65615:CJU65616 CTQ65615:CTQ65616 DDM65615:DDM65616 DNI65615:DNI65616 DXE65615:DXE65616 EHA65615:EHA65616 EQW65615:EQW65616 FAS65615:FAS65616 FKO65615:FKO65616 FUK65615:FUK65616 GEG65615:GEG65616 GOC65615:GOC65616 GXY65615:GXY65616 HHU65615:HHU65616 HRQ65615:HRQ65616 IBM65615:IBM65616 ILI65615:ILI65616 IVE65615:IVE65616 JFA65615:JFA65616 JOW65615:JOW65616 JYS65615:JYS65616 KIO65615:KIO65616 KSK65615:KSK65616 LCG65615:LCG65616 LMC65615:LMC65616 LVY65615:LVY65616 MFU65615:MFU65616 MPQ65615:MPQ65616 MZM65615:MZM65616 NJI65615:NJI65616 NTE65615:NTE65616 ODA65615:ODA65616 OMW65615:OMW65616 OWS65615:OWS65616 PGO65615:PGO65616 PQK65615:PQK65616 QAG65615:QAG65616 QKC65615:QKC65616 QTY65615:QTY65616 RDU65615:RDU65616 RNQ65615:RNQ65616 RXM65615:RXM65616 SHI65615:SHI65616 SRE65615:SRE65616 TBA65615:TBA65616 TKW65615:TKW65616 TUS65615:TUS65616 UEO65615:UEO65616 UOK65615:UOK65616 UYG65615:UYG65616 VIC65615:VIC65616 VRY65615:VRY65616 WBU65615:WBU65616 WLQ65615:WLQ65616 WVM65615:WVM65616 E131151:E131152 JA131151:JA131152 SW131151:SW131152 ACS131151:ACS131152 AMO131151:AMO131152 AWK131151:AWK131152 BGG131151:BGG131152 BQC131151:BQC131152 BZY131151:BZY131152 CJU131151:CJU131152 CTQ131151:CTQ131152 DDM131151:DDM131152 DNI131151:DNI131152 DXE131151:DXE131152 EHA131151:EHA131152 EQW131151:EQW131152 FAS131151:FAS131152 FKO131151:FKO131152 FUK131151:FUK131152 GEG131151:GEG131152 GOC131151:GOC131152 GXY131151:GXY131152 HHU131151:HHU131152 HRQ131151:HRQ131152 IBM131151:IBM131152 ILI131151:ILI131152 IVE131151:IVE131152 JFA131151:JFA131152 JOW131151:JOW131152 JYS131151:JYS131152 KIO131151:KIO131152 KSK131151:KSK131152 LCG131151:LCG131152 LMC131151:LMC131152 LVY131151:LVY131152 MFU131151:MFU131152 MPQ131151:MPQ131152 MZM131151:MZM131152 NJI131151:NJI131152 NTE131151:NTE131152 ODA131151:ODA131152 OMW131151:OMW131152 OWS131151:OWS131152 PGO131151:PGO131152 PQK131151:PQK131152 QAG131151:QAG131152 QKC131151:QKC131152 QTY131151:QTY131152 RDU131151:RDU131152 RNQ131151:RNQ131152 RXM131151:RXM131152 SHI131151:SHI131152 SRE131151:SRE131152 TBA131151:TBA131152 TKW131151:TKW131152 TUS131151:TUS131152 UEO131151:UEO131152 UOK131151:UOK131152 UYG131151:UYG131152 VIC131151:VIC131152 VRY131151:VRY131152 WBU131151:WBU131152 WLQ131151:WLQ131152 WVM131151:WVM131152 E196687:E196688 JA196687:JA196688 SW196687:SW196688 ACS196687:ACS196688 AMO196687:AMO196688 AWK196687:AWK196688 BGG196687:BGG196688 BQC196687:BQC196688 BZY196687:BZY196688 CJU196687:CJU196688 CTQ196687:CTQ196688 DDM196687:DDM196688 DNI196687:DNI196688 DXE196687:DXE196688 EHA196687:EHA196688 EQW196687:EQW196688 FAS196687:FAS196688 FKO196687:FKO196688 FUK196687:FUK196688 GEG196687:GEG196688 GOC196687:GOC196688 GXY196687:GXY196688 HHU196687:HHU196688 HRQ196687:HRQ196688 IBM196687:IBM196688 ILI196687:ILI196688 IVE196687:IVE196688 JFA196687:JFA196688 JOW196687:JOW196688 JYS196687:JYS196688 KIO196687:KIO196688 KSK196687:KSK196688 LCG196687:LCG196688 LMC196687:LMC196688 LVY196687:LVY196688 MFU196687:MFU196688 MPQ196687:MPQ196688 MZM196687:MZM196688 NJI196687:NJI196688 NTE196687:NTE196688 ODA196687:ODA196688 OMW196687:OMW196688 OWS196687:OWS196688 PGO196687:PGO196688 PQK196687:PQK196688 QAG196687:QAG196688 QKC196687:QKC196688 QTY196687:QTY196688 RDU196687:RDU196688 RNQ196687:RNQ196688 RXM196687:RXM196688 SHI196687:SHI196688 SRE196687:SRE196688 TBA196687:TBA196688 TKW196687:TKW196688 TUS196687:TUS196688 UEO196687:UEO196688 UOK196687:UOK196688 UYG196687:UYG196688 VIC196687:VIC196688 VRY196687:VRY196688 WBU196687:WBU196688 WLQ196687:WLQ196688 WVM196687:WVM196688 E262223:E262224 JA262223:JA262224 SW262223:SW262224 ACS262223:ACS262224 AMO262223:AMO262224 AWK262223:AWK262224 BGG262223:BGG262224 BQC262223:BQC262224 BZY262223:BZY262224 CJU262223:CJU262224 CTQ262223:CTQ262224 DDM262223:DDM262224 DNI262223:DNI262224 DXE262223:DXE262224 EHA262223:EHA262224 EQW262223:EQW262224 FAS262223:FAS262224 FKO262223:FKO262224 FUK262223:FUK262224 GEG262223:GEG262224 GOC262223:GOC262224 GXY262223:GXY262224 HHU262223:HHU262224 HRQ262223:HRQ262224 IBM262223:IBM262224 ILI262223:ILI262224 IVE262223:IVE262224 JFA262223:JFA262224 JOW262223:JOW262224 JYS262223:JYS262224 KIO262223:KIO262224 KSK262223:KSK262224 LCG262223:LCG262224 LMC262223:LMC262224 LVY262223:LVY262224 MFU262223:MFU262224 MPQ262223:MPQ262224 MZM262223:MZM262224 NJI262223:NJI262224 NTE262223:NTE262224 ODA262223:ODA262224 OMW262223:OMW262224 OWS262223:OWS262224 PGO262223:PGO262224 PQK262223:PQK262224 QAG262223:QAG262224 QKC262223:QKC262224 QTY262223:QTY262224 RDU262223:RDU262224 RNQ262223:RNQ262224 RXM262223:RXM262224 SHI262223:SHI262224 SRE262223:SRE262224 TBA262223:TBA262224 TKW262223:TKW262224 TUS262223:TUS262224 UEO262223:UEO262224 UOK262223:UOK262224 UYG262223:UYG262224 VIC262223:VIC262224 VRY262223:VRY262224 WBU262223:WBU262224 WLQ262223:WLQ262224 WVM262223:WVM262224 E327759:E327760 JA327759:JA327760 SW327759:SW327760 ACS327759:ACS327760 AMO327759:AMO327760 AWK327759:AWK327760 BGG327759:BGG327760 BQC327759:BQC327760 BZY327759:BZY327760 CJU327759:CJU327760 CTQ327759:CTQ327760 DDM327759:DDM327760 DNI327759:DNI327760 DXE327759:DXE327760 EHA327759:EHA327760 EQW327759:EQW327760 FAS327759:FAS327760 FKO327759:FKO327760 FUK327759:FUK327760 GEG327759:GEG327760 GOC327759:GOC327760 GXY327759:GXY327760 HHU327759:HHU327760 HRQ327759:HRQ327760 IBM327759:IBM327760 ILI327759:ILI327760 IVE327759:IVE327760 JFA327759:JFA327760 JOW327759:JOW327760 JYS327759:JYS327760 KIO327759:KIO327760 KSK327759:KSK327760 LCG327759:LCG327760 LMC327759:LMC327760 LVY327759:LVY327760 MFU327759:MFU327760 MPQ327759:MPQ327760 MZM327759:MZM327760 NJI327759:NJI327760 NTE327759:NTE327760 ODA327759:ODA327760 OMW327759:OMW327760 OWS327759:OWS327760 PGO327759:PGO327760 PQK327759:PQK327760 QAG327759:QAG327760 QKC327759:QKC327760 QTY327759:QTY327760 RDU327759:RDU327760 RNQ327759:RNQ327760 RXM327759:RXM327760 SHI327759:SHI327760 SRE327759:SRE327760 TBA327759:TBA327760 TKW327759:TKW327760 TUS327759:TUS327760 UEO327759:UEO327760 UOK327759:UOK327760 UYG327759:UYG327760 VIC327759:VIC327760 VRY327759:VRY327760 WBU327759:WBU327760 WLQ327759:WLQ327760 WVM327759:WVM327760 E393295:E393296 JA393295:JA393296 SW393295:SW393296 ACS393295:ACS393296 AMO393295:AMO393296 AWK393295:AWK393296 BGG393295:BGG393296 BQC393295:BQC393296 BZY393295:BZY393296 CJU393295:CJU393296 CTQ393295:CTQ393296 DDM393295:DDM393296 DNI393295:DNI393296 DXE393295:DXE393296 EHA393295:EHA393296 EQW393295:EQW393296 FAS393295:FAS393296 FKO393295:FKO393296 FUK393295:FUK393296 GEG393295:GEG393296 GOC393295:GOC393296 GXY393295:GXY393296 HHU393295:HHU393296 HRQ393295:HRQ393296 IBM393295:IBM393296 ILI393295:ILI393296 IVE393295:IVE393296 JFA393295:JFA393296 JOW393295:JOW393296 JYS393295:JYS393296 KIO393295:KIO393296 KSK393295:KSK393296 LCG393295:LCG393296 LMC393295:LMC393296 LVY393295:LVY393296 MFU393295:MFU393296 MPQ393295:MPQ393296 MZM393295:MZM393296 NJI393295:NJI393296 NTE393295:NTE393296 ODA393295:ODA393296 OMW393295:OMW393296 OWS393295:OWS393296 PGO393295:PGO393296 PQK393295:PQK393296 QAG393295:QAG393296 QKC393295:QKC393296 QTY393295:QTY393296 RDU393295:RDU393296 RNQ393295:RNQ393296 RXM393295:RXM393296 SHI393295:SHI393296 SRE393295:SRE393296 TBA393295:TBA393296 TKW393295:TKW393296 TUS393295:TUS393296 UEO393295:UEO393296 UOK393295:UOK393296 UYG393295:UYG393296 VIC393295:VIC393296 VRY393295:VRY393296 WBU393295:WBU393296 WLQ393295:WLQ393296 WVM393295:WVM393296 E458831:E458832 JA458831:JA458832 SW458831:SW458832 ACS458831:ACS458832 AMO458831:AMO458832 AWK458831:AWK458832 BGG458831:BGG458832 BQC458831:BQC458832 BZY458831:BZY458832 CJU458831:CJU458832 CTQ458831:CTQ458832 DDM458831:DDM458832 DNI458831:DNI458832 DXE458831:DXE458832 EHA458831:EHA458832 EQW458831:EQW458832 FAS458831:FAS458832 FKO458831:FKO458832 FUK458831:FUK458832 GEG458831:GEG458832 GOC458831:GOC458832 GXY458831:GXY458832 HHU458831:HHU458832 HRQ458831:HRQ458832 IBM458831:IBM458832 ILI458831:ILI458832 IVE458831:IVE458832 JFA458831:JFA458832 JOW458831:JOW458832 JYS458831:JYS458832 KIO458831:KIO458832 KSK458831:KSK458832 LCG458831:LCG458832 LMC458831:LMC458832 LVY458831:LVY458832 MFU458831:MFU458832 MPQ458831:MPQ458832 MZM458831:MZM458832 NJI458831:NJI458832 NTE458831:NTE458832 ODA458831:ODA458832 OMW458831:OMW458832 OWS458831:OWS458832 PGO458831:PGO458832 PQK458831:PQK458832 QAG458831:QAG458832 QKC458831:QKC458832 QTY458831:QTY458832 RDU458831:RDU458832 RNQ458831:RNQ458832 RXM458831:RXM458832 SHI458831:SHI458832 SRE458831:SRE458832 TBA458831:TBA458832 TKW458831:TKW458832 TUS458831:TUS458832 UEO458831:UEO458832 UOK458831:UOK458832 UYG458831:UYG458832 VIC458831:VIC458832 VRY458831:VRY458832 WBU458831:WBU458832 WLQ458831:WLQ458832 WVM458831:WVM458832 E524367:E524368 JA524367:JA524368 SW524367:SW524368 ACS524367:ACS524368 AMO524367:AMO524368 AWK524367:AWK524368 BGG524367:BGG524368 BQC524367:BQC524368 BZY524367:BZY524368 CJU524367:CJU524368 CTQ524367:CTQ524368 DDM524367:DDM524368 DNI524367:DNI524368 DXE524367:DXE524368 EHA524367:EHA524368 EQW524367:EQW524368 FAS524367:FAS524368 FKO524367:FKO524368 FUK524367:FUK524368 GEG524367:GEG524368 GOC524367:GOC524368 GXY524367:GXY524368 HHU524367:HHU524368 HRQ524367:HRQ524368 IBM524367:IBM524368 ILI524367:ILI524368 IVE524367:IVE524368 JFA524367:JFA524368 JOW524367:JOW524368 JYS524367:JYS524368 KIO524367:KIO524368 KSK524367:KSK524368 LCG524367:LCG524368 LMC524367:LMC524368 LVY524367:LVY524368 MFU524367:MFU524368 MPQ524367:MPQ524368 MZM524367:MZM524368 NJI524367:NJI524368 NTE524367:NTE524368 ODA524367:ODA524368 OMW524367:OMW524368 OWS524367:OWS524368 PGO524367:PGO524368 PQK524367:PQK524368 QAG524367:QAG524368 QKC524367:QKC524368 QTY524367:QTY524368 RDU524367:RDU524368 RNQ524367:RNQ524368 RXM524367:RXM524368 SHI524367:SHI524368 SRE524367:SRE524368 TBA524367:TBA524368 TKW524367:TKW524368 TUS524367:TUS524368 UEO524367:UEO524368 UOK524367:UOK524368 UYG524367:UYG524368 VIC524367:VIC524368 VRY524367:VRY524368 WBU524367:WBU524368 WLQ524367:WLQ524368 WVM524367:WVM524368 E589903:E589904 JA589903:JA589904 SW589903:SW589904 ACS589903:ACS589904 AMO589903:AMO589904 AWK589903:AWK589904 BGG589903:BGG589904 BQC589903:BQC589904 BZY589903:BZY589904 CJU589903:CJU589904 CTQ589903:CTQ589904 DDM589903:DDM589904 DNI589903:DNI589904 DXE589903:DXE589904 EHA589903:EHA589904 EQW589903:EQW589904 FAS589903:FAS589904 FKO589903:FKO589904 FUK589903:FUK589904 GEG589903:GEG589904 GOC589903:GOC589904 GXY589903:GXY589904 HHU589903:HHU589904 HRQ589903:HRQ589904 IBM589903:IBM589904 ILI589903:ILI589904 IVE589903:IVE589904 JFA589903:JFA589904 JOW589903:JOW589904 JYS589903:JYS589904 KIO589903:KIO589904 KSK589903:KSK589904 LCG589903:LCG589904 LMC589903:LMC589904 LVY589903:LVY589904 MFU589903:MFU589904 MPQ589903:MPQ589904 MZM589903:MZM589904 NJI589903:NJI589904 NTE589903:NTE589904 ODA589903:ODA589904 OMW589903:OMW589904 OWS589903:OWS589904 PGO589903:PGO589904 PQK589903:PQK589904 QAG589903:QAG589904 QKC589903:QKC589904 QTY589903:QTY589904 RDU589903:RDU589904 RNQ589903:RNQ589904 RXM589903:RXM589904 SHI589903:SHI589904 SRE589903:SRE589904 TBA589903:TBA589904 TKW589903:TKW589904 TUS589903:TUS589904 UEO589903:UEO589904 UOK589903:UOK589904 UYG589903:UYG589904 VIC589903:VIC589904 VRY589903:VRY589904 WBU589903:WBU589904 WLQ589903:WLQ589904 WVM589903:WVM589904 E655439:E655440 JA655439:JA655440 SW655439:SW655440 ACS655439:ACS655440 AMO655439:AMO655440 AWK655439:AWK655440 BGG655439:BGG655440 BQC655439:BQC655440 BZY655439:BZY655440 CJU655439:CJU655440 CTQ655439:CTQ655440 DDM655439:DDM655440 DNI655439:DNI655440 DXE655439:DXE655440 EHA655439:EHA655440 EQW655439:EQW655440 FAS655439:FAS655440 FKO655439:FKO655440 FUK655439:FUK655440 GEG655439:GEG655440 GOC655439:GOC655440 GXY655439:GXY655440 HHU655439:HHU655440 HRQ655439:HRQ655440 IBM655439:IBM655440 ILI655439:ILI655440 IVE655439:IVE655440 JFA655439:JFA655440 JOW655439:JOW655440 JYS655439:JYS655440 KIO655439:KIO655440 KSK655439:KSK655440 LCG655439:LCG655440 LMC655439:LMC655440 LVY655439:LVY655440 MFU655439:MFU655440 MPQ655439:MPQ655440 MZM655439:MZM655440 NJI655439:NJI655440 NTE655439:NTE655440 ODA655439:ODA655440 OMW655439:OMW655440 OWS655439:OWS655440 PGO655439:PGO655440 PQK655439:PQK655440 QAG655439:QAG655440 QKC655439:QKC655440 QTY655439:QTY655440 RDU655439:RDU655440 RNQ655439:RNQ655440 RXM655439:RXM655440 SHI655439:SHI655440 SRE655439:SRE655440 TBA655439:TBA655440 TKW655439:TKW655440 TUS655439:TUS655440 UEO655439:UEO655440 UOK655439:UOK655440 UYG655439:UYG655440 VIC655439:VIC655440 VRY655439:VRY655440 WBU655439:WBU655440 WLQ655439:WLQ655440 WVM655439:WVM655440 E720975:E720976 JA720975:JA720976 SW720975:SW720976 ACS720975:ACS720976 AMO720975:AMO720976 AWK720975:AWK720976 BGG720975:BGG720976 BQC720975:BQC720976 BZY720975:BZY720976 CJU720975:CJU720976 CTQ720975:CTQ720976 DDM720975:DDM720976 DNI720975:DNI720976 DXE720975:DXE720976 EHA720975:EHA720976 EQW720975:EQW720976 FAS720975:FAS720976 FKO720975:FKO720976 FUK720975:FUK720976 GEG720975:GEG720976 GOC720975:GOC720976 GXY720975:GXY720976 HHU720975:HHU720976 HRQ720975:HRQ720976 IBM720975:IBM720976 ILI720975:ILI720976 IVE720975:IVE720976 JFA720975:JFA720976 JOW720975:JOW720976 JYS720975:JYS720976 KIO720975:KIO720976 KSK720975:KSK720976 LCG720975:LCG720976 LMC720975:LMC720976 LVY720975:LVY720976 MFU720975:MFU720976 MPQ720975:MPQ720976 MZM720975:MZM720976 NJI720975:NJI720976 NTE720975:NTE720976 ODA720975:ODA720976 OMW720975:OMW720976 OWS720975:OWS720976 PGO720975:PGO720976 PQK720975:PQK720976 QAG720975:QAG720976 QKC720975:QKC720976 QTY720975:QTY720976 RDU720975:RDU720976 RNQ720975:RNQ720976 RXM720975:RXM720976 SHI720975:SHI720976 SRE720975:SRE720976 TBA720975:TBA720976 TKW720975:TKW720976 TUS720975:TUS720976 UEO720975:UEO720976 UOK720975:UOK720976 UYG720975:UYG720976 VIC720975:VIC720976 VRY720975:VRY720976 WBU720975:WBU720976 WLQ720975:WLQ720976 WVM720975:WVM720976 E786511:E786512 JA786511:JA786512 SW786511:SW786512 ACS786511:ACS786512 AMO786511:AMO786512 AWK786511:AWK786512 BGG786511:BGG786512 BQC786511:BQC786512 BZY786511:BZY786512 CJU786511:CJU786512 CTQ786511:CTQ786512 DDM786511:DDM786512 DNI786511:DNI786512 DXE786511:DXE786512 EHA786511:EHA786512 EQW786511:EQW786512 FAS786511:FAS786512 FKO786511:FKO786512 FUK786511:FUK786512 GEG786511:GEG786512 GOC786511:GOC786512 GXY786511:GXY786512 HHU786511:HHU786512 HRQ786511:HRQ786512 IBM786511:IBM786512 ILI786511:ILI786512 IVE786511:IVE786512 JFA786511:JFA786512 JOW786511:JOW786512 JYS786511:JYS786512 KIO786511:KIO786512 KSK786511:KSK786512 LCG786511:LCG786512 LMC786511:LMC786512 LVY786511:LVY786512 MFU786511:MFU786512 MPQ786511:MPQ786512 MZM786511:MZM786512 NJI786511:NJI786512 NTE786511:NTE786512 ODA786511:ODA786512 OMW786511:OMW786512 OWS786511:OWS786512 PGO786511:PGO786512 PQK786511:PQK786512 QAG786511:QAG786512 QKC786511:QKC786512 QTY786511:QTY786512 RDU786511:RDU786512 RNQ786511:RNQ786512 RXM786511:RXM786512 SHI786511:SHI786512 SRE786511:SRE786512 TBA786511:TBA786512 TKW786511:TKW786512 TUS786511:TUS786512 UEO786511:UEO786512 UOK786511:UOK786512 UYG786511:UYG786512 VIC786511:VIC786512 VRY786511:VRY786512 WBU786511:WBU786512 WLQ786511:WLQ786512 WVM786511:WVM786512 E852047:E852048 JA852047:JA852048 SW852047:SW852048 ACS852047:ACS852048 AMO852047:AMO852048 AWK852047:AWK852048 BGG852047:BGG852048 BQC852047:BQC852048 BZY852047:BZY852048 CJU852047:CJU852048 CTQ852047:CTQ852048 DDM852047:DDM852048 DNI852047:DNI852048 DXE852047:DXE852048 EHA852047:EHA852048 EQW852047:EQW852048 FAS852047:FAS852048 FKO852047:FKO852048 FUK852047:FUK852048 GEG852047:GEG852048 GOC852047:GOC852048 GXY852047:GXY852048 HHU852047:HHU852048 HRQ852047:HRQ852048 IBM852047:IBM852048 ILI852047:ILI852048 IVE852047:IVE852048 JFA852047:JFA852048 JOW852047:JOW852048 JYS852047:JYS852048 KIO852047:KIO852048 KSK852047:KSK852048 LCG852047:LCG852048 LMC852047:LMC852048 LVY852047:LVY852048 MFU852047:MFU852048 MPQ852047:MPQ852048 MZM852047:MZM852048 NJI852047:NJI852048 NTE852047:NTE852048 ODA852047:ODA852048 OMW852047:OMW852048 OWS852047:OWS852048 PGO852047:PGO852048 PQK852047:PQK852048 QAG852047:QAG852048 QKC852047:QKC852048 QTY852047:QTY852048 RDU852047:RDU852048 RNQ852047:RNQ852048 RXM852047:RXM852048 SHI852047:SHI852048 SRE852047:SRE852048 TBA852047:TBA852048 TKW852047:TKW852048 TUS852047:TUS852048 UEO852047:UEO852048 UOK852047:UOK852048 UYG852047:UYG852048 VIC852047:VIC852048 VRY852047:VRY852048 WBU852047:WBU852048 WLQ852047:WLQ852048 WVM852047:WVM852048 E917583:E917584 JA917583:JA917584 SW917583:SW917584 ACS917583:ACS917584 AMO917583:AMO917584 AWK917583:AWK917584 BGG917583:BGG917584 BQC917583:BQC917584 BZY917583:BZY917584 CJU917583:CJU917584 CTQ917583:CTQ917584 DDM917583:DDM917584 DNI917583:DNI917584 DXE917583:DXE917584 EHA917583:EHA917584 EQW917583:EQW917584 FAS917583:FAS917584 FKO917583:FKO917584 FUK917583:FUK917584 GEG917583:GEG917584 GOC917583:GOC917584 GXY917583:GXY917584 HHU917583:HHU917584 HRQ917583:HRQ917584 IBM917583:IBM917584 ILI917583:ILI917584 IVE917583:IVE917584 JFA917583:JFA917584 JOW917583:JOW917584 JYS917583:JYS917584 KIO917583:KIO917584 KSK917583:KSK917584 LCG917583:LCG917584 LMC917583:LMC917584 LVY917583:LVY917584 MFU917583:MFU917584 MPQ917583:MPQ917584 MZM917583:MZM917584 NJI917583:NJI917584 NTE917583:NTE917584 ODA917583:ODA917584 OMW917583:OMW917584 OWS917583:OWS917584 PGO917583:PGO917584 PQK917583:PQK917584 QAG917583:QAG917584 QKC917583:QKC917584 QTY917583:QTY917584 RDU917583:RDU917584 RNQ917583:RNQ917584 RXM917583:RXM917584 SHI917583:SHI917584 SRE917583:SRE917584 TBA917583:TBA917584 TKW917583:TKW917584 TUS917583:TUS917584 UEO917583:UEO917584 UOK917583:UOK917584 UYG917583:UYG917584 VIC917583:VIC917584 VRY917583:VRY917584 WBU917583:WBU917584 WLQ917583:WLQ917584 WVM917583:WVM917584 E983119:E983120 JA983119:JA983120 SW983119:SW983120 ACS983119:ACS983120 AMO983119:AMO983120 AWK983119:AWK983120 BGG983119:BGG983120 BQC983119:BQC983120 BZY983119:BZY983120 CJU983119:CJU983120 CTQ983119:CTQ983120 DDM983119:DDM983120 DNI983119:DNI983120 DXE983119:DXE983120 EHA983119:EHA983120 EQW983119:EQW983120 FAS983119:FAS983120 FKO983119:FKO983120 FUK983119:FUK983120 GEG983119:GEG983120 GOC983119:GOC983120 GXY983119:GXY983120 HHU983119:HHU983120 HRQ983119:HRQ983120 IBM983119:IBM983120 ILI983119:ILI983120 IVE983119:IVE983120 JFA983119:JFA983120 JOW983119:JOW983120 JYS983119:JYS983120 KIO983119:KIO983120 KSK983119:KSK983120 LCG983119:LCG983120 LMC983119:LMC983120 LVY983119:LVY983120 MFU983119:MFU983120 MPQ983119:MPQ983120 MZM983119:MZM983120 NJI983119:NJI983120 NTE983119:NTE983120 ODA983119:ODA983120 OMW983119:OMW983120 OWS983119:OWS983120 PGO983119:PGO983120 PQK983119:PQK983120 QAG983119:QAG983120 QKC983119:QKC983120 QTY983119:QTY983120 RDU983119:RDU983120 RNQ983119:RNQ983120 RXM983119:RXM983120 SHI983119:SHI983120 SRE983119:SRE983120 TBA983119:TBA983120 TKW983119:TKW983120 TUS983119:TUS983120 UEO983119:UEO983120 UOK983119:UOK983120 UYG983119:UYG983120 VIC983119:VIC983120 VRY983119:VRY983120 WBU983119:WBU983120 WLQ983119:WLQ983120 WVM983119:WVM983120</xm:sqref>
        </x14:dataValidation>
        <x14:dataValidation type="list" showInputMessage="1" showErrorMessage="1" xr:uid="{00000000-0002-0000-0100-000003000000}">
          <x14:formula1>
            <xm:f>"Accepted, Not accepted, N/A"</xm:f>
          </x14:formula1>
          <xm:sqref>F62:F65 JB67:JB70 SX67:SX70 ACT67:ACT70 AMP67:AMP70 AWL67:AWL70 BGH67:BGH70 BQD67:BQD70 BZZ67:BZZ70 CJV67:CJV70 CTR67:CTR70 DDN67:DDN70 DNJ67:DNJ70 DXF67:DXF70 EHB67:EHB70 EQX67:EQX70 FAT67:FAT70 FKP67:FKP70 FUL67:FUL70 GEH67:GEH70 GOD67:GOD70 GXZ67:GXZ70 HHV67:HHV70 HRR67:HRR70 IBN67:IBN70 ILJ67:ILJ70 IVF67:IVF70 JFB67:JFB70 JOX67:JOX70 JYT67:JYT70 KIP67:KIP70 KSL67:KSL70 LCH67:LCH70 LMD67:LMD70 LVZ67:LVZ70 MFV67:MFV70 MPR67:MPR70 MZN67:MZN70 NJJ67:NJJ70 NTF67:NTF70 ODB67:ODB70 OMX67:OMX70 OWT67:OWT70 PGP67:PGP70 PQL67:PQL70 QAH67:QAH70 QKD67:QKD70 QTZ67:QTZ70 RDV67:RDV70 RNR67:RNR70 RXN67:RXN70 SHJ67:SHJ70 SRF67:SRF70 TBB67:TBB70 TKX67:TKX70 TUT67:TUT70 UEP67:UEP70 UOL67:UOL70 UYH67:UYH70 VID67:VID70 VRZ67:VRZ70 WBV67:WBV70 WLR67:WLR70 WVN67:WVN70 F65603:F65606 JB65603:JB65606 SX65603:SX65606 ACT65603:ACT65606 AMP65603:AMP65606 AWL65603:AWL65606 BGH65603:BGH65606 BQD65603:BQD65606 BZZ65603:BZZ65606 CJV65603:CJV65606 CTR65603:CTR65606 DDN65603:DDN65606 DNJ65603:DNJ65606 DXF65603:DXF65606 EHB65603:EHB65606 EQX65603:EQX65606 FAT65603:FAT65606 FKP65603:FKP65606 FUL65603:FUL65606 GEH65603:GEH65606 GOD65603:GOD65606 GXZ65603:GXZ65606 HHV65603:HHV65606 HRR65603:HRR65606 IBN65603:IBN65606 ILJ65603:ILJ65606 IVF65603:IVF65606 JFB65603:JFB65606 JOX65603:JOX65606 JYT65603:JYT65606 KIP65603:KIP65606 KSL65603:KSL65606 LCH65603:LCH65606 LMD65603:LMD65606 LVZ65603:LVZ65606 MFV65603:MFV65606 MPR65603:MPR65606 MZN65603:MZN65606 NJJ65603:NJJ65606 NTF65603:NTF65606 ODB65603:ODB65606 OMX65603:OMX65606 OWT65603:OWT65606 PGP65603:PGP65606 PQL65603:PQL65606 QAH65603:QAH65606 QKD65603:QKD65606 QTZ65603:QTZ65606 RDV65603:RDV65606 RNR65603:RNR65606 RXN65603:RXN65606 SHJ65603:SHJ65606 SRF65603:SRF65606 TBB65603:TBB65606 TKX65603:TKX65606 TUT65603:TUT65606 UEP65603:UEP65606 UOL65603:UOL65606 UYH65603:UYH65606 VID65603:VID65606 VRZ65603:VRZ65606 WBV65603:WBV65606 WLR65603:WLR65606 WVN65603:WVN65606 F131139:F131142 JB131139:JB131142 SX131139:SX131142 ACT131139:ACT131142 AMP131139:AMP131142 AWL131139:AWL131142 BGH131139:BGH131142 BQD131139:BQD131142 BZZ131139:BZZ131142 CJV131139:CJV131142 CTR131139:CTR131142 DDN131139:DDN131142 DNJ131139:DNJ131142 DXF131139:DXF131142 EHB131139:EHB131142 EQX131139:EQX131142 FAT131139:FAT131142 FKP131139:FKP131142 FUL131139:FUL131142 GEH131139:GEH131142 GOD131139:GOD131142 GXZ131139:GXZ131142 HHV131139:HHV131142 HRR131139:HRR131142 IBN131139:IBN131142 ILJ131139:ILJ131142 IVF131139:IVF131142 JFB131139:JFB131142 JOX131139:JOX131142 JYT131139:JYT131142 KIP131139:KIP131142 KSL131139:KSL131142 LCH131139:LCH131142 LMD131139:LMD131142 LVZ131139:LVZ131142 MFV131139:MFV131142 MPR131139:MPR131142 MZN131139:MZN131142 NJJ131139:NJJ131142 NTF131139:NTF131142 ODB131139:ODB131142 OMX131139:OMX131142 OWT131139:OWT131142 PGP131139:PGP131142 PQL131139:PQL131142 QAH131139:QAH131142 QKD131139:QKD131142 QTZ131139:QTZ131142 RDV131139:RDV131142 RNR131139:RNR131142 RXN131139:RXN131142 SHJ131139:SHJ131142 SRF131139:SRF131142 TBB131139:TBB131142 TKX131139:TKX131142 TUT131139:TUT131142 UEP131139:UEP131142 UOL131139:UOL131142 UYH131139:UYH131142 VID131139:VID131142 VRZ131139:VRZ131142 WBV131139:WBV131142 WLR131139:WLR131142 WVN131139:WVN131142 F196675:F196678 JB196675:JB196678 SX196675:SX196678 ACT196675:ACT196678 AMP196675:AMP196678 AWL196675:AWL196678 BGH196675:BGH196678 BQD196675:BQD196678 BZZ196675:BZZ196678 CJV196675:CJV196678 CTR196675:CTR196678 DDN196675:DDN196678 DNJ196675:DNJ196678 DXF196675:DXF196678 EHB196675:EHB196678 EQX196675:EQX196678 FAT196675:FAT196678 FKP196675:FKP196678 FUL196675:FUL196678 GEH196675:GEH196678 GOD196675:GOD196678 GXZ196675:GXZ196678 HHV196675:HHV196678 HRR196675:HRR196678 IBN196675:IBN196678 ILJ196675:ILJ196678 IVF196675:IVF196678 JFB196675:JFB196678 JOX196675:JOX196678 JYT196675:JYT196678 KIP196675:KIP196678 KSL196675:KSL196678 LCH196675:LCH196678 LMD196675:LMD196678 LVZ196675:LVZ196678 MFV196675:MFV196678 MPR196675:MPR196678 MZN196675:MZN196678 NJJ196675:NJJ196678 NTF196675:NTF196678 ODB196675:ODB196678 OMX196675:OMX196678 OWT196675:OWT196678 PGP196675:PGP196678 PQL196675:PQL196678 QAH196675:QAH196678 QKD196675:QKD196678 QTZ196675:QTZ196678 RDV196675:RDV196678 RNR196675:RNR196678 RXN196675:RXN196678 SHJ196675:SHJ196678 SRF196675:SRF196678 TBB196675:TBB196678 TKX196675:TKX196678 TUT196675:TUT196678 UEP196675:UEP196678 UOL196675:UOL196678 UYH196675:UYH196678 VID196675:VID196678 VRZ196675:VRZ196678 WBV196675:WBV196678 WLR196675:WLR196678 WVN196675:WVN196678 F262211:F262214 JB262211:JB262214 SX262211:SX262214 ACT262211:ACT262214 AMP262211:AMP262214 AWL262211:AWL262214 BGH262211:BGH262214 BQD262211:BQD262214 BZZ262211:BZZ262214 CJV262211:CJV262214 CTR262211:CTR262214 DDN262211:DDN262214 DNJ262211:DNJ262214 DXF262211:DXF262214 EHB262211:EHB262214 EQX262211:EQX262214 FAT262211:FAT262214 FKP262211:FKP262214 FUL262211:FUL262214 GEH262211:GEH262214 GOD262211:GOD262214 GXZ262211:GXZ262214 HHV262211:HHV262214 HRR262211:HRR262214 IBN262211:IBN262214 ILJ262211:ILJ262214 IVF262211:IVF262214 JFB262211:JFB262214 JOX262211:JOX262214 JYT262211:JYT262214 KIP262211:KIP262214 KSL262211:KSL262214 LCH262211:LCH262214 LMD262211:LMD262214 LVZ262211:LVZ262214 MFV262211:MFV262214 MPR262211:MPR262214 MZN262211:MZN262214 NJJ262211:NJJ262214 NTF262211:NTF262214 ODB262211:ODB262214 OMX262211:OMX262214 OWT262211:OWT262214 PGP262211:PGP262214 PQL262211:PQL262214 QAH262211:QAH262214 QKD262211:QKD262214 QTZ262211:QTZ262214 RDV262211:RDV262214 RNR262211:RNR262214 RXN262211:RXN262214 SHJ262211:SHJ262214 SRF262211:SRF262214 TBB262211:TBB262214 TKX262211:TKX262214 TUT262211:TUT262214 UEP262211:UEP262214 UOL262211:UOL262214 UYH262211:UYH262214 VID262211:VID262214 VRZ262211:VRZ262214 WBV262211:WBV262214 WLR262211:WLR262214 WVN262211:WVN262214 F327747:F327750 JB327747:JB327750 SX327747:SX327750 ACT327747:ACT327750 AMP327747:AMP327750 AWL327747:AWL327750 BGH327747:BGH327750 BQD327747:BQD327750 BZZ327747:BZZ327750 CJV327747:CJV327750 CTR327747:CTR327750 DDN327747:DDN327750 DNJ327747:DNJ327750 DXF327747:DXF327750 EHB327747:EHB327750 EQX327747:EQX327750 FAT327747:FAT327750 FKP327747:FKP327750 FUL327747:FUL327750 GEH327747:GEH327750 GOD327747:GOD327750 GXZ327747:GXZ327750 HHV327747:HHV327750 HRR327747:HRR327750 IBN327747:IBN327750 ILJ327747:ILJ327750 IVF327747:IVF327750 JFB327747:JFB327750 JOX327747:JOX327750 JYT327747:JYT327750 KIP327747:KIP327750 KSL327747:KSL327750 LCH327747:LCH327750 LMD327747:LMD327750 LVZ327747:LVZ327750 MFV327747:MFV327750 MPR327747:MPR327750 MZN327747:MZN327750 NJJ327747:NJJ327750 NTF327747:NTF327750 ODB327747:ODB327750 OMX327747:OMX327750 OWT327747:OWT327750 PGP327747:PGP327750 PQL327747:PQL327750 QAH327747:QAH327750 QKD327747:QKD327750 QTZ327747:QTZ327750 RDV327747:RDV327750 RNR327747:RNR327750 RXN327747:RXN327750 SHJ327747:SHJ327750 SRF327747:SRF327750 TBB327747:TBB327750 TKX327747:TKX327750 TUT327747:TUT327750 UEP327747:UEP327750 UOL327747:UOL327750 UYH327747:UYH327750 VID327747:VID327750 VRZ327747:VRZ327750 WBV327747:WBV327750 WLR327747:WLR327750 WVN327747:WVN327750 F393283:F393286 JB393283:JB393286 SX393283:SX393286 ACT393283:ACT393286 AMP393283:AMP393286 AWL393283:AWL393286 BGH393283:BGH393286 BQD393283:BQD393286 BZZ393283:BZZ393286 CJV393283:CJV393286 CTR393283:CTR393286 DDN393283:DDN393286 DNJ393283:DNJ393286 DXF393283:DXF393286 EHB393283:EHB393286 EQX393283:EQX393286 FAT393283:FAT393286 FKP393283:FKP393286 FUL393283:FUL393286 GEH393283:GEH393286 GOD393283:GOD393286 GXZ393283:GXZ393286 HHV393283:HHV393286 HRR393283:HRR393286 IBN393283:IBN393286 ILJ393283:ILJ393286 IVF393283:IVF393286 JFB393283:JFB393286 JOX393283:JOX393286 JYT393283:JYT393286 KIP393283:KIP393286 KSL393283:KSL393286 LCH393283:LCH393286 LMD393283:LMD393286 LVZ393283:LVZ393286 MFV393283:MFV393286 MPR393283:MPR393286 MZN393283:MZN393286 NJJ393283:NJJ393286 NTF393283:NTF393286 ODB393283:ODB393286 OMX393283:OMX393286 OWT393283:OWT393286 PGP393283:PGP393286 PQL393283:PQL393286 QAH393283:QAH393286 QKD393283:QKD393286 QTZ393283:QTZ393286 RDV393283:RDV393286 RNR393283:RNR393286 RXN393283:RXN393286 SHJ393283:SHJ393286 SRF393283:SRF393286 TBB393283:TBB393286 TKX393283:TKX393286 TUT393283:TUT393286 UEP393283:UEP393286 UOL393283:UOL393286 UYH393283:UYH393286 VID393283:VID393286 VRZ393283:VRZ393286 WBV393283:WBV393286 WLR393283:WLR393286 WVN393283:WVN393286 F458819:F458822 JB458819:JB458822 SX458819:SX458822 ACT458819:ACT458822 AMP458819:AMP458822 AWL458819:AWL458822 BGH458819:BGH458822 BQD458819:BQD458822 BZZ458819:BZZ458822 CJV458819:CJV458822 CTR458819:CTR458822 DDN458819:DDN458822 DNJ458819:DNJ458822 DXF458819:DXF458822 EHB458819:EHB458822 EQX458819:EQX458822 FAT458819:FAT458822 FKP458819:FKP458822 FUL458819:FUL458822 GEH458819:GEH458822 GOD458819:GOD458822 GXZ458819:GXZ458822 HHV458819:HHV458822 HRR458819:HRR458822 IBN458819:IBN458822 ILJ458819:ILJ458822 IVF458819:IVF458822 JFB458819:JFB458822 JOX458819:JOX458822 JYT458819:JYT458822 KIP458819:KIP458822 KSL458819:KSL458822 LCH458819:LCH458822 LMD458819:LMD458822 LVZ458819:LVZ458822 MFV458819:MFV458822 MPR458819:MPR458822 MZN458819:MZN458822 NJJ458819:NJJ458822 NTF458819:NTF458822 ODB458819:ODB458822 OMX458819:OMX458822 OWT458819:OWT458822 PGP458819:PGP458822 PQL458819:PQL458822 QAH458819:QAH458822 QKD458819:QKD458822 QTZ458819:QTZ458822 RDV458819:RDV458822 RNR458819:RNR458822 RXN458819:RXN458822 SHJ458819:SHJ458822 SRF458819:SRF458822 TBB458819:TBB458822 TKX458819:TKX458822 TUT458819:TUT458822 UEP458819:UEP458822 UOL458819:UOL458822 UYH458819:UYH458822 VID458819:VID458822 VRZ458819:VRZ458822 WBV458819:WBV458822 WLR458819:WLR458822 WVN458819:WVN458822 F524355:F524358 JB524355:JB524358 SX524355:SX524358 ACT524355:ACT524358 AMP524355:AMP524358 AWL524355:AWL524358 BGH524355:BGH524358 BQD524355:BQD524358 BZZ524355:BZZ524358 CJV524355:CJV524358 CTR524355:CTR524358 DDN524355:DDN524358 DNJ524355:DNJ524358 DXF524355:DXF524358 EHB524355:EHB524358 EQX524355:EQX524358 FAT524355:FAT524358 FKP524355:FKP524358 FUL524355:FUL524358 GEH524355:GEH524358 GOD524355:GOD524358 GXZ524355:GXZ524358 HHV524355:HHV524358 HRR524355:HRR524358 IBN524355:IBN524358 ILJ524355:ILJ524358 IVF524355:IVF524358 JFB524355:JFB524358 JOX524355:JOX524358 JYT524355:JYT524358 KIP524355:KIP524358 KSL524355:KSL524358 LCH524355:LCH524358 LMD524355:LMD524358 LVZ524355:LVZ524358 MFV524355:MFV524358 MPR524355:MPR524358 MZN524355:MZN524358 NJJ524355:NJJ524358 NTF524355:NTF524358 ODB524355:ODB524358 OMX524355:OMX524358 OWT524355:OWT524358 PGP524355:PGP524358 PQL524355:PQL524358 QAH524355:QAH524358 QKD524355:QKD524358 QTZ524355:QTZ524358 RDV524355:RDV524358 RNR524355:RNR524358 RXN524355:RXN524358 SHJ524355:SHJ524358 SRF524355:SRF524358 TBB524355:TBB524358 TKX524355:TKX524358 TUT524355:TUT524358 UEP524355:UEP524358 UOL524355:UOL524358 UYH524355:UYH524358 VID524355:VID524358 VRZ524355:VRZ524358 WBV524355:WBV524358 WLR524355:WLR524358 WVN524355:WVN524358 F589891:F589894 JB589891:JB589894 SX589891:SX589894 ACT589891:ACT589894 AMP589891:AMP589894 AWL589891:AWL589894 BGH589891:BGH589894 BQD589891:BQD589894 BZZ589891:BZZ589894 CJV589891:CJV589894 CTR589891:CTR589894 DDN589891:DDN589894 DNJ589891:DNJ589894 DXF589891:DXF589894 EHB589891:EHB589894 EQX589891:EQX589894 FAT589891:FAT589894 FKP589891:FKP589894 FUL589891:FUL589894 GEH589891:GEH589894 GOD589891:GOD589894 GXZ589891:GXZ589894 HHV589891:HHV589894 HRR589891:HRR589894 IBN589891:IBN589894 ILJ589891:ILJ589894 IVF589891:IVF589894 JFB589891:JFB589894 JOX589891:JOX589894 JYT589891:JYT589894 KIP589891:KIP589894 KSL589891:KSL589894 LCH589891:LCH589894 LMD589891:LMD589894 LVZ589891:LVZ589894 MFV589891:MFV589894 MPR589891:MPR589894 MZN589891:MZN589894 NJJ589891:NJJ589894 NTF589891:NTF589894 ODB589891:ODB589894 OMX589891:OMX589894 OWT589891:OWT589894 PGP589891:PGP589894 PQL589891:PQL589894 QAH589891:QAH589894 QKD589891:QKD589894 QTZ589891:QTZ589894 RDV589891:RDV589894 RNR589891:RNR589894 RXN589891:RXN589894 SHJ589891:SHJ589894 SRF589891:SRF589894 TBB589891:TBB589894 TKX589891:TKX589894 TUT589891:TUT589894 UEP589891:UEP589894 UOL589891:UOL589894 UYH589891:UYH589894 VID589891:VID589894 VRZ589891:VRZ589894 WBV589891:WBV589894 WLR589891:WLR589894 WVN589891:WVN589894 F655427:F655430 JB655427:JB655430 SX655427:SX655430 ACT655427:ACT655430 AMP655427:AMP655430 AWL655427:AWL655430 BGH655427:BGH655430 BQD655427:BQD655430 BZZ655427:BZZ655430 CJV655427:CJV655430 CTR655427:CTR655430 DDN655427:DDN655430 DNJ655427:DNJ655430 DXF655427:DXF655430 EHB655427:EHB655430 EQX655427:EQX655430 FAT655427:FAT655430 FKP655427:FKP655430 FUL655427:FUL655430 GEH655427:GEH655430 GOD655427:GOD655430 GXZ655427:GXZ655430 HHV655427:HHV655430 HRR655427:HRR655430 IBN655427:IBN655430 ILJ655427:ILJ655430 IVF655427:IVF655430 JFB655427:JFB655430 JOX655427:JOX655430 JYT655427:JYT655430 KIP655427:KIP655430 KSL655427:KSL655430 LCH655427:LCH655430 LMD655427:LMD655430 LVZ655427:LVZ655430 MFV655427:MFV655430 MPR655427:MPR655430 MZN655427:MZN655430 NJJ655427:NJJ655430 NTF655427:NTF655430 ODB655427:ODB655430 OMX655427:OMX655430 OWT655427:OWT655430 PGP655427:PGP655430 PQL655427:PQL655430 QAH655427:QAH655430 QKD655427:QKD655430 QTZ655427:QTZ655430 RDV655427:RDV655430 RNR655427:RNR655430 RXN655427:RXN655430 SHJ655427:SHJ655430 SRF655427:SRF655430 TBB655427:TBB655430 TKX655427:TKX655430 TUT655427:TUT655430 UEP655427:UEP655430 UOL655427:UOL655430 UYH655427:UYH655430 VID655427:VID655430 VRZ655427:VRZ655430 WBV655427:WBV655430 WLR655427:WLR655430 WVN655427:WVN655430 F720963:F720966 JB720963:JB720966 SX720963:SX720966 ACT720963:ACT720966 AMP720963:AMP720966 AWL720963:AWL720966 BGH720963:BGH720966 BQD720963:BQD720966 BZZ720963:BZZ720966 CJV720963:CJV720966 CTR720963:CTR720966 DDN720963:DDN720966 DNJ720963:DNJ720966 DXF720963:DXF720966 EHB720963:EHB720966 EQX720963:EQX720966 FAT720963:FAT720966 FKP720963:FKP720966 FUL720963:FUL720966 GEH720963:GEH720966 GOD720963:GOD720966 GXZ720963:GXZ720966 HHV720963:HHV720966 HRR720963:HRR720966 IBN720963:IBN720966 ILJ720963:ILJ720966 IVF720963:IVF720966 JFB720963:JFB720966 JOX720963:JOX720966 JYT720963:JYT720966 KIP720963:KIP720966 KSL720963:KSL720966 LCH720963:LCH720966 LMD720963:LMD720966 LVZ720963:LVZ720966 MFV720963:MFV720966 MPR720963:MPR720966 MZN720963:MZN720966 NJJ720963:NJJ720966 NTF720963:NTF720966 ODB720963:ODB720966 OMX720963:OMX720966 OWT720963:OWT720966 PGP720963:PGP720966 PQL720963:PQL720966 QAH720963:QAH720966 QKD720963:QKD720966 QTZ720963:QTZ720966 RDV720963:RDV720966 RNR720963:RNR720966 RXN720963:RXN720966 SHJ720963:SHJ720966 SRF720963:SRF720966 TBB720963:TBB720966 TKX720963:TKX720966 TUT720963:TUT720966 UEP720963:UEP720966 UOL720963:UOL720966 UYH720963:UYH720966 VID720963:VID720966 VRZ720963:VRZ720966 WBV720963:WBV720966 WLR720963:WLR720966 WVN720963:WVN720966 F786499:F786502 JB786499:JB786502 SX786499:SX786502 ACT786499:ACT786502 AMP786499:AMP786502 AWL786499:AWL786502 BGH786499:BGH786502 BQD786499:BQD786502 BZZ786499:BZZ786502 CJV786499:CJV786502 CTR786499:CTR786502 DDN786499:DDN786502 DNJ786499:DNJ786502 DXF786499:DXF786502 EHB786499:EHB786502 EQX786499:EQX786502 FAT786499:FAT786502 FKP786499:FKP786502 FUL786499:FUL786502 GEH786499:GEH786502 GOD786499:GOD786502 GXZ786499:GXZ786502 HHV786499:HHV786502 HRR786499:HRR786502 IBN786499:IBN786502 ILJ786499:ILJ786502 IVF786499:IVF786502 JFB786499:JFB786502 JOX786499:JOX786502 JYT786499:JYT786502 KIP786499:KIP786502 KSL786499:KSL786502 LCH786499:LCH786502 LMD786499:LMD786502 LVZ786499:LVZ786502 MFV786499:MFV786502 MPR786499:MPR786502 MZN786499:MZN786502 NJJ786499:NJJ786502 NTF786499:NTF786502 ODB786499:ODB786502 OMX786499:OMX786502 OWT786499:OWT786502 PGP786499:PGP786502 PQL786499:PQL786502 QAH786499:QAH786502 QKD786499:QKD786502 QTZ786499:QTZ786502 RDV786499:RDV786502 RNR786499:RNR786502 RXN786499:RXN786502 SHJ786499:SHJ786502 SRF786499:SRF786502 TBB786499:TBB786502 TKX786499:TKX786502 TUT786499:TUT786502 UEP786499:UEP786502 UOL786499:UOL786502 UYH786499:UYH786502 VID786499:VID786502 VRZ786499:VRZ786502 WBV786499:WBV786502 WLR786499:WLR786502 WVN786499:WVN786502 F852035:F852038 JB852035:JB852038 SX852035:SX852038 ACT852035:ACT852038 AMP852035:AMP852038 AWL852035:AWL852038 BGH852035:BGH852038 BQD852035:BQD852038 BZZ852035:BZZ852038 CJV852035:CJV852038 CTR852035:CTR852038 DDN852035:DDN852038 DNJ852035:DNJ852038 DXF852035:DXF852038 EHB852035:EHB852038 EQX852035:EQX852038 FAT852035:FAT852038 FKP852035:FKP852038 FUL852035:FUL852038 GEH852035:GEH852038 GOD852035:GOD852038 GXZ852035:GXZ852038 HHV852035:HHV852038 HRR852035:HRR852038 IBN852035:IBN852038 ILJ852035:ILJ852038 IVF852035:IVF852038 JFB852035:JFB852038 JOX852035:JOX852038 JYT852035:JYT852038 KIP852035:KIP852038 KSL852035:KSL852038 LCH852035:LCH852038 LMD852035:LMD852038 LVZ852035:LVZ852038 MFV852035:MFV852038 MPR852035:MPR852038 MZN852035:MZN852038 NJJ852035:NJJ852038 NTF852035:NTF852038 ODB852035:ODB852038 OMX852035:OMX852038 OWT852035:OWT852038 PGP852035:PGP852038 PQL852035:PQL852038 QAH852035:QAH852038 QKD852035:QKD852038 QTZ852035:QTZ852038 RDV852035:RDV852038 RNR852035:RNR852038 RXN852035:RXN852038 SHJ852035:SHJ852038 SRF852035:SRF852038 TBB852035:TBB852038 TKX852035:TKX852038 TUT852035:TUT852038 UEP852035:UEP852038 UOL852035:UOL852038 UYH852035:UYH852038 VID852035:VID852038 VRZ852035:VRZ852038 WBV852035:WBV852038 WLR852035:WLR852038 WVN852035:WVN852038 F917571:F917574 JB917571:JB917574 SX917571:SX917574 ACT917571:ACT917574 AMP917571:AMP917574 AWL917571:AWL917574 BGH917571:BGH917574 BQD917571:BQD917574 BZZ917571:BZZ917574 CJV917571:CJV917574 CTR917571:CTR917574 DDN917571:DDN917574 DNJ917571:DNJ917574 DXF917571:DXF917574 EHB917571:EHB917574 EQX917571:EQX917574 FAT917571:FAT917574 FKP917571:FKP917574 FUL917571:FUL917574 GEH917571:GEH917574 GOD917571:GOD917574 GXZ917571:GXZ917574 HHV917571:HHV917574 HRR917571:HRR917574 IBN917571:IBN917574 ILJ917571:ILJ917574 IVF917571:IVF917574 JFB917571:JFB917574 JOX917571:JOX917574 JYT917571:JYT917574 KIP917571:KIP917574 KSL917571:KSL917574 LCH917571:LCH917574 LMD917571:LMD917574 LVZ917571:LVZ917574 MFV917571:MFV917574 MPR917571:MPR917574 MZN917571:MZN917574 NJJ917571:NJJ917574 NTF917571:NTF917574 ODB917571:ODB917574 OMX917571:OMX917574 OWT917571:OWT917574 PGP917571:PGP917574 PQL917571:PQL917574 QAH917571:QAH917574 QKD917571:QKD917574 QTZ917571:QTZ917574 RDV917571:RDV917574 RNR917571:RNR917574 RXN917571:RXN917574 SHJ917571:SHJ917574 SRF917571:SRF917574 TBB917571:TBB917574 TKX917571:TKX917574 TUT917571:TUT917574 UEP917571:UEP917574 UOL917571:UOL917574 UYH917571:UYH917574 VID917571:VID917574 VRZ917571:VRZ917574 WBV917571:WBV917574 WLR917571:WLR917574 WVN917571:WVN917574 F983107:F983110 JB983107:JB983110 SX983107:SX983110 ACT983107:ACT983110 AMP983107:AMP983110 AWL983107:AWL983110 BGH983107:BGH983110 BQD983107:BQD983110 BZZ983107:BZZ983110 CJV983107:CJV983110 CTR983107:CTR983110 DDN983107:DDN983110 DNJ983107:DNJ983110 DXF983107:DXF983110 EHB983107:EHB983110 EQX983107:EQX983110 FAT983107:FAT983110 FKP983107:FKP983110 FUL983107:FUL983110 GEH983107:GEH983110 GOD983107:GOD983110 GXZ983107:GXZ983110 HHV983107:HHV983110 HRR983107:HRR983110 IBN983107:IBN983110 ILJ983107:ILJ983110 IVF983107:IVF983110 JFB983107:JFB983110 JOX983107:JOX983110 JYT983107:JYT983110 KIP983107:KIP983110 KSL983107:KSL983110 LCH983107:LCH983110 LMD983107:LMD983110 LVZ983107:LVZ983110 MFV983107:MFV983110 MPR983107:MPR983110 MZN983107:MZN983110 NJJ983107:NJJ983110 NTF983107:NTF983110 ODB983107:ODB983110 OMX983107:OMX983110 OWT983107:OWT983110 PGP983107:PGP983110 PQL983107:PQL983110 QAH983107:QAH983110 QKD983107:QKD983110 QTZ983107:QTZ983110 RDV983107:RDV983110 RNR983107:RNR983110 RXN983107:RXN983110 SHJ983107:SHJ983110 SRF983107:SRF983110 TBB983107:TBB983110 TKX983107:TKX983110 TUT983107:TUT983110 UEP983107:UEP983110 UOL983107:UOL983110 UYH983107:UYH983110 VID983107:VID983110 VRZ983107:VRZ983110 WBV983107:WBV983110 WLR983107:WLR983110 WVN983107:WVN983110 F72:F74 JE76:JE80 TA76:TA80 ACW76:ACW80 AMS76:AMS80 AWO76:AWO80 BGK76:BGK80 BQG76:BQG80 CAC76:CAC80 CJY76:CJY80 CTU76:CTU80 DDQ76:DDQ80 DNM76:DNM80 DXI76:DXI80 EHE76:EHE80 ERA76:ERA80 FAW76:FAW80 FKS76:FKS80 FUO76:FUO80 GEK76:GEK80 GOG76:GOG80 GYC76:GYC80 HHY76:HHY80 HRU76:HRU80 IBQ76:IBQ80 ILM76:ILM80 IVI76:IVI80 JFE76:JFE80 JPA76:JPA80 JYW76:JYW80 KIS76:KIS80 KSO76:KSO80 LCK76:LCK80 LMG76:LMG80 LWC76:LWC80 MFY76:MFY80 MPU76:MPU80 MZQ76:MZQ80 NJM76:NJM80 NTI76:NTI80 ODE76:ODE80 ONA76:ONA80 OWW76:OWW80 PGS76:PGS80 PQO76:PQO80 QAK76:QAK80 QKG76:QKG80 QUC76:QUC80 RDY76:RDY80 RNU76:RNU80 RXQ76:RXQ80 SHM76:SHM80 SRI76:SRI80 TBE76:TBE80 TLA76:TLA80 TUW76:TUW80 UES76:UES80 UOO76:UOO80 UYK76:UYK80 VIG76:VIG80 VSC76:VSC80 WBY76:WBY80 WLU76:WLU80 WVQ76:WVQ80 I65612:I65616 JE65612:JE65616 TA65612:TA65616 ACW65612:ACW65616 AMS65612:AMS65616 AWO65612:AWO65616 BGK65612:BGK65616 BQG65612:BQG65616 CAC65612:CAC65616 CJY65612:CJY65616 CTU65612:CTU65616 DDQ65612:DDQ65616 DNM65612:DNM65616 DXI65612:DXI65616 EHE65612:EHE65616 ERA65612:ERA65616 FAW65612:FAW65616 FKS65612:FKS65616 FUO65612:FUO65616 GEK65612:GEK65616 GOG65612:GOG65616 GYC65612:GYC65616 HHY65612:HHY65616 HRU65612:HRU65616 IBQ65612:IBQ65616 ILM65612:ILM65616 IVI65612:IVI65616 JFE65612:JFE65616 JPA65612:JPA65616 JYW65612:JYW65616 KIS65612:KIS65616 KSO65612:KSO65616 LCK65612:LCK65616 LMG65612:LMG65616 LWC65612:LWC65616 MFY65612:MFY65616 MPU65612:MPU65616 MZQ65612:MZQ65616 NJM65612:NJM65616 NTI65612:NTI65616 ODE65612:ODE65616 ONA65612:ONA65616 OWW65612:OWW65616 PGS65612:PGS65616 PQO65612:PQO65616 QAK65612:QAK65616 QKG65612:QKG65616 QUC65612:QUC65616 RDY65612:RDY65616 RNU65612:RNU65616 RXQ65612:RXQ65616 SHM65612:SHM65616 SRI65612:SRI65616 TBE65612:TBE65616 TLA65612:TLA65616 TUW65612:TUW65616 UES65612:UES65616 UOO65612:UOO65616 UYK65612:UYK65616 VIG65612:VIG65616 VSC65612:VSC65616 WBY65612:WBY65616 WLU65612:WLU65616 WVQ65612:WVQ65616 I131148:I131152 JE131148:JE131152 TA131148:TA131152 ACW131148:ACW131152 AMS131148:AMS131152 AWO131148:AWO131152 BGK131148:BGK131152 BQG131148:BQG131152 CAC131148:CAC131152 CJY131148:CJY131152 CTU131148:CTU131152 DDQ131148:DDQ131152 DNM131148:DNM131152 DXI131148:DXI131152 EHE131148:EHE131152 ERA131148:ERA131152 FAW131148:FAW131152 FKS131148:FKS131152 FUO131148:FUO131152 GEK131148:GEK131152 GOG131148:GOG131152 GYC131148:GYC131152 HHY131148:HHY131152 HRU131148:HRU131152 IBQ131148:IBQ131152 ILM131148:ILM131152 IVI131148:IVI131152 JFE131148:JFE131152 JPA131148:JPA131152 JYW131148:JYW131152 KIS131148:KIS131152 KSO131148:KSO131152 LCK131148:LCK131152 LMG131148:LMG131152 LWC131148:LWC131152 MFY131148:MFY131152 MPU131148:MPU131152 MZQ131148:MZQ131152 NJM131148:NJM131152 NTI131148:NTI131152 ODE131148:ODE131152 ONA131148:ONA131152 OWW131148:OWW131152 PGS131148:PGS131152 PQO131148:PQO131152 QAK131148:QAK131152 QKG131148:QKG131152 QUC131148:QUC131152 RDY131148:RDY131152 RNU131148:RNU131152 RXQ131148:RXQ131152 SHM131148:SHM131152 SRI131148:SRI131152 TBE131148:TBE131152 TLA131148:TLA131152 TUW131148:TUW131152 UES131148:UES131152 UOO131148:UOO131152 UYK131148:UYK131152 VIG131148:VIG131152 VSC131148:VSC131152 WBY131148:WBY131152 WLU131148:WLU131152 WVQ131148:WVQ131152 I196684:I196688 JE196684:JE196688 TA196684:TA196688 ACW196684:ACW196688 AMS196684:AMS196688 AWO196684:AWO196688 BGK196684:BGK196688 BQG196684:BQG196688 CAC196684:CAC196688 CJY196684:CJY196688 CTU196684:CTU196688 DDQ196684:DDQ196688 DNM196684:DNM196688 DXI196684:DXI196688 EHE196684:EHE196688 ERA196684:ERA196688 FAW196684:FAW196688 FKS196684:FKS196688 FUO196684:FUO196688 GEK196684:GEK196688 GOG196684:GOG196688 GYC196684:GYC196688 HHY196684:HHY196688 HRU196684:HRU196688 IBQ196684:IBQ196688 ILM196684:ILM196688 IVI196684:IVI196688 JFE196684:JFE196688 JPA196684:JPA196688 JYW196684:JYW196688 KIS196684:KIS196688 KSO196684:KSO196688 LCK196684:LCK196688 LMG196684:LMG196688 LWC196684:LWC196688 MFY196684:MFY196688 MPU196684:MPU196688 MZQ196684:MZQ196688 NJM196684:NJM196688 NTI196684:NTI196688 ODE196684:ODE196688 ONA196684:ONA196688 OWW196684:OWW196688 PGS196684:PGS196688 PQO196684:PQO196688 QAK196684:QAK196688 QKG196684:QKG196688 QUC196684:QUC196688 RDY196684:RDY196688 RNU196684:RNU196688 RXQ196684:RXQ196688 SHM196684:SHM196688 SRI196684:SRI196688 TBE196684:TBE196688 TLA196684:TLA196688 TUW196684:TUW196688 UES196684:UES196688 UOO196684:UOO196688 UYK196684:UYK196688 VIG196684:VIG196688 VSC196684:VSC196688 WBY196684:WBY196688 WLU196684:WLU196688 WVQ196684:WVQ196688 I262220:I262224 JE262220:JE262224 TA262220:TA262224 ACW262220:ACW262224 AMS262220:AMS262224 AWO262220:AWO262224 BGK262220:BGK262224 BQG262220:BQG262224 CAC262220:CAC262224 CJY262220:CJY262224 CTU262220:CTU262224 DDQ262220:DDQ262224 DNM262220:DNM262224 DXI262220:DXI262224 EHE262220:EHE262224 ERA262220:ERA262224 FAW262220:FAW262224 FKS262220:FKS262224 FUO262220:FUO262224 GEK262220:GEK262224 GOG262220:GOG262224 GYC262220:GYC262224 HHY262220:HHY262224 HRU262220:HRU262224 IBQ262220:IBQ262224 ILM262220:ILM262224 IVI262220:IVI262224 JFE262220:JFE262224 JPA262220:JPA262224 JYW262220:JYW262224 KIS262220:KIS262224 KSO262220:KSO262224 LCK262220:LCK262224 LMG262220:LMG262224 LWC262220:LWC262224 MFY262220:MFY262224 MPU262220:MPU262224 MZQ262220:MZQ262224 NJM262220:NJM262224 NTI262220:NTI262224 ODE262220:ODE262224 ONA262220:ONA262224 OWW262220:OWW262224 PGS262220:PGS262224 PQO262220:PQO262224 QAK262220:QAK262224 QKG262220:QKG262224 QUC262220:QUC262224 RDY262220:RDY262224 RNU262220:RNU262224 RXQ262220:RXQ262224 SHM262220:SHM262224 SRI262220:SRI262224 TBE262220:TBE262224 TLA262220:TLA262224 TUW262220:TUW262224 UES262220:UES262224 UOO262220:UOO262224 UYK262220:UYK262224 VIG262220:VIG262224 VSC262220:VSC262224 WBY262220:WBY262224 WLU262220:WLU262224 WVQ262220:WVQ262224 I327756:I327760 JE327756:JE327760 TA327756:TA327760 ACW327756:ACW327760 AMS327756:AMS327760 AWO327756:AWO327760 BGK327756:BGK327760 BQG327756:BQG327760 CAC327756:CAC327760 CJY327756:CJY327760 CTU327756:CTU327760 DDQ327756:DDQ327760 DNM327756:DNM327760 DXI327756:DXI327760 EHE327756:EHE327760 ERA327756:ERA327760 FAW327756:FAW327760 FKS327756:FKS327760 FUO327756:FUO327760 GEK327756:GEK327760 GOG327756:GOG327760 GYC327756:GYC327760 HHY327756:HHY327760 HRU327756:HRU327760 IBQ327756:IBQ327760 ILM327756:ILM327760 IVI327756:IVI327760 JFE327756:JFE327760 JPA327756:JPA327760 JYW327756:JYW327760 KIS327756:KIS327760 KSO327756:KSO327760 LCK327756:LCK327760 LMG327756:LMG327760 LWC327756:LWC327760 MFY327756:MFY327760 MPU327756:MPU327760 MZQ327756:MZQ327760 NJM327756:NJM327760 NTI327756:NTI327760 ODE327756:ODE327760 ONA327756:ONA327760 OWW327756:OWW327760 PGS327756:PGS327760 PQO327756:PQO327760 QAK327756:QAK327760 QKG327756:QKG327760 QUC327756:QUC327760 RDY327756:RDY327760 RNU327756:RNU327760 RXQ327756:RXQ327760 SHM327756:SHM327760 SRI327756:SRI327760 TBE327756:TBE327760 TLA327756:TLA327760 TUW327756:TUW327760 UES327756:UES327760 UOO327756:UOO327760 UYK327756:UYK327760 VIG327756:VIG327760 VSC327756:VSC327760 WBY327756:WBY327760 WLU327756:WLU327760 WVQ327756:WVQ327760 I393292:I393296 JE393292:JE393296 TA393292:TA393296 ACW393292:ACW393296 AMS393292:AMS393296 AWO393292:AWO393296 BGK393292:BGK393296 BQG393292:BQG393296 CAC393292:CAC393296 CJY393292:CJY393296 CTU393292:CTU393296 DDQ393292:DDQ393296 DNM393292:DNM393296 DXI393292:DXI393296 EHE393292:EHE393296 ERA393292:ERA393296 FAW393292:FAW393296 FKS393292:FKS393296 FUO393292:FUO393296 GEK393292:GEK393296 GOG393292:GOG393296 GYC393292:GYC393296 HHY393292:HHY393296 HRU393292:HRU393296 IBQ393292:IBQ393296 ILM393292:ILM393296 IVI393292:IVI393296 JFE393292:JFE393296 JPA393292:JPA393296 JYW393292:JYW393296 KIS393292:KIS393296 KSO393292:KSO393296 LCK393292:LCK393296 LMG393292:LMG393296 LWC393292:LWC393296 MFY393292:MFY393296 MPU393292:MPU393296 MZQ393292:MZQ393296 NJM393292:NJM393296 NTI393292:NTI393296 ODE393292:ODE393296 ONA393292:ONA393296 OWW393292:OWW393296 PGS393292:PGS393296 PQO393292:PQO393296 QAK393292:QAK393296 QKG393292:QKG393296 QUC393292:QUC393296 RDY393292:RDY393296 RNU393292:RNU393296 RXQ393292:RXQ393296 SHM393292:SHM393296 SRI393292:SRI393296 TBE393292:TBE393296 TLA393292:TLA393296 TUW393292:TUW393296 UES393292:UES393296 UOO393292:UOO393296 UYK393292:UYK393296 VIG393292:VIG393296 VSC393292:VSC393296 WBY393292:WBY393296 WLU393292:WLU393296 WVQ393292:WVQ393296 I458828:I458832 JE458828:JE458832 TA458828:TA458832 ACW458828:ACW458832 AMS458828:AMS458832 AWO458828:AWO458832 BGK458828:BGK458832 BQG458828:BQG458832 CAC458828:CAC458832 CJY458828:CJY458832 CTU458828:CTU458832 DDQ458828:DDQ458832 DNM458828:DNM458832 DXI458828:DXI458832 EHE458828:EHE458832 ERA458828:ERA458832 FAW458828:FAW458832 FKS458828:FKS458832 FUO458828:FUO458832 GEK458828:GEK458832 GOG458828:GOG458832 GYC458828:GYC458832 HHY458828:HHY458832 HRU458828:HRU458832 IBQ458828:IBQ458832 ILM458828:ILM458832 IVI458828:IVI458832 JFE458828:JFE458832 JPA458828:JPA458832 JYW458828:JYW458832 KIS458828:KIS458832 KSO458828:KSO458832 LCK458828:LCK458832 LMG458828:LMG458832 LWC458828:LWC458832 MFY458828:MFY458832 MPU458828:MPU458832 MZQ458828:MZQ458832 NJM458828:NJM458832 NTI458828:NTI458832 ODE458828:ODE458832 ONA458828:ONA458832 OWW458828:OWW458832 PGS458828:PGS458832 PQO458828:PQO458832 QAK458828:QAK458832 QKG458828:QKG458832 QUC458828:QUC458832 RDY458828:RDY458832 RNU458828:RNU458832 RXQ458828:RXQ458832 SHM458828:SHM458832 SRI458828:SRI458832 TBE458828:TBE458832 TLA458828:TLA458832 TUW458828:TUW458832 UES458828:UES458832 UOO458828:UOO458832 UYK458828:UYK458832 VIG458828:VIG458832 VSC458828:VSC458832 WBY458828:WBY458832 WLU458828:WLU458832 WVQ458828:WVQ458832 I524364:I524368 JE524364:JE524368 TA524364:TA524368 ACW524364:ACW524368 AMS524364:AMS524368 AWO524364:AWO524368 BGK524364:BGK524368 BQG524364:BQG524368 CAC524364:CAC524368 CJY524364:CJY524368 CTU524364:CTU524368 DDQ524364:DDQ524368 DNM524364:DNM524368 DXI524364:DXI524368 EHE524364:EHE524368 ERA524364:ERA524368 FAW524364:FAW524368 FKS524364:FKS524368 FUO524364:FUO524368 GEK524364:GEK524368 GOG524364:GOG524368 GYC524364:GYC524368 HHY524364:HHY524368 HRU524364:HRU524368 IBQ524364:IBQ524368 ILM524364:ILM524368 IVI524364:IVI524368 JFE524364:JFE524368 JPA524364:JPA524368 JYW524364:JYW524368 KIS524364:KIS524368 KSO524364:KSO524368 LCK524364:LCK524368 LMG524364:LMG524368 LWC524364:LWC524368 MFY524364:MFY524368 MPU524364:MPU524368 MZQ524364:MZQ524368 NJM524364:NJM524368 NTI524364:NTI524368 ODE524364:ODE524368 ONA524364:ONA524368 OWW524364:OWW524368 PGS524364:PGS524368 PQO524364:PQO524368 QAK524364:QAK524368 QKG524364:QKG524368 QUC524364:QUC524368 RDY524364:RDY524368 RNU524364:RNU524368 RXQ524364:RXQ524368 SHM524364:SHM524368 SRI524364:SRI524368 TBE524364:TBE524368 TLA524364:TLA524368 TUW524364:TUW524368 UES524364:UES524368 UOO524364:UOO524368 UYK524364:UYK524368 VIG524364:VIG524368 VSC524364:VSC524368 WBY524364:WBY524368 WLU524364:WLU524368 WVQ524364:WVQ524368 I589900:I589904 JE589900:JE589904 TA589900:TA589904 ACW589900:ACW589904 AMS589900:AMS589904 AWO589900:AWO589904 BGK589900:BGK589904 BQG589900:BQG589904 CAC589900:CAC589904 CJY589900:CJY589904 CTU589900:CTU589904 DDQ589900:DDQ589904 DNM589900:DNM589904 DXI589900:DXI589904 EHE589900:EHE589904 ERA589900:ERA589904 FAW589900:FAW589904 FKS589900:FKS589904 FUO589900:FUO589904 GEK589900:GEK589904 GOG589900:GOG589904 GYC589900:GYC589904 HHY589900:HHY589904 HRU589900:HRU589904 IBQ589900:IBQ589904 ILM589900:ILM589904 IVI589900:IVI589904 JFE589900:JFE589904 JPA589900:JPA589904 JYW589900:JYW589904 KIS589900:KIS589904 KSO589900:KSO589904 LCK589900:LCK589904 LMG589900:LMG589904 LWC589900:LWC589904 MFY589900:MFY589904 MPU589900:MPU589904 MZQ589900:MZQ589904 NJM589900:NJM589904 NTI589900:NTI589904 ODE589900:ODE589904 ONA589900:ONA589904 OWW589900:OWW589904 PGS589900:PGS589904 PQO589900:PQO589904 QAK589900:QAK589904 QKG589900:QKG589904 QUC589900:QUC589904 RDY589900:RDY589904 RNU589900:RNU589904 RXQ589900:RXQ589904 SHM589900:SHM589904 SRI589900:SRI589904 TBE589900:TBE589904 TLA589900:TLA589904 TUW589900:TUW589904 UES589900:UES589904 UOO589900:UOO589904 UYK589900:UYK589904 VIG589900:VIG589904 VSC589900:VSC589904 WBY589900:WBY589904 WLU589900:WLU589904 WVQ589900:WVQ589904 I655436:I655440 JE655436:JE655440 TA655436:TA655440 ACW655436:ACW655440 AMS655436:AMS655440 AWO655436:AWO655440 BGK655436:BGK655440 BQG655436:BQG655440 CAC655436:CAC655440 CJY655436:CJY655440 CTU655436:CTU655440 DDQ655436:DDQ655440 DNM655436:DNM655440 DXI655436:DXI655440 EHE655436:EHE655440 ERA655436:ERA655440 FAW655436:FAW655440 FKS655436:FKS655440 FUO655436:FUO655440 GEK655436:GEK655440 GOG655436:GOG655440 GYC655436:GYC655440 HHY655436:HHY655440 HRU655436:HRU655440 IBQ655436:IBQ655440 ILM655436:ILM655440 IVI655436:IVI655440 JFE655436:JFE655440 JPA655436:JPA655440 JYW655436:JYW655440 KIS655436:KIS655440 KSO655436:KSO655440 LCK655436:LCK655440 LMG655436:LMG655440 LWC655436:LWC655440 MFY655436:MFY655440 MPU655436:MPU655440 MZQ655436:MZQ655440 NJM655436:NJM655440 NTI655436:NTI655440 ODE655436:ODE655440 ONA655436:ONA655440 OWW655436:OWW655440 PGS655436:PGS655440 PQO655436:PQO655440 QAK655436:QAK655440 QKG655436:QKG655440 QUC655436:QUC655440 RDY655436:RDY655440 RNU655436:RNU655440 RXQ655436:RXQ655440 SHM655436:SHM655440 SRI655436:SRI655440 TBE655436:TBE655440 TLA655436:TLA655440 TUW655436:TUW655440 UES655436:UES655440 UOO655436:UOO655440 UYK655436:UYK655440 VIG655436:VIG655440 VSC655436:VSC655440 WBY655436:WBY655440 WLU655436:WLU655440 WVQ655436:WVQ655440 I720972:I720976 JE720972:JE720976 TA720972:TA720976 ACW720972:ACW720976 AMS720972:AMS720976 AWO720972:AWO720976 BGK720972:BGK720976 BQG720972:BQG720976 CAC720972:CAC720976 CJY720972:CJY720976 CTU720972:CTU720976 DDQ720972:DDQ720976 DNM720972:DNM720976 DXI720972:DXI720976 EHE720972:EHE720976 ERA720972:ERA720976 FAW720972:FAW720976 FKS720972:FKS720976 FUO720972:FUO720976 GEK720972:GEK720976 GOG720972:GOG720976 GYC720972:GYC720976 HHY720972:HHY720976 HRU720972:HRU720976 IBQ720972:IBQ720976 ILM720972:ILM720976 IVI720972:IVI720976 JFE720972:JFE720976 JPA720972:JPA720976 JYW720972:JYW720976 KIS720972:KIS720976 KSO720972:KSO720976 LCK720972:LCK720976 LMG720972:LMG720976 LWC720972:LWC720976 MFY720972:MFY720976 MPU720972:MPU720976 MZQ720972:MZQ720976 NJM720972:NJM720976 NTI720972:NTI720976 ODE720972:ODE720976 ONA720972:ONA720976 OWW720972:OWW720976 PGS720972:PGS720976 PQO720972:PQO720976 QAK720972:QAK720976 QKG720972:QKG720976 QUC720972:QUC720976 RDY720972:RDY720976 RNU720972:RNU720976 RXQ720972:RXQ720976 SHM720972:SHM720976 SRI720972:SRI720976 TBE720972:TBE720976 TLA720972:TLA720976 TUW720972:TUW720976 UES720972:UES720976 UOO720972:UOO720976 UYK720972:UYK720976 VIG720972:VIG720976 VSC720972:VSC720976 WBY720972:WBY720976 WLU720972:WLU720976 WVQ720972:WVQ720976 I786508:I786512 JE786508:JE786512 TA786508:TA786512 ACW786508:ACW786512 AMS786508:AMS786512 AWO786508:AWO786512 BGK786508:BGK786512 BQG786508:BQG786512 CAC786508:CAC786512 CJY786508:CJY786512 CTU786508:CTU786512 DDQ786508:DDQ786512 DNM786508:DNM786512 DXI786508:DXI786512 EHE786508:EHE786512 ERA786508:ERA786512 FAW786508:FAW786512 FKS786508:FKS786512 FUO786508:FUO786512 GEK786508:GEK786512 GOG786508:GOG786512 GYC786508:GYC786512 HHY786508:HHY786512 HRU786508:HRU786512 IBQ786508:IBQ786512 ILM786508:ILM786512 IVI786508:IVI786512 JFE786508:JFE786512 JPA786508:JPA786512 JYW786508:JYW786512 KIS786508:KIS786512 KSO786508:KSO786512 LCK786508:LCK786512 LMG786508:LMG786512 LWC786508:LWC786512 MFY786508:MFY786512 MPU786508:MPU786512 MZQ786508:MZQ786512 NJM786508:NJM786512 NTI786508:NTI786512 ODE786508:ODE786512 ONA786508:ONA786512 OWW786508:OWW786512 PGS786508:PGS786512 PQO786508:PQO786512 QAK786508:QAK786512 QKG786508:QKG786512 QUC786508:QUC786512 RDY786508:RDY786512 RNU786508:RNU786512 RXQ786508:RXQ786512 SHM786508:SHM786512 SRI786508:SRI786512 TBE786508:TBE786512 TLA786508:TLA786512 TUW786508:TUW786512 UES786508:UES786512 UOO786508:UOO786512 UYK786508:UYK786512 VIG786508:VIG786512 VSC786508:VSC786512 WBY786508:WBY786512 WLU786508:WLU786512 WVQ786508:WVQ786512 I852044:I852048 JE852044:JE852048 TA852044:TA852048 ACW852044:ACW852048 AMS852044:AMS852048 AWO852044:AWO852048 BGK852044:BGK852048 BQG852044:BQG852048 CAC852044:CAC852048 CJY852044:CJY852048 CTU852044:CTU852048 DDQ852044:DDQ852048 DNM852044:DNM852048 DXI852044:DXI852048 EHE852044:EHE852048 ERA852044:ERA852048 FAW852044:FAW852048 FKS852044:FKS852048 FUO852044:FUO852048 GEK852044:GEK852048 GOG852044:GOG852048 GYC852044:GYC852048 HHY852044:HHY852048 HRU852044:HRU852048 IBQ852044:IBQ852048 ILM852044:ILM852048 IVI852044:IVI852048 JFE852044:JFE852048 JPA852044:JPA852048 JYW852044:JYW852048 KIS852044:KIS852048 KSO852044:KSO852048 LCK852044:LCK852048 LMG852044:LMG852048 LWC852044:LWC852048 MFY852044:MFY852048 MPU852044:MPU852048 MZQ852044:MZQ852048 NJM852044:NJM852048 NTI852044:NTI852048 ODE852044:ODE852048 ONA852044:ONA852048 OWW852044:OWW852048 PGS852044:PGS852048 PQO852044:PQO852048 QAK852044:QAK852048 QKG852044:QKG852048 QUC852044:QUC852048 RDY852044:RDY852048 RNU852044:RNU852048 RXQ852044:RXQ852048 SHM852044:SHM852048 SRI852044:SRI852048 TBE852044:TBE852048 TLA852044:TLA852048 TUW852044:TUW852048 UES852044:UES852048 UOO852044:UOO852048 UYK852044:UYK852048 VIG852044:VIG852048 VSC852044:VSC852048 WBY852044:WBY852048 WLU852044:WLU852048 WVQ852044:WVQ852048 I917580:I917584 JE917580:JE917584 TA917580:TA917584 ACW917580:ACW917584 AMS917580:AMS917584 AWO917580:AWO917584 BGK917580:BGK917584 BQG917580:BQG917584 CAC917580:CAC917584 CJY917580:CJY917584 CTU917580:CTU917584 DDQ917580:DDQ917584 DNM917580:DNM917584 DXI917580:DXI917584 EHE917580:EHE917584 ERA917580:ERA917584 FAW917580:FAW917584 FKS917580:FKS917584 FUO917580:FUO917584 GEK917580:GEK917584 GOG917580:GOG917584 GYC917580:GYC917584 HHY917580:HHY917584 HRU917580:HRU917584 IBQ917580:IBQ917584 ILM917580:ILM917584 IVI917580:IVI917584 JFE917580:JFE917584 JPA917580:JPA917584 JYW917580:JYW917584 KIS917580:KIS917584 KSO917580:KSO917584 LCK917580:LCK917584 LMG917580:LMG917584 LWC917580:LWC917584 MFY917580:MFY917584 MPU917580:MPU917584 MZQ917580:MZQ917584 NJM917580:NJM917584 NTI917580:NTI917584 ODE917580:ODE917584 ONA917580:ONA917584 OWW917580:OWW917584 PGS917580:PGS917584 PQO917580:PQO917584 QAK917580:QAK917584 QKG917580:QKG917584 QUC917580:QUC917584 RDY917580:RDY917584 RNU917580:RNU917584 RXQ917580:RXQ917584 SHM917580:SHM917584 SRI917580:SRI917584 TBE917580:TBE917584 TLA917580:TLA917584 TUW917580:TUW917584 UES917580:UES917584 UOO917580:UOO917584 UYK917580:UYK917584 VIG917580:VIG917584 VSC917580:VSC917584 WBY917580:WBY917584 WLU917580:WLU917584 WVQ917580:WVQ917584 I983116:I983120 JE983116:JE983120 TA983116:TA983120 ACW983116:ACW983120 AMS983116:AMS983120 AWO983116:AWO983120 BGK983116:BGK983120 BQG983116:BQG983120 CAC983116:CAC983120 CJY983116:CJY983120 CTU983116:CTU983120 DDQ983116:DDQ983120 DNM983116:DNM983120 DXI983116:DXI983120 EHE983116:EHE983120 ERA983116:ERA983120 FAW983116:FAW983120 FKS983116:FKS983120 FUO983116:FUO983120 GEK983116:GEK983120 GOG983116:GOG983120 GYC983116:GYC983120 HHY983116:HHY983120 HRU983116:HRU983120 IBQ983116:IBQ983120 ILM983116:ILM983120 IVI983116:IVI983120 JFE983116:JFE983120 JPA983116:JPA983120 JYW983116:JYW983120 KIS983116:KIS983120 KSO983116:KSO983120 LCK983116:LCK983120 LMG983116:LMG983120 LWC983116:LWC983120 MFY983116:MFY983120 MPU983116:MPU983120 MZQ983116:MZQ983120 NJM983116:NJM983120 NTI983116:NTI983120 ODE983116:ODE983120 ONA983116:ONA983120 OWW983116:OWW983120 PGS983116:PGS983120 PQO983116:PQO983120 QAK983116:QAK983120 QKG983116:QKG983120 QUC983116:QUC983120 RDY983116:RDY983120 RNU983116:RNU983120 RXQ983116:RXQ983120 SHM983116:SHM983120 SRI983116:SRI983120 TBE983116:TBE983120 TLA983116:TLA983120 TUW983116:TUW983120 UES983116:UES983120 UOO983116:UOO983120 UYK983116:UYK983120 VIG983116:VIG983120 VSC983116:VSC983120 WBY983116:WBY983120 WLU983116:WLU983120 WVQ983116:WVQ983120 I72:I74 JB77 SX77 ACT77 AMP77 AWL77 BGH77 BQD77 BZZ77 CJV77 CTR77 DDN77 DNJ77 DXF77 EHB77 EQX77 FAT77 FKP77 FUL77 GEH77 GOD77 GXZ77 HHV77 HRR77 IBN77 ILJ77 IVF77 JFB77 JOX77 JYT77 KIP77 KSL77 LCH77 LMD77 LVZ77 MFV77 MPR77 MZN77 NJJ77 NTF77 ODB77 OMX77 OWT77 PGP77 PQL77 QAH77 QKD77 QTZ77 RDV77 RNR77 RXN77 SHJ77 SRF77 TBB77 TKX77 TUT77 UEP77 UOL77 UYH77 VID77 VRZ77 WBV77 WLR77 WVN77 F65613 JB65613 SX65613 ACT65613 AMP65613 AWL65613 BGH65613 BQD65613 BZZ65613 CJV65613 CTR65613 DDN65613 DNJ65613 DXF65613 EHB65613 EQX65613 FAT65613 FKP65613 FUL65613 GEH65613 GOD65613 GXZ65613 HHV65613 HRR65613 IBN65613 ILJ65613 IVF65613 JFB65613 JOX65613 JYT65613 KIP65613 KSL65613 LCH65613 LMD65613 LVZ65613 MFV65613 MPR65613 MZN65613 NJJ65613 NTF65613 ODB65613 OMX65613 OWT65613 PGP65613 PQL65613 QAH65613 QKD65613 QTZ65613 RDV65613 RNR65613 RXN65613 SHJ65613 SRF65613 TBB65613 TKX65613 TUT65613 UEP65613 UOL65613 UYH65613 VID65613 VRZ65613 WBV65613 WLR65613 WVN65613 F131149 JB131149 SX131149 ACT131149 AMP131149 AWL131149 BGH131149 BQD131149 BZZ131149 CJV131149 CTR131149 DDN131149 DNJ131149 DXF131149 EHB131149 EQX131149 FAT131149 FKP131149 FUL131149 GEH131149 GOD131149 GXZ131149 HHV131149 HRR131149 IBN131149 ILJ131149 IVF131149 JFB131149 JOX131149 JYT131149 KIP131149 KSL131149 LCH131149 LMD131149 LVZ131149 MFV131149 MPR131149 MZN131149 NJJ131149 NTF131149 ODB131149 OMX131149 OWT131149 PGP131149 PQL131149 QAH131149 QKD131149 QTZ131149 RDV131149 RNR131149 RXN131149 SHJ131149 SRF131149 TBB131149 TKX131149 TUT131149 UEP131149 UOL131149 UYH131149 VID131149 VRZ131149 WBV131149 WLR131149 WVN131149 F196685 JB196685 SX196685 ACT196685 AMP196685 AWL196685 BGH196685 BQD196685 BZZ196685 CJV196685 CTR196685 DDN196685 DNJ196685 DXF196685 EHB196685 EQX196685 FAT196685 FKP196685 FUL196685 GEH196685 GOD196685 GXZ196685 HHV196685 HRR196685 IBN196685 ILJ196685 IVF196685 JFB196685 JOX196685 JYT196685 KIP196685 KSL196685 LCH196685 LMD196685 LVZ196685 MFV196685 MPR196685 MZN196685 NJJ196685 NTF196685 ODB196685 OMX196685 OWT196685 PGP196685 PQL196685 QAH196685 QKD196685 QTZ196685 RDV196685 RNR196685 RXN196685 SHJ196685 SRF196685 TBB196685 TKX196685 TUT196685 UEP196685 UOL196685 UYH196685 VID196685 VRZ196685 WBV196685 WLR196685 WVN196685 F262221 JB262221 SX262221 ACT262221 AMP262221 AWL262221 BGH262221 BQD262221 BZZ262221 CJV262221 CTR262221 DDN262221 DNJ262221 DXF262221 EHB262221 EQX262221 FAT262221 FKP262221 FUL262221 GEH262221 GOD262221 GXZ262221 HHV262221 HRR262221 IBN262221 ILJ262221 IVF262221 JFB262221 JOX262221 JYT262221 KIP262221 KSL262221 LCH262221 LMD262221 LVZ262221 MFV262221 MPR262221 MZN262221 NJJ262221 NTF262221 ODB262221 OMX262221 OWT262221 PGP262221 PQL262221 QAH262221 QKD262221 QTZ262221 RDV262221 RNR262221 RXN262221 SHJ262221 SRF262221 TBB262221 TKX262221 TUT262221 UEP262221 UOL262221 UYH262221 VID262221 VRZ262221 WBV262221 WLR262221 WVN262221 F327757 JB327757 SX327757 ACT327757 AMP327757 AWL327757 BGH327757 BQD327757 BZZ327757 CJV327757 CTR327757 DDN327757 DNJ327757 DXF327757 EHB327757 EQX327757 FAT327757 FKP327757 FUL327757 GEH327757 GOD327757 GXZ327757 HHV327757 HRR327757 IBN327757 ILJ327757 IVF327757 JFB327757 JOX327757 JYT327757 KIP327757 KSL327757 LCH327757 LMD327757 LVZ327757 MFV327757 MPR327757 MZN327757 NJJ327757 NTF327757 ODB327757 OMX327757 OWT327757 PGP327757 PQL327757 QAH327757 QKD327757 QTZ327757 RDV327757 RNR327757 RXN327757 SHJ327757 SRF327757 TBB327757 TKX327757 TUT327757 UEP327757 UOL327757 UYH327757 VID327757 VRZ327757 WBV327757 WLR327757 WVN327757 F393293 JB393293 SX393293 ACT393293 AMP393293 AWL393293 BGH393293 BQD393293 BZZ393293 CJV393293 CTR393293 DDN393293 DNJ393293 DXF393293 EHB393293 EQX393293 FAT393293 FKP393293 FUL393293 GEH393293 GOD393293 GXZ393293 HHV393293 HRR393293 IBN393293 ILJ393293 IVF393293 JFB393293 JOX393293 JYT393293 KIP393293 KSL393293 LCH393293 LMD393293 LVZ393293 MFV393293 MPR393293 MZN393293 NJJ393293 NTF393293 ODB393293 OMX393293 OWT393293 PGP393293 PQL393293 QAH393293 QKD393293 QTZ393293 RDV393293 RNR393293 RXN393293 SHJ393293 SRF393293 TBB393293 TKX393293 TUT393293 UEP393293 UOL393293 UYH393293 VID393293 VRZ393293 WBV393293 WLR393293 WVN393293 F458829 JB458829 SX458829 ACT458829 AMP458829 AWL458829 BGH458829 BQD458829 BZZ458829 CJV458829 CTR458829 DDN458829 DNJ458829 DXF458829 EHB458829 EQX458829 FAT458829 FKP458829 FUL458829 GEH458829 GOD458829 GXZ458829 HHV458829 HRR458829 IBN458829 ILJ458829 IVF458829 JFB458829 JOX458829 JYT458829 KIP458829 KSL458829 LCH458829 LMD458829 LVZ458829 MFV458829 MPR458829 MZN458829 NJJ458829 NTF458829 ODB458829 OMX458829 OWT458829 PGP458829 PQL458829 QAH458829 QKD458829 QTZ458829 RDV458829 RNR458829 RXN458829 SHJ458829 SRF458829 TBB458829 TKX458829 TUT458829 UEP458829 UOL458829 UYH458829 VID458829 VRZ458829 WBV458829 WLR458829 WVN458829 F524365 JB524365 SX524365 ACT524365 AMP524365 AWL524365 BGH524365 BQD524365 BZZ524365 CJV524365 CTR524365 DDN524365 DNJ524365 DXF524365 EHB524365 EQX524365 FAT524365 FKP524365 FUL524365 GEH524365 GOD524365 GXZ524365 HHV524365 HRR524365 IBN524365 ILJ524365 IVF524365 JFB524365 JOX524365 JYT524365 KIP524365 KSL524365 LCH524365 LMD524365 LVZ524365 MFV524365 MPR524365 MZN524365 NJJ524365 NTF524365 ODB524365 OMX524365 OWT524365 PGP524365 PQL524365 QAH524365 QKD524365 QTZ524365 RDV524365 RNR524365 RXN524365 SHJ524365 SRF524365 TBB524365 TKX524365 TUT524365 UEP524365 UOL524365 UYH524365 VID524365 VRZ524365 WBV524365 WLR524365 WVN524365 F589901 JB589901 SX589901 ACT589901 AMP589901 AWL589901 BGH589901 BQD589901 BZZ589901 CJV589901 CTR589901 DDN589901 DNJ589901 DXF589901 EHB589901 EQX589901 FAT589901 FKP589901 FUL589901 GEH589901 GOD589901 GXZ589901 HHV589901 HRR589901 IBN589901 ILJ589901 IVF589901 JFB589901 JOX589901 JYT589901 KIP589901 KSL589901 LCH589901 LMD589901 LVZ589901 MFV589901 MPR589901 MZN589901 NJJ589901 NTF589901 ODB589901 OMX589901 OWT589901 PGP589901 PQL589901 QAH589901 QKD589901 QTZ589901 RDV589901 RNR589901 RXN589901 SHJ589901 SRF589901 TBB589901 TKX589901 TUT589901 UEP589901 UOL589901 UYH589901 VID589901 VRZ589901 WBV589901 WLR589901 WVN589901 F655437 JB655437 SX655437 ACT655437 AMP655437 AWL655437 BGH655437 BQD655437 BZZ655437 CJV655437 CTR655437 DDN655437 DNJ655437 DXF655437 EHB655437 EQX655437 FAT655437 FKP655437 FUL655437 GEH655437 GOD655437 GXZ655437 HHV655437 HRR655437 IBN655437 ILJ655437 IVF655437 JFB655437 JOX655437 JYT655437 KIP655437 KSL655437 LCH655437 LMD655437 LVZ655437 MFV655437 MPR655437 MZN655437 NJJ655437 NTF655437 ODB655437 OMX655437 OWT655437 PGP655437 PQL655437 QAH655437 QKD655437 QTZ655437 RDV655437 RNR655437 RXN655437 SHJ655437 SRF655437 TBB655437 TKX655437 TUT655437 UEP655437 UOL655437 UYH655437 VID655437 VRZ655437 WBV655437 WLR655437 WVN655437 F720973 JB720973 SX720973 ACT720973 AMP720973 AWL720973 BGH720973 BQD720973 BZZ720973 CJV720973 CTR720973 DDN720973 DNJ720973 DXF720973 EHB720973 EQX720973 FAT720973 FKP720973 FUL720973 GEH720973 GOD720973 GXZ720973 HHV720973 HRR720973 IBN720973 ILJ720973 IVF720973 JFB720973 JOX720973 JYT720973 KIP720973 KSL720973 LCH720973 LMD720973 LVZ720973 MFV720973 MPR720973 MZN720973 NJJ720973 NTF720973 ODB720973 OMX720973 OWT720973 PGP720973 PQL720973 QAH720973 QKD720973 QTZ720973 RDV720973 RNR720973 RXN720973 SHJ720973 SRF720973 TBB720973 TKX720973 TUT720973 UEP720973 UOL720973 UYH720973 VID720973 VRZ720973 WBV720973 WLR720973 WVN720973 F786509 JB786509 SX786509 ACT786509 AMP786509 AWL786509 BGH786509 BQD786509 BZZ786509 CJV786509 CTR786509 DDN786509 DNJ786509 DXF786509 EHB786509 EQX786509 FAT786509 FKP786509 FUL786509 GEH786509 GOD786509 GXZ786509 HHV786509 HRR786509 IBN786509 ILJ786509 IVF786509 JFB786509 JOX786509 JYT786509 KIP786509 KSL786509 LCH786509 LMD786509 LVZ786509 MFV786509 MPR786509 MZN786509 NJJ786509 NTF786509 ODB786509 OMX786509 OWT786509 PGP786509 PQL786509 QAH786509 QKD786509 QTZ786509 RDV786509 RNR786509 RXN786509 SHJ786509 SRF786509 TBB786509 TKX786509 TUT786509 UEP786509 UOL786509 UYH786509 VID786509 VRZ786509 WBV786509 WLR786509 WVN786509 F852045 JB852045 SX852045 ACT852045 AMP852045 AWL852045 BGH852045 BQD852045 BZZ852045 CJV852045 CTR852045 DDN852045 DNJ852045 DXF852045 EHB852045 EQX852045 FAT852045 FKP852045 FUL852045 GEH852045 GOD852045 GXZ852045 HHV852045 HRR852045 IBN852045 ILJ852045 IVF852045 JFB852045 JOX852045 JYT852045 KIP852045 KSL852045 LCH852045 LMD852045 LVZ852045 MFV852045 MPR852045 MZN852045 NJJ852045 NTF852045 ODB852045 OMX852045 OWT852045 PGP852045 PQL852045 QAH852045 QKD852045 QTZ852045 RDV852045 RNR852045 RXN852045 SHJ852045 SRF852045 TBB852045 TKX852045 TUT852045 UEP852045 UOL852045 UYH852045 VID852045 VRZ852045 WBV852045 WLR852045 WVN852045 F917581 JB917581 SX917581 ACT917581 AMP917581 AWL917581 BGH917581 BQD917581 BZZ917581 CJV917581 CTR917581 DDN917581 DNJ917581 DXF917581 EHB917581 EQX917581 FAT917581 FKP917581 FUL917581 GEH917581 GOD917581 GXZ917581 HHV917581 HRR917581 IBN917581 ILJ917581 IVF917581 JFB917581 JOX917581 JYT917581 KIP917581 KSL917581 LCH917581 LMD917581 LVZ917581 MFV917581 MPR917581 MZN917581 NJJ917581 NTF917581 ODB917581 OMX917581 OWT917581 PGP917581 PQL917581 QAH917581 QKD917581 QTZ917581 RDV917581 RNR917581 RXN917581 SHJ917581 SRF917581 TBB917581 TKX917581 TUT917581 UEP917581 UOL917581 UYH917581 VID917581 VRZ917581 WBV917581 WLR917581 WVN917581 F983117 JB983117 SX983117 ACT983117 AMP983117 AWL983117 BGH983117 BQD983117 BZZ983117 CJV983117 CTR983117 DDN983117 DNJ983117 DXF983117 EHB983117 EQX983117 FAT983117 FKP983117 FUL983117 GEH983117 GOD983117 GXZ983117 HHV983117 HRR983117 IBN983117 ILJ983117 IVF983117 JFB983117 JOX983117 JYT983117 KIP983117 KSL983117 LCH983117 LMD983117 LVZ983117 MFV983117 MPR983117 MZN983117 NJJ983117 NTF983117 ODB983117 OMX983117 OWT983117 PGP983117 PQL983117 QAH983117 QKD983117 QTZ983117 RDV983117 RNR983117 RXN983117 SHJ983117 SRF983117 TBB983117 TKX983117 TUT983117 UEP983117 UOL983117 UYH983117 VID983117 VRZ983117 WBV983117 WLR983117 WVN983117 F79:F80 JE29:JE31 TA29:TA31 ACW29:ACW31 AMS29:AMS31 AWO29:AWO31 BGK29:BGK31 BQG29:BQG31 CAC29:CAC31 CJY29:CJY31 CTU29:CTU31 DDQ29:DDQ31 DNM29:DNM31 DXI29:DXI31 EHE29:EHE31 ERA29:ERA31 FAW29:FAW31 FKS29:FKS31 FUO29:FUO31 GEK29:GEK31 GOG29:GOG31 GYC29:GYC31 HHY29:HHY31 HRU29:HRU31 IBQ29:IBQ31 ILM29:ILM31 IVI29:IVI31 JFE29:JFE31 JPA29:JPA31 JYW29:JYW31 KIS29:KIS31 KSO29:KSO31 LCK29:LCK31 LMG29:LMG31 LWC29:LWC31 MFY29:MFY31 MPU29:MPU31 MZQ29:MZQ31 NJM29:NJM31 NTI29:NTI31 ODE29:ODE31 ONA29:ONA31 OWW29:OWW31 PGS29:PGS31 PQO29:PQO31 QAK29:QAK31 QKG29:QKG31 QUC29:QUC31 RDY29:RDY31 RNU29:RNU31 RXQ29:RXQ31 SHM29:SHM31 SRI29:SRI31 TBE29:TBE31 TLA29:TLA31 TUW29:TUW31 UES29:UES31 UOO29:UOO31 UYK29:UYK31 VIG29:VIG31 VSC29:VSC31 WBY29:WBY31 WLU29:WLU31 WVQ29:WVQ31 I65565:I65567 JE65565:JE65567 TA65565:TA65567 ACW65565:ACW65567 AMS65565:AMS65567 AWO65565:AWO65567 BGK65565:BGK65567 BQG65565:BQG65567 CAC65565:CAC65567 CJY65565:CJY65567 CTU65565:CTU65567 DDQ65565:DDQ65567 DNM65565:DNM65567 DXI65565:DXI65567 EHE65565:EHE65567 ERA65565:ERA65567 FAW65565:FAW65567 FKS65565:FKS65567 FUO65565:FUO65567 GEK65565:GEK65567 GOG65565:GOG65567 GYC65565:GYC65567 HHY65565:HHY65567 HRU65565:HRU65567 IBQ65565:IBQ65567 ILM65565:ILM65567 IVI65565:IVI65567 JFE65565:JFE65567 JPA65565:JPA65567 JYW65565:JYW65567 KIS65565:KIS65567 KSO65565:KSO65567 LCK65565:LCK65567 LMG65565:LMG65567 LWC65565:LWC65567 MFY65565:MFY65567 MPU65565:MPU65567 MZQ65565:MZQ65567 NJM65565:NJM65567 NTI65565:NTI65567 ODE65565:ODE65567 ONA65565:ONA65567 OWW65565:OWW65567 PGS65565:PGS65567 PQO65565:PQO65567 QAK65565:QAK65567 QKG65565:QKG65567 QUC65565:QUC65567 RDY65565:RDY65567 RNU65565:RNU65567 RXQ65565:RXQ65567 SHM65565:SHM65567 SRI65565:SRI65567 TBE65565:TBE65567 TLA65565:TLA65567 TUW65565:TUW65567 UES65565:UES65567 UOO65565:UOO65567 UYK65565:UYK65567 VIG65565:VIG65567 VSC65565:VSC65567 WBY65565:WBY65567 WLU65565:WLU65567 WVQ65565:WVQ65567 I131101:I131103 JE131101:JE131103 TA131101:TA131103 ACW131101:ACW131103 AMS131101:AMS131103 AWO131101:AWO131103 BGK131101:BGK131103 BQG131101:BQG131103 CAC131101:CAC131103 CJY131101:CJY131103 CTU131101:CTU131103 DDQ131101:DDQ131103 DNM131101:DNM131103 DXI131101:DXI131103 EHE131101:EHE131103 ERA131101:ERA131103 FAW131101:FAW131103 FKS131101:FKS131103 FUO131101:FUO131103 GEK131101:GEK131103 GOG131101:GOG131103 GYC131101:GYC131103 HHY131101:HHY131103 HRU131101:HRU131103 IBQ131101:IBQ131103 ILM131101:ILM131103 IVI131101:IVI131103 JFE131101:JFE131103 JPA131101:JPA131103 JYW131101:JYW131103 KIS131101:KIS131103 KSO131101:KSO131103 LCK131101:LCK131103 LMG131101:LMG131103 LWC131101:LWC131103 MFY131101:MFY131103 MPU131101:MPU131103 MZQ131101:MZQ131103 NJM131101:NJM131103 NTI131101:NTI131103 ODE131101:ODE131103 ONA131101:ONA131103 OWW131101:OWW131103 PGS131101:PGS131103 PQO131101:PQO131103 QAK131101:QAK131103 QKG131101:QKG131103 QUC131101:QUC131103 RDY131101:RDY131103 RNU131101:RNU131103 RXQ131101:RXQ131103 SHM131101:SHM131103 SRI131101:SRI131103 TBE131101:TBE131103 TLA131101:TLA131103 TUW131101:TUW131103 UES131101:UES131103 UOO131101:UOO131103 UYK131101:UYK131103 VIG131101:VIG131103 VSC131101:VSC131103 WBY131101:WBY131103 WLU131101:WLU131103 WVQ131101:WVQ131103 I196637:I196639 JE196637:JE196639 TA196637:TA196639 ACW196637:ACW196639 AMS196637:AMS196639 AWO196637:AWO196639 BGK196637:BGK196639 BQG196637:BQG196639 CAC196637:CAC196639 CJY196637:CJY196639 CTU196637:CTU196639 DDQ196637:DDQ196639 DNM196637:DNM196639 DXI196637:DXI196639 EHE196637:EHE196639 ERA196637:ERA196639 FAW196637:FAW196639 FKS196637:FKS196639 FUO196637:FUO196639 GEK196637:GEK196639 GOG196637:GOG196639 GYC196637:GYC196639 HHY196637:HHY196639 HRU196637:HRU196639 IBQ196637:IBQ196639 ILM196637:ILM196639 IVI196637:IVI196639 JFE196637:JFE196639 JPA196637:JPA196639 JYW196637:JYW196639 KIS196637:KIS196639 KSO196637:KSO196639 LCK196637:LCK196639 LMG196637:LMG196639 LWC196637:LWC196639 MFY196637:MFY196639 MPU196637:MPU196639 MZQ196637:MZQ196639 NJM196637:NJM196639 NTI196637:NTI196639 ODE196637:ODE196639 ONA196637:ONA196639 OWW196637:OWW196639 PGS196637:PGS196639 PQO196637:PQO196639 QAK196637:QAK196639 QKG196637:QKG196639 QUC196637:QUC196639 RDY196637:RDY196639 RNU196637:RNU196639 RXQ196637:RXQ196639 SHM196637:SHM196639 SRI196637:SRI196639 TBE196637:TBE196639 TLA196637:TLA196639 TUW196637:TUW196639 UES196637:UES196639 UOO196637:UOO196639 UYK196637:UYK196639 VIG196637:VIG196639 VSC196637:VSC196639 WBY196637:WBY196639 WLU196637:WLU196639 WVQ196637:WVQ196639 I262173:I262175 JE262173:JE262175 TA262173:TA262175 ACW262173:ACW262175 AMS262173:AMS262175 AWO262173:AWO262175 BGK262173:BGK262175 BQG262173:BQG262175 CAC262173:CAC262175 CJY262173:CJY262175 CTU262173:CTU262175 DDQ262173:DDQ262175 DNM262173:DNM262175 DXI262173:DXI262175 EHE262173:EHE262175 ERA262173:ERA262175 FAW262173:FAW262175 FKS262173:FKS262175 FUO262173:FUO262175 GEK262173:GEK262175 GOG262173:GOG262175 GYC262173:GYC262175 HHY262173:HHY262175 HRU262173:HRU262175 IBQ262173:IBQ262175 ILM262173:ILM262175 IVI262173:IVI262175 JFE262173:JFE262175 JPA262173:JPA262175 JYW262173:JYW262175 KIS262173:KIS262175 KSO262173:KSO262175 LCK262173:LCK262175 LMG262173:LMG262175 LWC262173:LWC262175 MFY262173:MFY262175 MPU262173:MPU262175 MZQ262173:MZQ262175 NJM262173:NJM262175 NTI262173:NTI262175 ODE262173:ODE262175 ONA262173:ONA262175 OWW262173:OWW262175 PGS262173:PGS262175 PQO262173:PQO262175 QAK262173:QAK262175 QKG262173:QKG262175 QUC262173:QUC262175 RDY262173:RDY262175 RNU262173:RNU262175 RXQ262173:RXQ262175 SHM262173:SHM262175 SRI262173:SRI262175 TBE262173:TBE262175 TLA262173:TLA262175 TUW262173:TUW262175 UES262173:UES262175 UOO262173:UOO262175 UYK262173:UYK262175 VIG262173:VIG262175 VSC262173:VSC262175 WBY262173:WBY262175 WLU262173:WLU262175 WVQ262173:WVQ262175 I327709:I327711 JE327709:JE327711 TA327709:TA327711 ACW327709:ACW327711 AMS327709:AMS327711 AWO327709:AWO327711 BGK327709:BGK327711 BQG327709:BQG327711 CAC327709:CAC327711 CJY327709:CJY327711 CTU327709:CTU327711 DDQ327709:DDQ327711 DNM327709:DNM327711 DXI327709:DXI327711 EHE327709:EHE327711 ERA327709:ERA327711 FAW327709:FAW327711 FKS327709:FKS327711 FUO327709:FUO327711 GEK327709:GEK327711 GOG327709:GOG327711 GYC327709:GYC327711 HHY327709:HHY327711 HRU327709:HRU327711 IBQ327709:IBQ327711 ILM327709:ILM327711 IVI327709:IVI327711 JFE327709:JFE327711 JPA327709:JPA327711 JYW327709:JYW327711 KIS327709:KIS327711 KSO327709:KSO327711 LCK327709:LCK327711 LMG327709:LMG327711 LWC327709:LWC327711 MFY327709:MFY327711 MPU327709:MPU327711 MZQ327709:MZQ327711 NJM327709:NJM327711 NTI327709:NTI327711 ODE327709:ODE327711 ONA327709:ONA327711 OWW327709:OWW327711 PGS327709:PGS327711 PQO327709:PQO327711 QAK327709:QAK327711 QKG327709:QKG327711 QUC327709:QUC327711 RDY327709:RDY327711 RNU327709:RNU327711 RXQ327709:RXQ327711 SHM327709:SHM327711 SRI327709:SRI327711 TBE327709:TBE327711 TLA327709:TLA327711 TUW327709:TUW327711 UES327709:UES327711 UOO327709:UOO327711 UYK327709:UYK327711 VIG327709:VIG327711 VSC327709:VSC327711 WBY327709:WBY327711 WLU327709:WLU327711 WVQ327709:WVQ327711 I393245:I393247 JE393245:JE393247 TA393245:TA393247 ACW393245:ACW393247 AMS393245:AMS393247 AWO393245:AWO393247 BGK393245:BGK393247 BQG393245:BQG393247 CAC393245:CAC393247 CJY393245:CJY393247 CTU393245:CTU393247 DDQ393245:DDQ393247 DNM393245:DNM393247 DXI393245:DXI393247 EHE393245:EHE393247 ERA393245:ERA393247 FAW393245:FAW393247 FKS393245:FKS393247 FUO393245:FUO393247 GEK393245:GEK393247 GOG393245:GOG393247 GYC393245:GYC393247 HHY393245:HHY393247 HRU393245:HRU393247 IBQ393245:IBQ393247 ILM393245:ILM393247 IVI393245:IVI393247 JFE393245:JFE393247 JPA393245:JPA393247 JYW393245:JYW393247 KIS393245:KIS393247 KSO393245:KSO393247 LCK393245:LCK393247 LMG393245:LMG393247 LWC393245:LWC393247 MFY393245:MFY393247 MPU393245:MPU393247 MZQ393245:MZQ393247 NJM393245:NJM393247 NTI393245:NTI393247 ODE393245:ODE393247 ONA393245:ONA393247 OWW393245:OWW393247 PGS393245:PGS393247 PQO393245:PQO393247 QAK393245:QAK393247 QKG393245:QKG393247 QUC393245:QUC393247 RDY393245:RDY393247 RNU393245:RNU393247 RXQ393245:RXQ393247 SHM393245:SHM393247 SRI393245:SRI393247 TBE393245:TBE393247 TLA393245:TLA393247 TUW393245:TUW393247 UES393245:UES393247 UOO393245:UOO393247 UYK393245:UYK393247 VIG393245:VIG393247 VSC393245:VSC393247 WBY393245:WBY393247 WLU393245:WLU393247 WVQ393245:WVQ393247 I458781:I458783 JE458781:JE458783 TA458781:TA458783 ACW458781:ACW458783 AMS458781:AMS458783 AWO458781:AWO458783 BGK458781:BGK458783 BQG458781:BQG458783 CAC458781:CAC458783 CJY458781:CJY458783 CTU458781:CTU458783 DDQ458781:DDQ458783 DNM458781:DNM458783 DXI458781:DXI458783 EHE458781:EHE458783 ERA458781:ERA458783 FAW458781:FAW458783 FKS458781:FKS458783 FUO458781:FUO458783 GEK458781:GEK458783 GOG458781:GOG458783 GYC458781:GYC458783 HHY458781:HHY458783 HRU458781:HRU458783 IBQ458781:IBQ458783 ILM458781:ILM458783 IVI458781:IVI458783 JFE458781:JFE458783 JPA458781:JPA458783 JYW458781:JYW458783 KIS458781:KIS458783 KSO458781:KSO458783 LCK458781:LCK458783 LMG458781:LMG458783 LWC458781:LWC458783 MFY458781:MFY458783 MPU458781:MPU458783 MZQ458781:MZQ458783 NJM458781:NJM458783 NTI458781:NTI458783 ODE458781:ODE458783 ONA458781:ONA458783 OWW458781:OWW458783 PGS458781:PGS458783 PQO458781:PQO458783 QAK458781:QAK458783 QKG458781:QKG458783 QUC458781:QUC458783 RDY458781:RDY458783 RNU458781:RNU458783 RXQ458781:RXQ458783 SHM458781:SHM458783 SRI458781:SRI458783 TBE458781:TBE458783 TLA458781:TLA458783 TUW458781:TUW458783 UES458781:UES458783 UOO458781:UOO458783 UYK458781:UYK458783 VIG458781:VIG458783 VSC458781:VSC458783 WBY458781:WBY458783 WLU458781:WLU458783 WVQ458781:WVQ458783 I524317:I524319 JE524317:JE524319 TA524317:TA524319 ACW524317:ACW524319 AMS524317:AMS524319 AWO524317:AWO524319 BGK524317:BGK524319 BQG524317:BQG524319 CAC524317:CAC524319 CJY524317:CJY524319 CTU524317:CTU524319 DDQ524317:DDQ524319 DNM524317:DNM524319 DXI524317:DXI524319 EHE524317:EHE524319 ERA524317:ERA524319 FAW524317:FAW524319 FKS524317:FKS524319 FUO524317:FUO524319 GEK524317:GEK524319 GOG524317:GOG524319 GYC524317:GYC524319 HHY524317:HHY524319 HRU524317:HRU524319 IBQ524317:IBQ524319 ILM524317:ILM524319 IVI524317:IVI524319 JFE524317:JFE524319 JPA524317:JPA524319 JYW524317:JYW524319 KIS524317:KIS524319 KSO524317:KSO524319 LCK524317:LCK524319 LMG524317:LMG524319 LWC524317:LWC524319 MFY524317:MFY524319 MPU524317:MPU524319 MZQ524317:MZQ524319 NJM524317:NJM524319 NTI524317:NTI524319 ODE524317:ODE524319 ONA524317:ONA524319 OWW524317:OWW524319 PGS524317:PGS524319 PQO524317:PQO524319 QAK524317:QAK524319 QKG524317:QKG524319 QUC524317:QUC524319 RDY524317:RDY524319 RNU524317:RNU524319 RXQ524317:RXQ524319 SHM524317:SHM524319 SRI524317:SRI524319 TBE524317:TBE524319 TLA524317:TLA524319 TUW524317:TUW524319 UES524317:UES524319 UOO524317:UOO524319 UYK524317:UYK524319 VIG524317:VIG524319 VSC524317:VSC524319 WBY524317:WBY524319 WLU524317:WLU524319 WVQ524317:WVQ524319 I589853:I589855 JE589853:JE589855 TA589853:TA589855 ACW589853:ACW589855 AMS589853:AMS589855 AWO589853:AWO589855 BGK589853:BGK589855 BQG589853:BQG589855 CAC589853:CAC589855 CJY589853:CJY589855 CTU589853:CTU589855 DDQ589853:DDQ589855 DNM589853:DNM589855 DXI589853:DXI589855 EHE589853:EHE589855 ERA589853:ERA589855 FAW589853:FAW589855 FKS589853:FKS589855 FUO589853:FUO589855 GEK589853:GEK589855 GOG589853:GOG589855 GYC589853:GYC589855 HHY589853:HHY589855 HRU589853:HRU589855 IBQ589853:IBQ589855 ILM589853:ILM589855 IVI589853:IVI589855 JFE589853:JFE589855 JPA589853:JPA589855 JYW589853:JYW589855 KIS589853:KIS589855 KSO589853:KSO589855 LCK589853:LCK589855 LMG589853:LMG589855 LWC589853:LWC589855 MFY589853:MFY589855 MPU589853:MPU589855 MZQ589853:MZQ589855 NJM589853:NJM589855 NTI589853:NTI589855 ODE589853:ODE589855 ONA589853:ONA589855 OWW589853:OWW589855 PGS589853:PGS589855 PQO589853:PQO589855 QAK589853:QAK589855 QKG589853:QKG589855 QUC589853:QUC589855 RDY589853:RDY589855 RNU589853:RNU589855 RXQ589853:RXQ589855 SHM589853:SHM589855 SRI589853:SRI589855 TBE589853:TBE589855 TLA589853:TLA589855 TUW589853:TUW589855 UES589853:UES589855 UOO589853:UOO589855 UYK589853:UYK589855 VIG589853:VIG589855 VSC589853:VSC589855 WBY589853:WBY589855 WLU589853:WLU589855 WVQ589853:WVQ589855 I655389:I655391 JE655389:JE655391 TA655389:TA655391 ACW655389:ACW655391 AMS655389:AMS655391 AWO655389:AWO655391 BGK655389:BGK655391 BQG655389:BQG655391 CAC655389:CAC655391 CJY655389:CJY655391 CTU655389:CTU655391 DDQ655389:DDQ655391 DNM655389:DNM655391 DXI655389:DXI655391 EHE655389:EHE655391 ERA655389:ERA655391 FAW655389:FAW655391 FKS655389:FKS655391 FUO655389:FUO655391 GEK655389:GEK655391 GOG655389:GOG655391 GYC655389:GYC655391 HHY655389:HHY655391 HRU655389:HRU655391 IBQ655389:IBQ655391 ILM655389:ILM655391 IVI655389:IVI655391 JFE655389:JFE655391 JPA655389:JPA655391 JYW655389:JYW655391 KIS655389:KIS655391 KSO655389:KSO655391 LCK655389:LCK655391 LMG655389:LMG655391 LWC655389:LWC655391 MFY655389:MFY655391 MPU655389:MPU655391 MZQ655389:MZQ655391 NJM655389:NJM655391 NTI655389:NTI655391 ODE655389:ODE655391 ONA655389:ONA655391 OWW655389:OWW655391 PGS655389:PGS655391 PQO655389:PQO655391 QAK655389:QAK655391 QKG655389:QKG655391 QUC655389:QUC655391 RDY655389:RDY655391 RNU655389:RNU655391 RXQ655389:RXQ655391 SHM655389:SHM655391 SRI655389:SRI655391 TBE655389:TBE655391 TLA655389:TLA655391 TUW655389:TUW655391 UES655389:UES655391 UOO655389:UOO655391 UYK655389:UYK655391 VIG655389:VIG655391 VSC655389:VSC655391 WBY655389:WBY655391 WLU655389:WLU655391 WVQ655389:WVQ655391 I720925:I720927 JE720925:JE720927 TA720925:TA720927 ACW720925:ACW720927 AMS720925:AMS720927 AWO720925:AWO720927 BGK720925:BGK720927 BQG720925:BQG720927 CAC720925:CAC720927 CJY720925:CJY720927 CTU720925:CTU720927 DDQ720925:DDQ720927 DNM720925:DNM720927 DXI720925:DXI720927 EHE720925:EHE720927 ERA720925:ERA720927 FAW720925:FAW720927 FKS720925:FKS720927 FUO720925:FUO720927 GEK720925:GEK720927 GOG720925:GOG720927 GYC720925:GYC720927 HHY720925:HHY720927 HRU720925:HRU720927 IBQ720925:IBQ720927 ILM720925:ILM720927 IVI720925:IVI720927 JFE720925:JFE720927 JPA720925:JPA720927 JYW720925:JYW720927 KIS720925:KIS720927 KSO720925:KSO720927 LCK720925:LCK720927 LMG720925:LMG720927 LWC720925:LWC720927 MFY720925:MFY720927 MPU720925:MPU720927 MZQ720925:MZQ720927 NJM720925:NJM720927 NTI720925:NTI720927 ODE720925:ODE720927 ONA720925:ONA720927 OWW720925:OWW720927 PGS720925:PGS720927 PQO720925:PQO720927 QAK720925:QAK720927 QKG720925:QKG720927 QUC720925:QUC720927 RDY720925:RDY720927 RNU720925:RNU720927 RXQ720925:RXQ720927 SHM720925:SHM720927 SRI720925:SRI720927 TBE720925:TBE720927 TLA720925:TLA720927 TUW720925:TUW720927 UES720925:UES720927 UOO720925:UOO720927 UYK720925:UYK720927 VIG720925:VIG720927 VSC720925:VSC720927 WBY720925:WBY720927 WLU720925:WLU720927 WVQ720925:WVQ720927 I786461:I786463 JE786461:JE786463 TA786461:TA786463 ACW786461:ACW786463 AMS786461:AMS786463 AWO786461:AWO786463 BGK786461:BGK786463 BQG786461:BQG786463 CAC786461:CAC786463 CJY786461:CJY786463 CTU786461:CTU786463 DDQ786461:DDQ786463 DNM786461:DNM786463 DXI786461:DXI786463 EHE786461:EHE786463 ERA786461:ERA786463 FAW786461:FAW786463 FKS786461:FKS786463 FUO786461:FUO786463 GEK786461:GEK786463 GOG786461:GOG786463 GYC786461:GYC786463 HHY786461:HHY786463 HRU786461:HRU786463 IBQ786461:IBQ786463 ILM786461:ILM786463 IVI786461:IVI786463 JFE786461:JFE786463 JPA786461:JPA786463 JYW786461:JYW786463 KIS786461:KIS786463 KSO786461:KSO786463 LCK786461:LCK786463 LMG786461:LMG786463 LWC786461:LWC786463 MFY786461:MFY786463 MPU786461:MPU786463 MZQ786461:MZQ786463 NJM786461:NJM786463 NTI786461:NTI786463 ODE786461:ODE786463 ONA786461:ONA786463 OWW786461:OWW786463 PGS786461:PGS786463 PQO786461:PQO786463 QAK786461:QAK786463 QKG786461:QKG786463 QUC786461:QUC786463 RDY786461:RDY786463 RNU786461:RNU786463 RXQ786461:RXQ786463 SHM786461:SHM786463 SRI786461:SRI786463 TBE786461:TBE786463 TLA786461:TLA786463 TUW786461:TUW786463 UES786461:UES786463 UOO786461:UOO786463 UYK786461:UYK786463 VIG786461:VIG786463 VSC786461:VSC786463 WBY786461:WBY786463 WLU786461:WLU786463 WVQ786461:WVQ786463 I851997:I851999 JE851997:JE851999 TA851997:TA851999 ACW851997:ACW851999 AMS851997:AMS851999 AWO851997:AWO851999 BGK851997:BGK851999 BQG851997:BQG851999 CAC851997:CAC851999 CJY851997:CJY851999 CTU851997:CTU851999 DDQ851997:DDQ851999 DNM851997:DNM851999 DXI851997:DXI851999 EHE851997:EHE851999 ERA851997:ERA851999 FAW851997:FAW851999 FKS851997:FKS851999 FUO851997:FUO851999 GEK851997:GEK851999 GOG851997:GOG851999 GYC851997:GYC851999 HHY851997:HHY851999 HRU851997:HRU851999 IBQ851997:IBQ851999 ILM851997:ILM851999 IVI851997:IVI851999 JFE851997:JFE851999 JPA851997:JPA851999 JYW851997:JYW851999 KIS851997:KIS851999 KSO851997:KSO851999 LCK851997:LCK851999 LMG851997:LMG851999 LWC851997:LWC851999 MFY851997:MFY851999 MPU851997:MPU851999 MZQ851997:MZQ851999 NJM851997:NJM851999 NTI851997:NTI851999 ODE851997:ODE851999 ONA851997:ONA851999 OWW851997:OWW851999 PGS851997:PGS851999 PQO851997:PQO851999 QAK851997:QAK851999 QKG851997:QKG851999 QUC851997:QUC851999 RDY851997:RDY851999 RNU851997:RNU851999 RXQ851997:RXQ851999 SHM851997:SHM851999 SRI851997:SRI851999 TBE851997:TBE851999 TLA851997:TLA851999 TUW851997:TUW851999 UES851997:UES851999 UOO851997:UOO851999 UYK851997:UYK851999 VIG851997:VIG851999 VSC851997:VSC851999 WBY851997:WBY851999 WLU851997:WLU851999 WVQ851997:WVQ851999 I917533:I917535 JE917533:JE917535 TA917533:TA917535 ACW917533:ACW917535 AMS917533:AMS917535 AWO917533:AWO917535 BGK917533:BGK917535 BQG917533:BQG917535 CAC917533:CAC917535 CJY917533:CJY917535 CTU917533:CTU917535 DDQ917533:DDQ917535 DNM917533:DNM917535 DXI917533:DXI917535 EHE917533:EHE917535 ERA917533:ERA917535 FAW917533:FAW917535 FKS917533:FKS917535 FUO917533:FUO917535 GEK917533:GEK917535 GOG917533:GOG917535 GYC917533:GYC917535 HHY917533:HHY917535 HRU917533:HRU917535 IBQ917533:IBQ917535 ILM917533:ILM917535 IVI917533:IVI917535 JFE917533:JFE917535 JPA917533:JPA917535 JYW917533:JYW917535 KIS917533:KIS917535 KSO917533:KSO917535 LCK917533:LCK917535 LMG917533:LMG917535 LWC917533:LWC917535 MFY917533:MFY917535 MPU917533:MPU917535 MZQ917533:MZQ917535 NJM917533:NJM917535 NTI917533:NTI917535 ODE917533:ODE917535 ONA917533:ONA917535 OWW917533:OWW917535 PGS917533:PGS917535 PQO917533:PQO917535 QAK917533:QAK917535 QKG917533:QKG917535 QUC917533:QUC917535 RDY917533:RDY917535 RNU917533:RNU917535 RXQ917533:RXQ917535 SHM917533:SHM917535 SRI917533:SRI917535 TBE917533:TBE917535 TLA917533:TLA917535 TUW917533:TUW917535 UES917533:UES917535 UOO917533:UOO917535 UYK917533:UYK917535 VIG917533:VIG917535 VSC917533:VSC917535 WBY917533:WBY917535 WLU917533:WLU917535 WVQ917533:WVQ917535 I983069:I983071 JE983069:JE983071 TA983069:TA983071 ACW983069:ACW983071 AMS983069:AMS983071 AWO983069:AWO983071 BGK983069:BGK983071 BQG983069:BQG983071 CAC983069:CAC983071 CJY983069:CJY983071 CTU983069:CTU983071 DDQ983069:DDQ983071 DNM983069:DNM983071 DXI983069:DXI983071 EHE983069:EHE983071 ERA983069:ERA983071 FAW983069:FAW983071 FKS983069:FKS983071 FUO983069:FUO983071 GEK983069:GEK983071 GOG983069:GOG983071 GYC983069:GYC983071 HHY983069:HHY983071 HRU983069:HRU983071 IBQ983069:IBQ983071 ILM983069:ILM983071 IVI983069:IVI983071 JFE983069:JFE983071 JPA983069:JPA983071 JYW983069:JYW983071 KIS983069:KIS983071 KSO983069:KSO983071 LCK983069:LCK983071 LMG983069:LMG983071 LWC983069:LWC983071 MFY983069:MFY983071 MPU983069:MPU983071 MZQ983069:MZQ983071 NJM983069:NJM983071 NTI983069:NTI983071 ODE983069:ODE983071 ONA983069:ONA983071 OWW983069:OWW983071 PGS983069:PGS983071 PQO983069:PQO983071 QAK983069:QAK983071 QKG983069:QKG983071 QUC983069:QUC983071 RDY983069:RDY983071 RNU983069:RNU983071 RXQ983069:RXQ983071 SHM983069:SHM983071 SRI983069:SRI983071 TBE983069:TBE983071 TLA983069:TLA983071 TUW983069:TUW983071 UES983069:UES983071 UOO983069:UOO983071 UYK983069:UYK983071 VIG983069:VIG983071 VSC983069:VSC983071 WBY983069:WBY983071 WLU983069:WLU983071 WVQ983069:WVQ983071 F67:F70 JE72:JE74 TA72:TA74 ACW72:ACW74 AMS72:AMS74 AWO72:AWO74 BGK72:BGK74 BQG72:BQG74 CAC72:CAC74 CJY72:CJY74 CTU72:CTU74 DDQ72:DDQ74 DNM72:DNM74 DXI72:DXI74 EHE72:EHE74 ERA72:ERA74 FAW72:FAW74 FKS72:FKS74 FUO72:FUO74 GEK72:GEK74 GOG72:GOG74 GYC72:GYC74 HHY72:HHY74 HRU72:HRU74 IBQ72:IBQ74 ILM72:ILM74 IVI72:IVI74 JFE72:JFE74 JPA72:JPA74 JYW72:JYW74 KIS72:KIS74 KSO72:KSO74 LCK72:LCK74 LMG72:LMG74 LWC72:LWC74 MFY72:MFY74 MPU72:MPU74 MZQ72:MZQ74 NJM72:NJM74 NTI72:NTI74 ODE72:ODE74 ONA72:ONA74 OWW72:OWW74 PGS72:PGS74 PQO72:PQO74 QAK72:QAK74 QKG72:QKG74 QUC72:QUC74 RDY72:RDY74 RNU72:RNU74 RXQ72:RXQ74 SHM72:SHM74 SRI72:SRI74 TBE72:TBE74 TLA72:TLA74 TUW72:TUW74 UES72:UES74 UOO72:UOO74 UYK72:UYK74 VIG72:VIG74 VSC72:VSC74 WBY72:WBY74 WLU72:WLU74 WVQ72:WVQ74 I65608:I65610 JE65608:JE65610 TA65608:TA65610 ACW65608:ACW65610 AMS65608:AMS65610 AWO65608:AWO65610 BGK65608:BGK65610 BQG65608:BQG65610 CAC65608:CAC65610 CJY65608:CJY65610 CTU65608:CTU65610 DDQ65608:DDQ65610 DNM65608:DNM65610 DXI65608:DXI65610 EHE65608:EHE65610 ERA65608:ERA65610 FAW65608:FAW65610 FKS65608:FKS65610 FUO65608:FUO65610 GEK65608:GEK65610 GOG65608:GOG65610 GYC65608:GYC65610 HHY65608:HHY65610 HRU65608:HRU65610 IBQ65608:IBQ65610 ILM65608:ILM65610 IVI65608:IVI65610 JFE65608:JFE65610 JPA65608:JPA65610 JYW65608:JYW65610 KIS65608:KIS65610 KSO65608:KSO65610 LCK65608:LCK65610 LMG65608:LMG65610 LWC65608:LWC65610 MFY65608:MFY65610 MPU65608:MPU65610 MZQ65608:MZQ65610 NJM65608:NJM65610 NTI65608:NTI65610 ODE65608:ODE65610 ONA65608:ONA65610 OWW65608:OWW65610 PGS65608:PGS65610 PQO65608:PQO65610 QAK65608:QAK65610 QKG65608:QKG65610 QUC65608:QUC65610 RDY65608:RDY65610 RNU65608:RNU65610 RXQ65608:RXQ65610 SHM65608:SHM65610 SRI65608:SRI65610 TBE65608:TBE65610 TLA65608:TLA65610 TUW65608:TUW65610 UES65608:UES65610 UOO65608:UOO65610 UYK65608:UYK65610 VIG65608:VIG65610 VSC65608:VSC65610 WBY65608:WBY65610 WLU65608:WLU65610 WVQ65608:WVQ65610 I131144:I131146 JE131144:JE131146 TA131144:TA131146 ACW131144:ACW131146 AMS131144:AMS131146 AWO131144:AWO131146 BGK131144:BGK131146 BQG131144:BQG131146 CAC131144:CAC131146 CJY131144:CJY131146 CTU131144:CTU131146 DDQ131144:DDQ131146 DNM131144:DNM131146 DXI131144:DXI131146 EHE131144:EHE131146 ERA131144:ERA131146 FAW131144:FAW131146 FKS131144:FKS131146 FUO131144:FUO131146 GEK131144:GEK131146 GOG131144:GOG131146 GYC131144:GYC131146 HHY131144:HHY131146 HRU131144:HRU131146 IBQ131144:IBQ131146 ILM131144:ILM131146 IVI131144:IVI131146 JFE131144:JFE131146 JPA131144:JPA131146 JYW131144:JYW131146 KIS131144:KIS131146 KSO131144:KSO131146 LCK131144:LCK131146 LMG131144:LMG131146 LWC131144:LWC131146 MFY131144:MFY131146 MPU131144:MPU131146 MZQ131144:MZQ131146 NJM131144:NJM131146 NTI131144:NTI131146 ODE131144:ODE131146 ONA131144:ONA131146 OWW131144:OWW131146 PGS131144:PGS131146 PQO131144:PQO131146 QAK131144:QAK131146 QKG131144:QKG131146 QUC131144:QUC131146 RDY131144:RDY131146 RNU131144:RNU131146 RXQ131144:RXQ131146 SHM131144:SHM131146 SRI131144:SRI131146 TBE131144:TBE131146 TLA131144:TLA131146 TUW131144:TUW131146 UES131144:UES131146 UOO131144:UOO131146 UYK131144:UYK131146 VIG131144:VIG131146 VSC131144:VSC131146 WBY131144:WBY131146 WLU131144:WLU131146 WVQ131144:WVQ131146 I196680:I196682 JE196680:JE196682 TA196680:TA196682 ACW196680:ACW196682 AMS196680:AMS196682 AWO196680:AWO196682 BGK196680:BGK196682 BQG196680:BQG196682 CAC196680:CAC196682 CJY196680:CJY196682 CTU196680:CTU196682 DDQ196680:DDQ196682 DNM196680:DNM196682 DXI196680:DXI196682 EHE196680:EHE196682 ERA196680:ERA196682 FAW196680:FAW196682 FKS196680:FKS196682 FUO196680:FUO196682 GEK196680:GEK196682 GOG196680:GOG196682 GYC196680:GYC196682 HHY196680:HHY196682 HRU196680:HRU196682 IBQ196680:IBQ196682 ILM196680:ILM196682 IVI196680:IVI196682 JFE196680:JFE196682 JPA196680:JPA196682 JYW196680:JYW196682 KIS196680:KIS196682 KSO196680:KSO196682 LCK196680:LCK196682 LMG196680:LMG196682 LWC196680:LWC196682 MFY196680:MFY196682 MPU196680:MPU196682 MZQ196680:MZQ196682 NJM196680:NJM196682 NTI196680:NTI196682 ODE196680:ODE196682 ONA196680:ONA196682 OWW196680:OWW196682 PGS196680:PGS196682 PQO196680:PQO196682 QAK196680:QAK196682 QKG196680:QKG196682 QUC196680:QUC196682 RDY196680:RDY196682 RNU196680:RNU196682 RXQ196680:RXQ196682 SHM196680:SHM196682 SRI196680:SRI196682 TBE196680:TBE196682 TLA196680:TLA196682 TUW196680:TUW196682 UES196680:UES196682 UOO196680:UOO196682 UYK196680:UYK196682 VIG196680:VIG196682 VSC196680:VSC196682 WBY196680:WBY196682 WLU196680:WLU196682 WVQ196680:WVQ196682 I262216:I262218 JE262216:JE262218 TA262216:TA262218 ACW262216:ACW262218 AMS262216:AMS262218 AWO262216:AWO262218 BGK262216:BGK262218 BQG262216:BQG262218 CAC262216:CAC262218 CJY262216:CJY262218 CTU262216:CTU262218 DDQ262216:DDQ262218 DNM262216:DNM262218 DXI262216:DXI262218 EHE262216:EHE262218 ERA262216:ERA262218 FAW262216:FAW262218 FKS262216:FKS262218 FUO262216:FUO262218 GEK262216:GEK262218 GOG262216:GOG262218 GYC262216:GYC262218 HHY262216:HHY262218 HRU262216:HRU262218 IBQ262216:IBQ262218 ILM262216:ILM262218 IVI262216:IVI262218 JFE262216:JFE262218 JPA262216:JPA262218 JYW262216:JYW262218 KIS262216:KIS262218 KSO262216:KSO262218 LCK262216:LCK262218 LMG262216:LMG262218 LWC262216:LWC262218 MFY262216:MFY262218 MPU262216:MPU262218 MZQ262216:MZQ262218 NJM262216:NJM262218 NTI262216:NTI262218 ODE262216:ODE262218 ONA262216:ONA262218 OWW262216:OWW262218 PGS262216:PGS262218 PQO262216:PQO262218 QAK262216:QAK262218 QKG262216:QKG262218 QUC262216:QUC262218 RDY262216:RDY262218 RNU262216:RNU262218 RXQ262216:RXQ262218 SHM262216:SHM262218 SRI262216:SRI262218 TBE262216:TBE262218 TLA262216:TLA262218 TUW262216:TUW262218 UES262216:UES262218 UOO262216:UOO262218 UYK262216:UYK262218 VIG262216:VIG262218 VSC262216:VSC262218 WBY262216:WBY262218 WLU262216:WLU262218 WVQ262216:WVQ262218 I327752:I327754 JE327752:JE327754 TA327752:TA327754 ACW327752:ACW327754 AMS327752:AMS327754 AWO327752:AWO327754 BGK327752:BGK327754 BQG327752:BQG327754 CAC327752:CAC327754 CJY327752:CJY327754 CTU327752:CTU327754 DDQ327752:DDQ327754 DNM327752:DNM327754 DXI327752:DXI327754 EHE327752:EHE327754 ERA327752:ERA327754 FAW327752:FAW327754 FKS327752:FKS327754 FUO327752:FUO327754 GEK327752:GEK327754 GOG327752:GOG327754 GYC327752:GYC327754 HHY327752:HHY327754 HRU327752:HRU327754 IBQ327752:IBQ327754 ILM327752:ILM327754 IVI327752:IVI327754 JFE327752:JFE327754 JPA327752:JPA327754 JYW327752:JYW327754 KIS327752:KIS327754 KSO327752:KSO327754 LCK327752:LCK327754 LMG327752:LMG327754 LWC327752:LWC327754 MFY327752:MFY327754 MPU327752:MPU327754 MZQ327752:MZQ327754 NJM327752:NJM327754 NTI327752:NTI327754 ODE327752:ODE327754 ONA327752:ONA327754 OWW327752:OWW327754 PGS327752:PGS327754 PQO327752:PQO327754 QAK327752:QAK327754 QKG327752:QKG327754 QUC327752:QUC327754 RDY327752:RDY327754 RNU327752:RNU327754 RXQ327752:RXQ327754 SHM327752:SHM327754 SRI327752:SRI327754 TBE327752:TBE327754 TLA327752:TLA327754 TUW327752:TUW327754 UES327752:UES327754 UOO327752:UOO327754 UYK327752:UYK327754 VIG327752:VIG327754 VSC327752:VSC327754 WBY327752:WBY327754 WLU327752:WLU327754 WVQ327752:WVQ327754 I393288:I393290 JE393288:JE393290 TA393288:TA393290 ACW393288:ACW393290 AMS393288:AMS393290 AWO393288:AWO393290 BGK393288:BGK393290 BQG393288:BQG393290 CAC393288:CAC393290 CJY393288:CJY393290 CTU393288:CTU393290 DDQ393288:DDQ393290 DNM393288:DNM393290 DXI393288:DXI393290 EHE393288:EHE393290 ERA393288:ERA393290 FAW393288:FAW393290 FKS393288:FKS393290 FUO393288:FUO393290 GEK393288:GEK393290 GOG393288:GOG393290 GYC393288:GYC393290 HHY393288:HHY393290 HRU393288:HRU393290 IBQ393288:IBQ393290 ILM393288:ILM393290 IVI393288:IVI393290 JFE393288:JFE393290 JPA393288:JPA393290 JYW393288:JYW393290 KIS393288:KIS393290 KSO393288:KSO393290 LCK393288:LCK393290 LMG393288:LMG393290 LWC393288:LWC393290 MFY393288:MFY393290 MPU393288:MPU393290 MZQ393288:MZQ393290 NJM393288:NJM393290 NTI393288:NTI393290 ODE393288:ODE393290 ONA393288:ONA393290 OWW393288:OWW393290 PGS393288:PGS393290 PQO393288:PQO393290 QAK393288:QAK393290 QKG393288:QKG393290 QUC393288:QUC393290 RDY393288:RDY393290 RNU393288:RNU393290 RXQ393288:RXQ393290 SHM393288:SHM393290 SRI393288:SRI393290 TBE393288:TBE393290 TLA393288:TLA393290 TUW393288:TUW393290 UES393288:UES393290 UOO393288:UOO393290 UYK393288:UYK393290 VIG393288:VIG393290 VSC393288:VSC393290 WBY393288:WBY393290 WLU393288:WLU393290 WVQ393288:WVQ393290 I458824:I458826 JE458824:JE458826 TA458824:TA458826 ACW458824:ACW458826 AMS458824:AMS458826 AWO458824:AWO458826 BGK458824:BGK458826 BQG458824:BQG458826 CAC458824:CAC458826 CJY458824:CJY458826 CTU458824:CTU458826 DDQ458824:DDQ458826 DNM458824:DNM458826 DXI458824:DXI458826 EHE458824:EHE458826 ERA458824:ERA458826 FAW458824:FAW458826 FKS458824:FKS458826 FUO458824:FUO458826 GEK458824:GEK458826 GOG458824:GOG458826 GYC458824:GYC458826 HHY458824:HHY458826 HRU458824:HRU458826 IBQ458824:IBQ458826 ILM458824:ILM458826 IVI458824:IVI458826 JFE458824:JFE458826 JPA458824:JPA458826 JYW458824:JYW458826 KIS458824:KIS458826 KSO458824:KSO458826 LCK458824:LCK458826 LMG458824:LMG458826 LWC458824:LWC458826 MFY458824:MFY458826 MPU458824:MPU458826 MZQ458824:MZQ458826 NJM458824:NJM458826 NTI458824:NTI458826 ODE458824:ODE458826 ONA458824:ONA458826 OWW458824:OWW458826 PGS458824:PGS458826 PQO458824:PQO458826 QAK458824:QAK458826 QKG458824:QKG458826 QUC458824:QUC458826 RDY458824:RDY458826 RNU458824:RNU458826 RXQ458824:RXQ458826 SHM458824:SHM458826 SRI458824:SRI458826 TBE458824:TBE458826 TLA458824:TLA458826 TUW458824:TUW458826 UES458824:UES458826 UOO458824:UOO458826 UYK458824:UYK458826 VIG458824:VIG458826 VSC458824:VSC458826 WBY458824:WBY458826 WLU458824:WLU458826 WVQ458824:WVQ458826 I524360:I524362 JE524360:JE524362 TA524360:TA524362 ACW524360:ACW524362 AMS524360:AMS524362 AWO524360:AWO524362 BGK524360:BGK524362 BQG524360:BQG524362 CAC524360:CAC524362 CJY524360:CJY524362 CTU524360:CTU524362 DDQ524360:DDQ524362 DNM524360:DNM524362 DXI524360:DXI524362 EHE524360:EHE524362 ERA524360:ERA524362 FAW524360:FAW524362 FKS524360:FKS524362 FUO524360:FUO524362 GEK524360:GEK524362 GOG524360:GOG524362 GYC524360:GYC524362 HHY524360:HHY524362 HRU524360:HRU524362 IBQ524360:IBQ524362 ILM524360:ILM524362 IVI524360:IVI524362 JFE524360:JFE524362 JPA524360:JPA524362 JYW524360:JYW524362 KIS524360:KIS524362 KSO524360:KSO524362 LCK524360:LCK524362 LMG524360:LMG524362 LWC524360:LWC524362 MFY524360:MFY524362 MPU524360:MPU524362 MZQ524360:MZQ524362 NJM524360:NJM524362 NTI524360:NTI524362 ODE524360:ODE524362 ONA524360:ONA524362 OWW524360:OWW524362 PGS524360:PGS524362 PQO524360:PQO524362 QAK524360:QAK524362 QKG524360:QKG524362 QUC524360:QUC524362 RDY524360:RDY524362 RNU524360:RNU524362 RXQ524360:RXQ524362 SHM524360:SHM524362 SRI524360:SRI524362 TBE524360:TBE524362 TLA524360:TLA524362 TUW524360:TUW524362 UES524360:UES524362 UOO524360:UOO524362 UYK524360:UYK524362 VIG524360:VIG524362 VSC524360:VSC524362 WBY524360:WBY524362 WLU524360:WLU524362 WVQ524360:WVQ524362 I589896:I589898 JE589896:JE589898 TA589896:TA589898 ACW589896:ACW589898 AMS589896:AMS589898 AWO589896:AWO589898 BGK589896:BGK589898 BQG589896:BQG589898 CAC589896:CAC589898 CJY589896:CJY589898 CTU589896:CTU589898 DDQ589896:DDQ589898 DNM589896:DNM589898 DXI589896:DXI589898 EHE589896:EHE589898 ERA589896:ERA589898 FAW589896:FAW589898 FKS589896:FKS589898 FUO589896:FUO589898 GEK589896:GEK589898 GOG589896:GOG589898 GYC589896:GYC589898 HHY589896:HHY589898 HRU589896:HRU589898 IBQ589896:IBQ589898 ILM589896:ILM589898 IVI589896:IVI589898 JFE589896:JFE589898 JPA589896:JPA589898 JYW589896:JYW589898 KIS589896:KIS589898 KSO589896:KSO589898 LCK589896:LCK589898 LMG589896:LMG589898 LWC589896:LWC589898 MFY589896:MFY589898 MPU589896:MPU589898 MZQ589896:MZQ589898 NJM589896:NJM589898 NTI589896:NTI589898 ODE589896:ODE589898 ONA589896:ONA589898 OWW589896:OWW589898 PGS589896:PGS589898 PQO589896:PQO589898 QAK589896:QAK589898 QKG589896:QKG589898 QUC589896:QUC589898 RDY589896:RDY589898 RNU589896:RNU589898 RXQ589896:RXQ589898 SHM589896:SHM589898 SRI589896:SRI589898 TBE589896:TBE589898 TLA589896:TLA589898 TUW589896:TUW589898 UES589896:UES589898 UOO589896:UOO589898 UYK589896:UYK589898 VIG589896:VIG589898 VSC589896:VSC589898 WBY589896:WBY589898 WLU589896:WLU589898 WVQ589896:WVQ589898 I655432:I655434 JE655432:JE655434 TA655432:TA655434 ACW655432:ACW655434 AMS655432:AMS655434 AWO655432:AWO655434 BGK655432:BGK655434 BQG655432:BQG655434 CAC655432:CAC655434 CJY655432:CJY655434 CTU655432:CTU655434 DDQ655432:DDQ655434 DNM655432:DNM655434 DXI655432:DXI655434 EHE655432:EHE655434 ERA655432:ERA655434 FAW655432:FAW655434 FKS655432:FKS655434 FUO655432:FUO655434 GEK655432:GEK655434 GOG655432:GOG655434 GYC655432:GYC655434 HHY655432:HHY655434 HRU655432:HRU655434 IBQ655432:IBQ655434 ILM655432:ILM655434 IVI655432:IVI655434 JFE655432:JFE655434 JPA655432:JPA655434 JYW655432:JYW655434 KIS655432:KIS655434 KSO655432:KSO655434 LCK655432:LCK655434 LMG655432:LMG655434 LWC655432:LWC655434 MFY655432:MFY655434 MPU655432:MPU655434 MZQ655432:MZQ655434 NJM655432:NJM655434 NTI655432:NTI655434 ODE655432:ODE655434 ONA655432:ONA655434 OWW655432:OWW655434 PGS655432:PGS655434 PQO655432:PQO655434 QAK655432:QAK655434 QKG655432:QKG655434 QUC655432:QUC655434 RDY655432:RDY655434 RNU655432:RNU655434 RXQ655432:RXQ655434 SHM655432:SHM655434 SRI655432:SRI655434 TBE655432:TBE655434 TLA655432:TLA655434 TUW655432:TUW655434 UES655432:UES655434 UOO655432:UOO655434 UYK655432:UYK655434 VIG655432:VIG655434 VSC655432:VSC655434 WBY655432:WBY655434 WLU655432:WLU655434 WVQ655432:WVQ655434 I720968:I720970 JE720968:JE720970 TA720968:TA720970 ACW720968:ACW720970 AMS720968:AMS720970 AWO720968:AWO720970 BGK720968:BGK720970 BQG720968:BQG720970 CAC720968:CAC720970 CJY720968:CJY720970 CTU720968:CTU720970 DDQ720968:DDQ720970 DNM720968:DNM720970 DXI720968:DXI720970 EHE720968:EHE720970 ERA720968:ERA720970 FAW720968:FAW720970 FKS720968:FKS720970 FUO720968:FUO720970 GEK720968:GEK720970 GOG720968:GOG720970 GYC720968:GYC720970 HHY720968:HHY720970 HRU720968:HRU720970 IBQ720968:IBQ720970 ILM720968:ILM720970 IVI720968:IVI720970 JFE720968:JFE720970 JPA720968:JPA720970 JYW720968:JYW720970 KIS720968:KIS720970 KSO720968:KSO720970 LCK720968:LCK720970 LMG720968:LMG720970 LWC720968:LWC720970 MFY720968:MFY720970 MPU720968:MPU720970 MZQ720968:MZQ720970 NJM720968:NJM720970 NTI720968:NTI720970 ODE720968:ODE720970 ONA720968:ONA720970 OWW720968:OWW720970 PGS720968:PGS720970 PQO720968:PQO720970 QAK720968:QAK720970 QKG720968:QKG720970 QUC720968:QUC720970 RDY720968:RDY720970 RNU720968:RNU720970 RXQ720968:RXQ720970 SHM720968:SHM720970 SRI720968:SRI720970 TBE720968:TBE720970 TLA720968:TLA720970 TUW720968:TUW720970 UES720968:UES720970 UOO720968:UOO720970 UYK720968:UYK720970 VIG720968:VIG720970 VSC720968:VSC720970 WBY720968:WBY720970 WLU720968:WLU720970 WVQ720968:WVQ720970 I786504:I786506 JE786504:JE786506 TA786504:TA786506 ACW786504:ACW786506 AMS786504:AMS786506 AWO786504:AWO786506 BGK786504:BGK786506 BQG786504:BQG786506 CAC786504:CAC786506 CJY786504:CJY786506 CTU786504:CTU786506 DDQ786504:DDQ786506 DNM786504:DNM786506 DXI786504:DXI786506 EHE786504:EHE786506 ERA786504:ERA786506 FAW786504:FAW786506 FKS786504:FKS786506 FUO786504:FUO786506 GEK786504:GEK786506 GOG786504:GOG786506 GYC786504:GYC786506 HHY786504:HHY786506 HRU786504:HRU786506 IBQ786504:IBQ786506 ILM786504:ILM786506 IVI786504:IVI786506 JFE786504:JFE786506 JPA786504:JPA786506 JYW786504:JYW786506 KIS786504:KIS786506 KSO786504:KSO786506 LCK786504:LCK786506 LMG786504:LMG786506 LWC786504:LWC786506 MFY786504:MFY786506 MPU786504:MPU786506 MZQ786504:MZQ786506 NJM786504:NJM786506 NTI786504:NTI786506 ODE786504:ODE786506 ONA786504:ONA786506 OWW786504:OWW786506 PGS786504:PGS786506 PQO786504:PQO786506 QAK786504:QAK786506 QKG786504:QKG786506 QUC786504:QUC786506 RDY786504:RDY786506 RNU786504:RNU786506 RXQ786504:RXQ786506 SHM786504:SHM786506 SRI786504:SRI786506 TBE786504:TBE786506 TLA786504:TLA786506 TUW786504:TUW786506 UES786504:UES786506 UOO786504:UOO786506 UYK786504:UYK786506 VIG786504:VIG786506 VSC786504:VSC786506 WBY786504:WBY786506 WLU786504:WLU786506 WVQ786504:WVQ786506 I852040:I852042 JE852040:JE852042 TA852040:TA852042 ACW852040:ACW852042 AMS852040:AMS852042 AWO852040:AWO852042 BGK852040:BGK852042 BQG852040:BQG852042 CAC852040:CAC852042 CJY852040:CJY852042 CTU852040:CTU852042 DDQ852040:DDQ852042 DNM852040:DNM852042 DXI852040:DXI852042 EHE852040:EHE852042 ERA852040:ERA852042 FAW852040:FAW852042 FKS852040:FKS852042 FUO852040:FUO852042 GEK852040:GEK852042 GOG852040:GOG852042 GYC852040:GYC852042 HHY852040:HHY852042 HRU852040:HRU852042 IBQ852040:IBQ852042 ILM852040:ILM852042 IVI852040:IVI852042 JFE852040:JFE852042 JPA852040:JPA852042 JYW852040:JYW852042 KIS852040:KIS852042 KSO852040:KSO852042 LCK852040:LCK852042 LMG852040:LMG852042 LWC852040:LWC852042 MFY852040:MFY852042 MPU852040:MPU852042 MZQ852040:MZQ852042 NJM852040:NJM852042 NTI852040:NTI852042 ODE852040:ODE852042 ONA852040:ONA852042 OWW852040:OWW852042 PGS852040:PGS852042 PQO852040:PQO852042 QAK852040:QAK852042 QKG852040:QKG852042 QUC852040:QUC852042 RDY852040:RDY852042 RNU852040:RNU852042 RXQ852040:RXQ852042 SHM852040:SHM852042 SRI852040:SRI852042 TBE852040:TBE852042 TLA852040:TLA852042 TUW852040:TUW852042 UES852040:UES852042 UOO852040:UOO852042 UYK852040:UYK852042 VIG852040:VIG852042 VSC852040:VSC852042 WBY852040:WBY852042 WLU852040:WLU852042 WVQ852040:WVQ852042 I917576:I917578 JE917576:JE917578 TA917576:TA917578 ACW917576:ACW917578 AMS917576:AMS917578 AWO917576:AWO917578 BGK917576:BGK917578 BQG917576:BQG917578 CAC917576:CAC917578 CJY917576:CJY917578 CTU917576:CTU917578 DDQ917576:DDQ917578 DNM917576:DNM917578 DXI917576:DXI917578 EHE917576:EHE917578 ERA917576:ERA917578 FAW917576:FAW917578 FKS917576:FKS917578 FUO917576:FUO917578 GEK917576:GEK917578 GOG917576:GOG917578 GYC917576:GYC917578 HHY917576:HHY917578 HRU917576:HRU917578 IBQ917576:IBQ917578 ILM917576:ILM917578 IVI917576:IVI917578 JFE917576:JFE917578 JPA917576:JPA917578 JYW917576:JYW917578 KIS917576:KIS917578 KSO917576:KSO917578 LCK917576:LCK917578 LMG917576:LMG917578 LWC917576:LWC917578 MFY917576:MFY917578 MPU917576:MPU917578 MZQ917576:MZQ917578 NJM917576:NJM917578 NTI917576:NTI917578 ODE917576:ODE917578 ONA917576:ONA917578 OWW917576:OWW917578 PGS917576:PGS917578 PQO917576:PQO917578 QAK917576:QAK917578 QKG917576:QKG917578 QUC917576:QUC917578 RDY917576:RDY917578 RNU917576:RNU917578 RXQ917576:RXQ917578 SHM917576:SHM917578 SRI917576:SRI917578 TBE917576:TBE917578 TLA917576:TLA917578 TUW917576:TUW917578 UES917576:UES917578 UOO917576:UOO917578 UYK917576:UYK917578 VIG917576:VIG917578 VSC917576:VSC917578 WBY917576:WBY917578 WLU917576:WLU917578 WVQ917576:WVQ917578 I983112:I983114 JE983112:JE983114 TA983112:TA983114 ACW983112:ACW983114 AMS983112:AMS983114 AWO983112:AWO983114 BGK983112:BGK983114 BQG983112:BQG983114 CAC983112:CAC983114 CJY983112:CJY983114 CTU983112:CTU983114 DDQ983112:DDQ983114 DNM983112:DNM983114 DXI983112:DXI983114 EHE983112:EHE983114 ERA983112:ERA983114 FAW983112:FAW983114 FKS983112:FKS983114 FUO983112:FUO983114 GEK983112:GEK983114 GOG983112:GOG983114 GYC983112:GYC983114 HHY983112:HHY983114 HRU983112:HRU983114 IBQ983112:IBQ983114 ILM983112:ILM983114 IVI983112:IVI983114 JFE983112:JFE983114 JPA983112:JPA983114 JYW983112:JYW983114 KIS983112:KIS983114 KSO983112:KSO983114 LCK983112:LCK983114 LMG983112:LMG983114 LWC983112:LWC983114 MFY983112:MFY983114 MPU983112:MPU983114 MZQ983112:MZQ983114 NJM983112:NJM983114 NTI983112:NTI983114 ODE983112:ODE983114 ONA983112:ONA983114 OWW983112:OWW983114 PGS983112:PGS983114 PQO983112:PQO983114 QAK983112:QAK983114 QKG983112:QKG983114 QUC983112:QUC983114 RDY983112:RDY983114 RNU983112:RNU983114 RXQ983112:RXQ983114 SHM983112:SHM983114 SRI983112:SRI983114 TBE983112:TBE983114 TLA983112:TLA983114 TUW983112:TUW983114 UES983112:UES983114 UOO983112:UOO983114 UYK983112:UYK983114 VIG983112:VIG983114 VSC983112:VSC983114 WBY983112:WBY983114 WLU983112:WLU983114 WVQ983112:WVQ983114 F34:F56 JB62:JB65 SX62:SX65 ACT62:ACT65 AMP62:AMP65 AWL62:AWL65 BGH62:BGH65 BQD62:BQD65 BZZ62:BZZ65 CJV62:CJV65 CTR62:CTR65 DDN62:DDN65 DNJ62:DNJ65 DXF62:DXF65 EHB62:EHB65 EQX62:EQX65 FAT62:FAT65 FKP62:FKP65 FUL62:FUL65 GEH62:GEH65 GOD62:GOD65 GXZ62:GXZ65 HHV62:HHV65 HRR62:HRR65 IBN62:IBN65 ILJ62:ILJ65 IVF62:IVF65 JFB62:JFB65 JOX62:JOX65 JYT62:JYT65 KIP62:KIP65 KSL62:KSL65 LCH62:LCH65 LMD62:LMD65 LVZ62:LVZ65 MFV62:MFV65 MPR62:MPR65 MZN62:MZN65 NJJ62:NJJ65 NTF62:NTF65 ODB62:ODB65 OMX62:OMX65 OWT62:OWT65 PGP62:PGP65 PQL62:PQL65 QAH62:QAH65 QKD62:QKD65 QTZ62:QTZ65 RDV62:RDV65 RNR62:RNR65 RXN62:RXN65 SHJ62:SHJ65 SRF62:SRF65 TBB62:TBB65 TKX62:TKX65 TUT62:TUT65 UEP62:UEP65 UOL62:UOL65 UYH62:UYH65 VID62:VID65 VRZ62:VRZ65 WBV62:WBV65 WLR62:WLR65 WVN62:WVN65 F65598:F65601 JB65598:JB65601 SX65598:SX65601 ACT65598:ACT65601 AMP65598:AMP65601 AWL65598:AWL65601 BGH65598:BGH65601 BQD65598:BQD65601 BZZ65598:BZZ65601 CJV65598:CJV65601 CTR65598:CTR65601 DDN65598:DDN65601 DNJ65598:DNJ65601 DXF65598:DXF65601 EHB65598:EHB65601 EQX65598:EQX65601 FAT65598:FAT65601 FKP65598:FKP65601 FUL65598:FUL65601 GEH65598:GEH65601 GOD65598:GOD65601 GXZ65598:GXZ65601 HHV65598:HHV65601 HRR65598:HRR65601 IBN65598:IBN65601 ILJ65598:ILJ65601 IVF65598:IVF65601 JFB65598:JFB65601 JOX65598:JOX65601 JYT65598:JYT65601 KIP65598:KIP65601 KSL65598:KSL65601 LCH65598:LCH65601 LMD65598:LMD65601 LVZ65598:LVZ65601 MFV65598:MFV65601 MPR65598:MPR65601 MZN65598:MZN65601 NJJ65598:NJJ65601 NTF65598:NTF65601 ODB65598:ODB65601 OMX65598:OMX65601 OWT65598:OWT65601 PGP65598:PGP65601 PQL65598:PQL65601 QAH65598:QAH65601 QKD65598:QKD65601 QTZ65598:QTZ65601 RDV65598:RDV65601 RNR65598:RNR65601 RXN65598:RXN65601 SHJ65598:SHJ65601 SRF65598:SRF65601 TBB65598:TBB65601 TKX65598:TKX65601 TUT65598:TUT65601 UEP65598:UEP65601 UOL65598:UOL65601 UYH65598:UYH65601 VID65598:VID65601 VRZ65598:VRZ65601 WBV65598:WBV65601 WLR65598:WLR65601 WVN65598:WVN65601 F131134:F131137 JB131134:JB131137 SX131134:SX131137 ACT131134:ACT131137 AMP131134:AMP131137 AWL131134:AWL131137 BGH131134:BGH131137 BQD131134:BQD131137 BZZ131134:BZZ131137 CJV131134:CJV131137 CTR131134:CTR131137 DDN131134:DDN131137 DNJ131134:DNJ131137 DXF131134:DXF131137 EHB131134:EHB131137 EQX131134:EQX131137 FAT131134:FAT131137 FKP131134:FKP131137 FUL131134:FUL131137 GEH131134:GEH131137 GOD131134:GOD131137 GXZ131134:GXZ131137 HHV131134:HHV131137 HRR131134:HRR131137 IBN131134:IBN131137 ILJ131134:ILJ131137 IVF131134:IVF131137 JFB131134:JFB131137 JOX131134:JOX131137 JYT131134:JYT131137 KIP131134:KIP131137 KSL131134:KSL131137 LCH131134:LCH131137 LMD131134:LMD131137 LVZ131134:LVZ131137 MFV131134:MFV131137 MPR131134:MPR131137 MZN131134:MZN131137 NJJ131134:NJJ131137 NTF131134:NTF131137 ODB131134:ODB131137 OMX131134:OMX131137 OWT131134:OWT131137 PGP131134:PGP131137 PQL131134:PQL131137 QAH131134:QAH131137 QKD131134:QKD131137 QTZ131134:QTZ131137 RDV131134:RDV131137 RNR131134:RNR131137 RXN131134:RXN131137 SHJ131134:SHJ131137 SRF131134:SRF131137 TBB131134:TBB131137 TKX131134:TKX131137 TUT131134:TUT131137 UEP131134:UEP131137 UOL131134:UOL131137 UYH131134:UYH131137 VID131134:VID131137 VRZ131134:VRZ131137 WBV131134:WBV131137 WLR131134:WLR131137 WVN131134:WVN131137 F196670:F196673 JB196670:JB196673 SX196670:SX196673 ACT196670:ACT196673 AMP196670:AMP196673 AWL196670:AWL196673 BGH196670:BGH196673 BQD196670:BQD196673 BZZ196670:BZZ196673 CJV196670:CJV196673 CTR196670:CTR196673 DDN196670:DDN196673 DNJ196670:DNJ196673 DXF196670:DXF196673 EHB196670:EHB196673 EQX196670:EQX196673 FAT196670:FAT196673 FKP196670:FKP196673 FUL196670:FUL196673 GEH196670:GEH196673 GOD196670:GOD196673 GXZ196670:GXZ196673 HHV196670:HHV196673 HRR196670:HRR196673 IBN196670:IBN196673 ILJ196670:ILJ196673 IVF196670:IVF196673 JFB196670:JFB196673 JOX196670:JOX196673 JYT196670:JYT196673 KIP196670:KIP196673 KSL196670:KSL196673 LCH196670:LCH196673 LMD196670:LMD196673 LVZ196670:LVZ196673 MFV196670:MFV196673 MPR196670:MPR196673 MZN196670:MZN196673 NJJ196670:NJJ196673 NTF196670:NTF196673 ODB196670:ODB196673 OMX196670:OMX196673 OWT196670:OWT196673 PGP196670:PGP196673 PQL196670:PQL196673 QAH196670:QAH196673 QKD196670:QKD196673 QTZ196670:QTZ196673 RDV196670:RDV196673 RNR196670:RNR196673 RXN196670:RXN196673 SHJ196670:SHJ196673 SRF196670:SRF196673 TBB196670:TBB196673 TKX196670:TKX196673 TUT196670:TUT196673 UEP196670:UEP196673 UOL196670:UOL196673 UYH196670:UYH196673 VID196670:VID196673 VRZ196670:VRZ196673 WBV196670:WBV196673 WLR196670:WLR196673 WVN196670:WVN196673 F262206:F262209 JB262206:JB262209 SX262206:SX262209 ACT262206:ACT262209 AMP262206:AMP262209 AWL262206:AWL262209 BGH262206:BGH262209 BQD262206:BQD262209 BZZ262206:BZZ262209 CJV262206:CJV262209 CTR262206:CTR262209 DDN262206:DDN262209 DNJ262206:DNJ262209 DXF262206:DXF262209 EHB262206:EHB262209 EQX262206:EQX262209 FAT262206:FAT262209 FKP262206:FKP262209 FUL262206:FUL262209 GEH262206:GEH262209 GOD262206:GOD262209 GXZ262206:GXZ262209 HHV262206:HHV262209 HRR262206:HRR262209 IBN262206:IBN262209 ILJ262206:ILJ262209 IVF262206:IVF262209 JFB262206:JFB262209 JOX262206:JOX262209 JYT262206:JYT262209 KIP262206:KIP262209 KSL262206:KSL262209 LCH262206:LCH262209 LMD262206:LMD262209 LVZ262206:LVZ262209 MFV262206:MFV262209 MPR262206:MPR262209 MZN262206:MZN262209 NJJ262206:NJJ262209 NTF262206:NTF262209 ODB262206:ODB262209 OMX262206:OMX262209 OWT262206:OWT262209 PGP262206:PGP262209 PQL262206:PQL262209 QAH262206:QAH262209 QKD262206:QKD262209 QTZ262206:QTZ262209 RDV262206:RDV262209 RNR262206:RNR262209 RXN262206:RXN262209 SHJ262206:SHJ262209 SRF262206:SRF262209 TBB262206:TBB262209 TKX262206:TKX262209 TUT262206:TUT262209 UEP262206:UEP262209 UOL262206:UOL262209 UYH262206:UYH262209 VID262206:VID262209 VRZ262206:VRZ262209 WBV262206:WBV262209 WLR262206:WLR262209 WVN262206:WVN262209 F327742:F327745 JB327742:JB327745 SX327742:SX327745 ACT327742:ACT327745 AMP327742:AMP327745 AWL327742:AWL327745 BGH327742:BGH327745 BQD327742:BQD327745 BZZ327742:BZZ327745 CJV327742:CJV327745 CTR327742:CTR327745 DDN327742:DDN327745 DNJ327742:DNJ327745 DXF327742:DXF327745 EHB327742:EHB327745 EQX327742:EQX327745 FAT327742:FAT327745 FKP327742:FKP327745 FUL327742:FUL327745 GEH327742:GEH327745 GOD327742:GOD327745 GXZ327742:GXZ327745 HHV327742:HHV327745 HRR327742:HRR327745 IBN327742:IBN327745 ILJ327742:ILJ327745 IVF327742:IVF327745 JFB327742:JFB327745 JOX327742:JOX327745 JYT327742:JYT327745 KIP327742:KIP327745 KSL327742:KSL327745 LCH327742:LCH327745 LMD327742:LMD327745 LVZ327742:LVZ327745 MFV327742:MFV327745 MPR327742:MPR327745 MZN327742:MZN327745 NJJ327742:NJJ327745 NTF327742:NTF327745 ODB327742:ODB327745 OMX327742:OMX327745 OWT327742:OWT327745 PGP327742:PGP327745 PQL327742:PQL327745 QAH327742:QAH327745 QKD327742:QKD327745 QTZ327742:QTZ327745 RDV327742:RDV327745 RNR327742:RNR327745 RXN327742:RXN327745 SHJ327742:SHJ327745 SRF327742:SRF327745 TBB327742:TBB327745 TKX327742:TKX327745 TUT327742:TUT327745 UEP327742:UEP327745 UOL327742:UOL327745 UYH327742:UYH327745 VID327742:VID327745 VRZ327742:VRZ327745 WBV327742:WBV327745 WLR327742:WLR327745 WVN327742:WVN327745 F393278:F393281 JB393278:JB393281 SX393278:SX393281 ACT393278:ACT393281 AMP393278:AMP393281 AWL393278:AWL393281 BGH393278:BGH393281 BQD393278:BQD393281 BZZ393278:BZZ393281 CJV393278:CJV393281 CTR393278:CTR393281 DDN393278:DDN393281 DNJ393278:DNJ393281 DXF393278:DXF393281 EHB393278:EHB393281 EQX393278:EQX393281 FAT393278:FAT393281 FKP393278:FKP393281 FUL393278:FUL393281 GEH393278:GEH393281 GOD393278:GOD393281 GXZ393278:GXZ393281 HHV393278:HHV393281 HRR393278:HRR393281 IBN393278:IBN393281 ILJ393278:ILJ393281 IVF393278:IVF393281 JFB393278:JFB393281 JOX393278:JOX393281 JYT393278:JYT393281 KIP393278:KIP393281 KSL393278:KSL393281 LCH393278:LCH393281 LMD393278:LMD393281 LVZ393278:LVZ393281 MFV393278:MFV393281 MPR393278:MPR393281 MZN393278:MZN393281 NJJ393278:NJJ393281 NTF393278:NTF393281 ODB393278:ODB393281 OMX393278:OMX393281 OWT393278:OWT393281 PGP393278:PGP393281 PQL393278:PQL393281 QAH393278:QAH393281 QKD393278:QKD393281 QTZ393278:QTZ393281 RDV393278:RDV393281 RNR393278:RNR393281 RXN393278:RXN393281 SHJ393278:SHJ393281 SRF393278:SRF393281 TBB393278:TBB393281 TKX393278:TKX393281 TUT393278:TUT393281 UEP393278:UEP393281 UOL393278:UOL393281 UYH393278:UYH393281 VID393278:VID393281 VRZ393278:VRZ393281 WBV393278:WBV393281 WLR393278:WLR393281 WVN393278:WVN393281 F458814:F458817 JB458814:JB458817 SX458814:SX458817 ACT458814:ACT458817 AMP458814:AMP458817 AWL458814:AWL458817 BGH458814:BGH458817 BQD458814:BQD458817 BZZ458814:BZZ458817 CJV458814:CJV458817 CTR458814:CTR458817 DDN458814:DDN458817 DNJ458814:DNJ458817 DXF458814:DXF458817 EHB458814:EHB458817 EQX458814:EQX458817 FAT458814:FAT458817 FKP458814:FKP458817 FUL458814:FUL458817 GEH458814:GEH458817 GOD458814:GOD458817 GXZ458814:GXZ458817 HHV458814:HHV458817 HRR458814:HRR458817 IBN458814:IBN458817 ILJ458814:ILJ458817 IVF458814:IVF458817 JFB458814:JFB458817 JOX458814:JOX458817 JYT458814:JYT458817 KIP458814:KIP458817 KSL458814:KSL458817 LCH458814:LCH458817 LMD458814:LMD458817 LVZ458814:LVZ458817 MFV458814:MFV458817 MPR458814:MPR458817 MZN458814:MZN458817 NJJ458814:NJJ458817 NTF458814:NTF458817 ODB458814:ODB458817 OMX458814:OMX458817 OWT458814:OWT458817 PGP458814:PGP458817 PQL458814:PQL458817 QAH458814:QAH458817 QKD458814:QKD458817 QTZ458814:QTZ458817 RDV458814:RDV458817 RNR458814:RNR458817 RXN458814:RXN458817 SHJ458814:SHJ458817 SRF458814:SRF458817 TBB458814:TBB458817 TKX458814:TKX458817 TUT458814:TUT458817 UEP458814:UEP458817 UOL458814:UOL458817 UYH458814:UYH458817 VID458814:VID458817 VRZ458814:VRZ458817 WBV458814:WBV458817 WLR458814:WLR458817 WVN458814:WVN458817 F524350:F524353 JB524350:JB524353 SX524350:SX524353 ACT524350:ACT524353 AMP524350:AMP524353 AWL524350:AWL524353 BGH524350:BGH524353 BQD524350:BQD524353 BZZ524350:BZZ524353 CJV524350:CJV524353 CTR524350:CTR524353 DDN524350:DDN524353 DNJ524350:DNJ524353 DXF524350:DXF524353 EHB524350:EHB524353 EQX524350:EQX524353 FAT524350:FAT524353 FKP524350:FKP524353 FUL524350:FUL524353 GEH524350:GEH524353 GOD524350:GOD524353 GXZ524350:GXZ524353 HHV524350:HHV524353 HRR524350:HRR524353 IBN524350:IBN524353 ILJ524350:ILJ524353 IVF524350:IVF524353 JFB524350:JFB524353 JOX524350:JOX524353 JYT524350:JYT524353 KIP524350:KIP524353 KSL524350:KSL524353 LCH524350:LCH524353 LMD524350:LMD524353 LVZ524350:LVZ524353 MFV524350:MFV524353 MPR524350:MPR524353 MZN524350:MZN524353 NJJ524350:NJJ524353 NTF524350:NTF524353 ODB524350:ODB524353 OMX524350:OMX524353 OWT524350:OWT524353 PGP524350:PGP524353 PQL524350:PQL524353 QAH524350:QAH524353 QKD524350:QKD524353 QTZ524350:QTZ524353 RDV524350:RDV524353 RNR524350:RNR524353 RXN524350:RXN524353 SHJ524350:SHJ524353 SRF524350:SRF524353 TBB524350:TBB524353 TKX524350:TKX524353 TUT524350:TUT524353 UEP524350:UEP524353 UOL524350:UOL524353 UYH524350:UYH524353 VID524350:VID524353 VRZ524350:VRZ524353 WBV524350:WBV524353 WLR524350:WLR524353 WVN524350:WVN524353 F589886:F589889 JB589886:JB589889 SX589886:SX589889 ACT589886:ACT589889 AMP589886:AMP589889 AWL589886:AWL589889 BGH589886:BGH589889 BQD589886:BQD589889 BZZ589886:BZZ589889 CJV589886:CJV589889 CTR589886:CTR589889 DDN589886:DDN589889 DNJ589886:DNJ589889 DXF589886:DXF589889 EHB589886:EHB589889 EQX589886:EQX589889 FAT589886:FAT589889 FKP589886:FKP589889 FUL589886:FUL589889 GEH589886:GEH589889 GOD589886:GOD589889 GXZ589886:GXZ589889 HHV589886:HHV589889 HRR589886:HRR589889 IBN589886:IBN589889 ILJ589886:ILJ589889 IVF589886:IVF589889 JFB589886:JFB589889 JOX589886:JOX589889 JYT589886:JYT589889 KIP589886:KIP589889 KSL589886:KSL589889 LCH589886:LCH589889 LMD589886:LMD589889 LVZ589886:LVZ589889 MFV589886:MFV589889 MPR589886:MPR589889 MZN589886:MZN589889 NJJ589886:NJJ589889 NTF589886:NTF589889 ODB589886:ODB589889 OMX589886:OMX589889 OWT589886:OWT589889 PGP589886:PGP589889 PQL589886:PQL589889 QAH589886:QAH589889 QKD589886:QKD589889 QTZ589886:QTZ589889 RDV589886:RDV589889 RNR589886:RNR589889 RXN589886:RXN589889 SHJ589886:SHJ589889 SRF589886:SRF589889 TBB589886:TBB589889 TKX589886:TKX589889 TUT589886:TUT589889 UEP589886:UEP589889 UOL589886:UOL589889 UYH589886:UYH589889 VID589886:VID589889 VRZ589886:VRZ589889 WBV589886:WBV589889 WLR589886:WLR589889 WVN589886:WVN589889 F655422:F655425 JB655422:JB655425 SX655422:SX655425 ACT655422:ACT655425 AMP655422:AMP655425 AWL655422:AWL655425 BGH655422:BGH655425 BQD655422:BQD655425 BZZ655422:BZZ655425 CJV655422:CJV655425 CTR655422:CTR655425 DDN655422:DDN655425 DNJ655422:DNJ655425 DXF655422:DXF655425 EHB655422:EHB655425 EQX655422:EQX655425 FAT655422:FAT655425 FKP655422:FKP655425 FUL655422:FUL655425 GEH655422:GEH655425 GOD655422:GOD655425 GXZ655422:GXZ655425 HHV655422:HHV655425 HRR655422:HRR655425 IBN655422:IBN655425 ILJ655422:ILJ655425 IVF655422:IVF655425 JFB655422:JFB655425 JOX655422:JOX655425 JYT655422:JYT655425 KIP655422:KIP655425 KSL655422:KSL655425 LCH655422:LCH655425 LMD655422:LMD655425 LVZ655422:LVZ655425 MFV655422:MFV655425 MPR655422:MPR655425 MZN655422:MZN655425 NJJ655422:NJJ655425 NTF655422:NTF655425 ODB655422:ODB655425 OMX655422:OMX655425 OWT655422:OWT655425 PGP655422:PGP655425 PQL655422:PQL655425 QAH655422:QAH655425 QKD655422:QKD655425 QTZ655422:QTZ655425 RDV655422:RDV655425 RNR655422:RNR655425 RXN655422:RXN655425 SHJ655422:SHJ655425 SRF655422:SRF655425 TBB655422:TBB655425 TKX655422:TKX655425 TUT655422:TUT655425 UEP655422:UEP655425 UOL655422:UOL655425 UYH655422:UYH655425 VID655422:VID655425 VRZ655422:VRZ655425 WBV655422:WBV655425 WLR655422:WLR655425 WVN655422:WVN655425 F720958:F720961 JB720958:JB720961 SX720958:SX720961 ACT720958:ACT720961 AMP720958:AMP720961 AWL720958:AWL720961 BGH720958:BGH720961 BQD720958:BQD720961 BZZ720958:BZZ720961 CJV720958:CJV720961 CTR720958:CTR720961 DDN720958:DDN720961 DNJ720958:DNJ720961 DXF720958:DXF720961 EHB720958:EHB720961 EQX720958:EQX720961 FAT720958:FAT720961 FKP720958:FKP720961 FUL720958:FUL720961 GEH720958:GEH720961 GOD720958:GOD720961 GXZ720958:GXZ720961 HHV720958:HHV720961 HRR720958:HRR720961 IBN720958:IBN720961 ILJ720958:ILJ720961 IVF720958:IVF720961 JFB720958:JFB720961 JOX720958:JOX720961 JYT720958:JYT720961 KIP720958:KIP720961 KSL720958:KSL720961 LCH720958:LCH720961 LMD720958:LMD720961 LVZ720958:LVZ720961 MFV720958:MFV720961 MPR720958:MPR720961 MZN720958:MZN720961 NJJ720958:NJJ720961 NTF720958:NTF720961 ODB720958:ODB720961 OMX720958:OMX720961 OWT720958:OWT720961 PGP720958:PGP720961 PQL720958:PQL720961 QAH720958:QAH720961 QKD720958:QKD720961 QTZ720958:QTZ720961 RDV720958:RDV720961 RNR720958:RNR720961 RXN720958:RXN720961 SHJ720958:SHJ720961 SRF720958:SRF720961 TBB720958:TBB720961 TKX720958:TKX720961 TUT720958:TUT720961 UEP720958:UEP720961 UOL720958:UOL720961 UYH720958:UYH720961 VID720958:VID720961 VRZ720958:VRZ720961 WBV720958:WBV720961 WLR720958:WLR720961 WVN720958:WVN720961 F786494:F786497 JB786494:JB786497 SX786494:SX786497 ACT786494:ACT786497 AMP786494:AMP786497 AWL786494:AWL786497 BGH786494:BGH786497 BQD786494:BQD786497 BZZ786494:BZZ786497 CJV786494:CJV786497 CTR786494:CTR786497 DDN786494:DDN786497 DNJ786494:DNJ786497 DXF786494:DXF786497 EHB786494:EHB786497 EQX786494:EQX786497 FAT786494:FAT786497 FKP786494:FKP786497 FUL786494:FUL786497 GEH786494:GEH786497 GOD786494:GOD786497 GXZ786494:GXZ786497 HHV786494:HHV786497 HRR786494:HRR786497 IBN786494:IBN786497 ILJ786494:ILJ786497 IVF786494:IVF786497 JFB786494:JFB786497 JOX786494:JOX786497 JYT786494:JYT786497 KIP786494:KIP786497 KSL786494:KSL786497 LCH786494:LCH786497 LMD786494:LMD786497 LVZ786494:LVZ786497 MFV786494:MFV786497 MPR786494:MPR786497 MZN786494:MZN786497 NJJ786494:NJJ786497 NTF786494:NTF786497 ODB786494:ODB786497 OMX786494:OMX786497 OWT786494:OWT786497 PGP786494:PGP786497 PQL786494:PQL786497 QAH786494:QAH786497 QKD786494:QKD786497 QTZ786494:QTZ786497 RDV786494:RDV786497 RNR786494:RNR786497 RXN786494:RXN786497 SHJ786494:SHJ786497 SRF786494:SRF786497 TBB786494:TBB786497 TKX786494:TKX786497 TUT786494:TUT786497 UEP786494:UEP786497 UOL786494:UOL786497 UYH786494:UYH786497 VID786494:VID786497 VRZ786494:VRZ786497 WBV786494:WBV786497 WLR786494:WLR786497 WVN786494:WVN786497 F852030:F852033 JB852030:JB852033 SX852030:SX852033 ACT852030:ACT852033 AMP852030:AMP852033 AWL852030:AWL852033 BGH852030:BGH852033 BQD852030:BQD852033 BZZ852030:BZZ852033 CJV852030:CJV852033 CTR852030:CTR852033 DDN852030:DDN852033 DNJ852030:DNJ852033 DXF852030:DXF852033 EHB852030:EHB852033 EQX852030:EQX852033 FAT852030:FAT852033 FKP852030:FKP852033 FUL852030:FUL852033 GEH852030:GEH852033 GOD852030:GOD852033 GXZ852030:GXZ852033 HHV852030:HHV852033 HRR852030:HRR852033 IBN852030:IBN852033 ILJ852030:ILJ852033 IVF852030:IVF852033 JFB852030:JFB852033 JOX852030:JOX852033 JYT852030:JYT852033 KIP852030:KIP852033 KSL852030:KSL852033 LCH852030:LCH852033 LMD852030:LMD852033 LVZ852030:LVZ852033 MFV852030:MFV852033 MPR852030:MPR852033 MZN852030:MZN852033 NJJ852030:NJJ852033 NTF852030:NTF852033 ODB852030:ODB852033 OMX852030:OMX852033 OWT852030:OWT852033 PGP852030:PGP852033 PQL852030:PQL852033 QAH852030:QAH852033 QKD852030:QKD852033 QTZ852030:QTZ852033 RDV852030:RDV852033 RNR852030:RNR852033 RXN852030:RXN852033 SHJ852030:SHJ852033 SRF852030:SRF852033 TBB852030:TBB852033 TKX852030:TKX852033 TUT852030:TUT852033 UEP852030:UEP852033 UOL852030:UOL852033 UYH852030:UYH852033 VID852030:VID852033 VRZ852030:VRZ852033 WBV852030:WBV852033 WLR852030:WLR852033 WVN852030:WVN852033 F917566:F917569 JB917566:JB917569 SX917566:SX917569 ACT917566:ACT917569 AMP917566:AMP917569 AWL917566:AWL917569 BGH917566:BGH917569 BQD917566:BQD917569 BZZ917566:BZZ917569 CJV917566:CJV917569 CTR917566:CTR917569 DDN917566:DDN917569 DNJ917566:DNJ917569 DXF917566:DXF917569 EHB917566:EHB917569 EQX917566:EQX917569 FAT917566:FAT917569 FKP917566:FKP917569 FUL917566:FUL917569 GEH917566:GEH917569 GOD917566:GOD917569 GXZ917566:GXZ917569 HHV917566:HHV917569 HRR917566:HRR917569 IBN917566:IBN917569 ILJ917566:ILJ917569 IVF917566:IVF917569 JFB917566:JFB917569 JOX917566:JOX917569 JYT917566:JYT917569 KIP917566:KIP917569 KSL917566:KSL917569 LCH917566:LCH917569 LMD917566:LMD917569 LVZ917566:LVZ917569 MFV917566:MFV917569 MPR917566:MPR917569 MZN917566:MZN917569 NJJ917566:NJJ917569 NTF917566:NTF917569 ODB917566:ODB917569 OMX917566:OMX917569 OWT917566:OWT917569 PGP917566:PGP917569 PQL917566:PQL917569 QAH917566:QAH917569 QKD917566:QKD917569 QTZ917566:QTZ917569 RDV917566:RDV917569 RNR917566:RNR917569 RXN917566:RXN917569 SHJ917566:SHJ917569 SRF917566:SRF917569 TBB917566:TBB917569 TKX917566:TKX917569 TUT917566:TUT917569 UEP917566:UEP917569 UOL917566:UOL917569 UYH917566:UYH917569 VID917566:VID917569 VRZ917566:VRZ917569 WBV917566:WBV917569 WLR917566:WLR917569 WVN917566:WVN917569 F983102:F983105 JB983102:JB983105 SX983102:SX983105 ACT983102:ACT983105 AMP983102:AMP983105 AWL983102:AWL983105 BGH983102:BGH983105 BQD983102:BQD983105 BZZ983102:BZZ983105 CJV983102:CJV983105 CTR983102:CTR983105 DDN983102:DDN983105 DNJ983102:DNJ983105 DXF983102:DXF983105 EHB983102:EHB983105 EQX983102:EQX983105 FAT983102:FAT983105 FKP983102:FKP983105 FUL983102:FUL983105 GEH983102:GEH983105 GOD983102:GOD983105 GXZ983102:GXZ983105 HHV983102:HHV983105 HRR983102:HRR983105 IBN983102:IBN983105 ILJ983102:ILJ983105 IVF983102:IVF983105 JFB983102:JFB983105 JOX983102:JOX983105 JYT983102:JYT983105 KIP983102:KIP983105 KSL983102:KSL983105 LCH983102:LCH983105 LMD983102:LMD983105 LVZ983102:LVZ983105 MFV983102:MFV983105 MPR983102:MPR983105 MZN983102:MZN983105 NJJ983102:NJJ983105 NTF983102:NTF983105 ODB983102:ODB983105 OMX983102:OMX983105 OWT983102:OWT983105 PGP983102:PGP983105 PQL983102:PQL983105 QAH983102:QAH983105 QKD983102:QKD983105 QTZ983102:QTZ983105 RDV983102:RDV983105 RNR983102:RNR983105 RXN983102:RXN983105 SHJ983102:SHJ983105 SRF983102:SRF983105 TBB983102:TBB983105 TKX983102:TKX983105 TUT983102:TUT983105 UEP983102:UEP983105 UOL983102:UOL983105 UYH983102:UYH983105 VID983102:VID983105 VRZ983102:VRZ983105 WBV983102:WBV983105 WLR983102:WLR983105 WVN983102:WVN983105 I58:I60 JE62:JE65 TA62:TA65 ACW62:ACW65 AMS62:AMS65 AWO62:AWO65 BGK62:BGK65 BQG62:BQG65 CAC62:CAC65 CJY62:CJY65 CTU62:CTU65 DDQ62:DDQ65 DNM62:DNM65 DXI62:DXI65 EHE62:EHE65 ERA62:ERA65 FAW62:FAW65 FKS62:FKS65 FUO62:FUO65 GEK62:GEK65 GOG62:GOG65 GYC62:GYC65 HHY62:HHY65 HRU62:HRU65 IBQ62:IBQ65 ILM62:ILM65 IVI62:IVI65 JFE62:JFE65 JPA62:JPA65 JYW62:JYW65 KIS62:KIS65 KSO62:KSO65 LCK62:LCK65 LMG62:LMG65 LWC62:LWC65 MFY62:MFY65 MPU62:MPU65 MZQ62:MZQ65 NJM62:NJM65 NTI62:NTI65 ODE62:ODE65 ONA62:ONA65 OWW62:OWW65 PGS62:PGS65 PQO62:PQO65 QAK62:QAK65 QKG62:QKG65 QUC62:QUC65 RDY62:RDY65 RNU62:RNU65 RXQ62:RXQ65 SHM62:SHM65 SRI62:SRI65 TBE62:TBE65 TLA62:TLA65 TUW62:TUW65 UES62:UES65 UOO62:UOO65 UYK62:UYK65 VIG62:VIG65 VSC62:VSC65 WBY62:WBY65 WLU62:WLU65 WVQ62:WVQ65 I65598:I65601 JE65598:JE65601 TA65598:TA65601 ACW65598:ACW65601 AMS65598:AMS65601 AWO65598:AWO65601 BGK65598:BGK65601 BQG65598:BQG65601 CAC65598:CAC65601 CJY65598:CJY65601 CTU65598:CTU65601 DDQ65598:DDQ65601 DNM65598:DNM65601 DXI65598:DXI65601 EHE65598:EHE65601 ERA65598:ERA65601 FAW65598:FAW65601 FKS65598:FKS65601 FUO65598:FUO65601 GEK65598:GEK65601 GOG65598:GOG65601 GYC65598:GYC65601 HHY65598:HHY65601 HRU65598:HRU65601 IBQ65598:IBQ65601 ILM65598:ILM65601 IVI65598:IVI65601 JFE65598:JFE65601 JPA65598:JPA65601 JYW65598:JYW65601 KIS65598:KIS65601 KSO65598:KSO65601 LCK65598:LCK65601 LMG65598:LMG65601 LWC65598:LWC65601 MFY65598:MFY65601 MPU65598:MPU65601 MZQ65598:MZQ65601 NJM65598:NJM65601 NTI65598:NTI65601 ODE65598:ODE65601 ONA65598:ONA65601 OWW65598:OWW65601 PGS65598:PGS65601 PQO65598:PQO65601 QAK65598:QAK65601 QKG65598:QKG65601 QUC65598:QUC65601 RDY65598:RDY65601 RNU65598:RNU65601 RXQ65598:RXQ65601 SHM65598:SHM65601 SRI65598:SRI65601 TBE65598:TBE65601 TLA65598:TLA65601 TUW65598:TUW65601 UES65598:UES65601 UOO65598:UOO65601 UYK65598:UYK65601 VIG65598:VIG65601 VSC65598:VSC65601 WBY65598:WBY65601 WLU65598:WLU65601 WVQ65598:WVQ65601 I131134:I131137 JE131134:JE131137 TA131134:TA131137 ACW131134:ACW131137 AMS131134:AMS131137 AWO131134:AWO131137 BGK131134:BGK131137 BQG131134:BQG131137 CAC131134:CAC131137 CJY131134:CJY131137 CTU131134:CTU131137 DDQ131134:DDQ131137 DNM131134:DNM131137 DXI131134:DXI131137 EHE131134:EHE131137 ERA131134:ERA131137 FAW131134:FAW131137 FKS131134:FKS131137 FUO131134:FUO131137 GEK131134:GEK131137 GOG131134:GOG131137 GYC131134:GYC131137 HHY131134:HHY131137 HRU131134:HRU131137 IBQ131134:IBQ131137 ILM131134:ILM131137 IVI131134:IVI131137 JFE131134:JFE131137 JPA131134:JPA131137 JYW131134:JYW131137 KIS131134:KIS131137 KSO131134:KSO131137 LCK131134:LCK131137 LMG131134:LMG131137 LWC131134:LWC131137 MFY131134:MFY131137 MPU131134:MPU131137 MZQ131134:MZQ131137 NJM131134:NJM131137 NTI131134:NTI131137 ODE131134:ODE131137 ONA131134:ONA131137 OWW131134:OWW131137 PGS131134:PGS131137 PQO131134:PQO131137 QAK131134:QAK131137 QKG131134:QKG131137 QUC131134:QUC131137 RDY131134:RDY131137 RNU131134:RNU131137 RXQ131134:RXQ131137 SHM131134:SHM131137 SRI131134:SRI131137 TBE131134:TBE131137 TLA131134:TLA131137 TUW131134:TUW131137 UES131134:UES131137 UOO131134:UOO131137 UYK131134:UYK131137 VIG131134:VIG131137 VSC131134:VSC131137 WBY131134:WBY131137 WLU131134:WLU131137 WVQ131134:WVQ131137 I196670:I196673 JE196670:JE196673 TA196670:TA196673 ACW196670:ACW196673 AMS196670:AMS196673 AWO196670:AWO196673 BGK196670:BGK196673 BQG196670:BQG196673 CAC196670:CAC196673 CJY196670:CJY196673 CTU196670:CTU196673 DDQ196670:DDQ196673 DNM196670:DNM196673 DXI196670:DXI196673 EHE196670:EHE196673 ERA196670:ERA196673 FAW196670:FAW196673 FKS196670:FKS196673 FUO196670:FUO196673 GEK196670:GEK196673 GOG196670:GOG196673 GYC196670:GYC196673 HHY196670:HHY196673 HRU196670:HRU196673 IBQ196670:IBQ196673 ILM196670:ILM196673 IVI196670:IVI196673 JFE196670:JFE196673 JPA196670:JPA196673 JYW196670:JYW196673 KIS196670:KIS196673 KSO196670:KSO196673 LCK196670:LCK196673 LMG196670:LMG196673 LWC196670:LWC196673 MFY196670:MFY196673 MPU196670:MPU196673 MZQ196670:MZQ196673 NJM196670:NJM196673 NTI196670:NTI196673 ODE196670:ODE196673 ONA196670:ONA196673 OWW196670:OWW196673 PGS196670:PGS196673 PQO196670:PQO196673 QAK196670:QAK196673 QKG196670:QKG196673 QUC196670:QUC196673 RDY196670:RDY196673 RNU196670:RNU196673 RXQ196670:RXQ196673 SHM196670:SHM196673 SRI196670:SRI196673 TBE196670:TBE196673 TLA196670:TLA196673 TUW196670:TUW196673 UES196670:UES196673 UOO196670:UOO196673 UYK196670:UYK196673 VIG196670:VIG196673 VSC196670:VSC196673 WBY196670:WBY196673 WLU196670:WLU196673 WVQ196670:WVQ196673 I262206:I262209 JE262206:JE262209 TA262206:TA262209 ACW262206:ACW262209 AMS262206:AMS262209 AWO262206:AWO262209 BGK262206:BGK262209 BQG262206:BQG262209 CAC262206:CAC262209 CJY262206:CJY262209 CTU262206:CTU262209 DDQ262206:DDQ262209 DNM262206:DNM262209 DXI262206:DXI262209 EHE262206:EHE262209 ERA262206:ERA262209 FAW262206:FAW262209 FKS262206:FKS262209 FUO262206:FUO262209 GEK262206:GEK262209 GOG262206:GOG262209 GYC262206:GYC262209 HHY262206:HHY262209 HRU262206:HRU262209 IBQ262206:IBQ262209 ILM262206:ILM262209 IVI262206:IVI262209 JFE262206:JFE262209 JPA262206:JPA262209 JYW262206:JYW262209 KIS262206:KIS262209 KSO262206:KSO262209 LCK262206:LCK262209 LMG262206:LMG262209 LWC262206:LWC262209 MFY262206:MFY262209 MPU262206:MPU262209 MZQ262206:MZQ262209 NJM262206:NJM262209 NTI262206:NTI262209 ODE262206:ODE262209 ONA262206:ONA262209 OWW262206:OWW262209 PGS262206:PGS262209 PQO262206:PQO262209 QAK262206:QAK262209 QKG262206:QKG262209 QUC262206:QUC262209 RDY262206:RDY262209 RNU262206:RNU262209 RXQ262206:RXQ262209 SHM262206:SHM262209 SRI262206:SRI262209 TBE262206:TBE262209 TLA262206:TLA262209 TUW262206:TUW262209 UES262206:UES262209 UOO262206:UOO262209 UYK262206:UYK262209 VIG262206:VIG262209 VSC262206:VSC262209 WBY262206:WBY262209 WLU262206:WLU262209 WVQ262206:WVQ262209 I327742:I327745 JE327742:JE327745 TA327742:TA327745 ACW327742:ACW327745 AMS327742:AMS327745 AWO327742:AWO327745 BGK327742:BGK327745 BQG327742:BQG327745 CAC327742:CAC327745 CJY327742:CJY327745 CTU327742:CTU327745 DDQ327742:DDQ327745 DNM327742:DNM327745 DXI327742:DXI327745 EHE327742:EHE327745 ERA327742:ERA327745 FAW327742:FAW327745 FKS327742:FKS327745 FUO327742:FUO327745 GEK327742:GEK327745 GOG327742:GOG327745 GYC327742:GYC327745 HHY327742:HHY327745 HRU327742:HRU327745 IBQ327742:IBQ327745 ILM327742:ILM327745 IVI327742:IVI327745 JFE327742:JFE327745 JPA327742:JPA327745 JYW327742:JYW327745 KIS327742:KIS327745 KSO327742:KSO327745 LCK327742:LCK327745 LMG327742:LMG327745 LWC327742:LWC327745 MFY327742:MFY327745 MPU327742:MPU327745 MZQ327742:MZQ327745 NJM327742:NJM327745 NTI327742:NTI327745 ODE327742:ODE327745 ONA327742:ONA327745 OWW327742:OWW327745 PGS327742:PGS327745 PQO327742:PQO327745 QAK327742:QAK327745 QKG327742:QKG327745 QUC327742:QUC327745 RDY327742:RDY327745 RNU327742:RNU327745 RXQ327742:RXQ327745 SHM327742:SHM327745 SRI327742:SRI327745 TBE327742:TBE327745 TLA327742:TLA327745 TUW327742:TUW327745 UES327742:UES327745 UOO327742:UOO327745 UYK327742:UYK327745 VIG327742:VIG327745 VSC327742:VSC327745 WBY327742:WBY327745 WLU327742:WLU327745 WVQ327742:WVQ327745 I393278:I393281 JE393278:JE393281 TA393278:TA393281 ACW393278:ACW393281 AMS393278:AMS393281 AWO393278:AWO393281 BGK393278:BGK393281 BQG393278:BQG393281 CAC393278:CAC393281 CJY393278:CJY393281 CTU393278:CTU393281 DDQ393278:DDQ393281 DNM393278:DNM393281 DXI393278:DXI393281 EHE393278:EHE393281 ERA393278:ERA393281 FAW393278:FAW393281 FKS393278:FKS393281 FUO393278:FUO393281 GEK393278:GEK393281 GOG393278:GOG393281 GYC393278:GYC393281 HHY393278:HHY393281 HRU393278:HRU393281 IBQ393278:IBQ393281 ILM393278:ILM393281 IVI393278:IVI393281 JFE393278:JFE393281 JPA393278:JPA393281 JYW393278:JYW393281 KIS393278:KIS393281 KSO393278:KSO393281 LCK393278:LCK393281 LMG393278:LMG393281 LWC393278:LWC393281 MFY393278:MFY393281 MPU393278:MPU393281 MZQ393278:MZQ393281 NJM393278:NJM393281 NTI393278:NTI393281 ODE393278:ODE393281 ONA393278:ONA393281 OWW393278:OWW393281 PGS393278:PGS393281 PQO393278:PQO393281 QAK393278:QAK393281 QKG393278:QKG393281 QUC393278:QUC393281 RDY393278:RDY393281 RNU393278:RNU393281 RXQ393278:RXQ393281 SHM393278:SHM393281 SRI393278:SRI393281 TBE393278:TBE393281 TLA393278:TLA393281 TUW393278:TUW393281 UES393278:UES393281 UOO393278:UOO393281 UYK393278:UYK393281 VIG393278:VIG393281 VSC393278:VSC393281 WBY393278:WBY393281 WLU393278:WLU393281 WVQ393278:WVQ393281 I458814:I458817 JE458814:JE458817 TA458814:TA458817 ACW458814:ACW458817 AMS458814:AMS458817 AWO458814:AWO458817 BGK458814:BGK458817 BQG458814:BQG458817 CAC458814:CAC458817 CJY458814:CJY458817 CTU458814:CTU458817 DDQ458814:DDQ458817 DNM458814:DNM458817 DXI458814:DXI458817 EHE458814:EHE458817 ERA458814:ERA458817 FAW458814:FAW458817 FKS458814:FKS458817 FUO458814:FUO458817 GEK458814:GEK458817 GOG458814:GOG458817 GYC458814:GYC458817 HHY458814:HHY458817 HRU458814:HRU458817 IBQ458814:IBQ458817 ILM458814:ILM458817 IVI458814:IVI458817 JFE458814:JFE458817 JPA458814:JPA458817 JYW458814:JYW458817 KIS458814:KIS458817 KSO458814:KSO458817 LCK458814:LCK458817 LMG458814:LMG458817 LWC458814:LWC458817 MFY458814:MFY458817 MPU458814:MPU458817 MZQ458814:MZQ458817 NJM458814:NJM458817 NTI458814:NTI458817 ODE458814:ODE458817 ONA458814:ONA458817 OWW458814:OWW458817 PGS458814:PGS458817 PQO458814:PQO458817 QAK458814:QAK458817 QKG458814:QKG458817 QUC458814:QUC458817 RDY458814:RDY458817 RNU458814:RNU458817 RXQ458814:RXQ458817 SHM458814:SHM458817 SRI458814:SRI458817 TBE458814:TBE458817 TLA458814:TLA458817 TUW458814:TUW458817 UES458814:UES458817 UOO458814:UOO458817 UYK458814:UYK458817 VIG458814:VIG458817 VSC458814:VSC458817 WBY458814:WBY458817 WLU458814:WLU458817 WVQ458814:WVQ458817 I524350:I524353 JE524350:JE524353 TA524350:TA524353 ACW524350:ACW524353 AMS524350:AMS524353 AWO524350:AWO524353 BGK524350:BGK524353 BQG524350:BQG524353 CAC524350:CAC524353 CJY524350:CJY524353 CTU524350:CTU524353 DDQ524350:DDQ524353 DNM524350:DNM524353 DXI524350:DXI524353 EHE524350:EHE524353 ERA524350:ERA524353 FAW524350:FAW524353 FKS524350:FKS524353 FUO524350:FUO524353 GEK524350:GEK524353 GOG524350:GOG524353 GYC524350:GYC524353 HHY524350:HHY524353 HRU524350:HRU524353 IBQ524350:IBQ524353 ILM524350:ILM524353 IVI524350:IVI524353 JFE524350:JFE524353 JPA524350:JPA524353 JYW524350:JYW524353 KIS524350:KIS524353 KSO524350:KSO524353 LCK524350:LCK524353 LMG524350:LMG524353 LWC524350:LWC524353 MFY524350:MFY524353 MPU524350:MPU524353 MZQ524350:MZQ524353 NJM524350:NJM524353 NTI524350:NTI524353 ODE524350:ODE524353 ONA524350:ONA524353 OWW524350:OWW524353 PGS524350:PGS524353 PQO524350:PQO524353 QAK524350:QAK524353 QKG524350:QKG524353 QUC524350:QUC524353 RDY524350:RDY524353 RNU524350:RNU524353 RXQ524350:RXQ524353 SHM524350:SHM524353 SRI524350:SRI524353 TBE524350:TBE524353 TLA524350:TLA524353 TUW524350:TUW524353 UES524350:UES524353 UOO524350:UOO524353 UYK524350:UYK524353 VIG524350:VIG524353 VSC524350:VSC524353 WBY524350:WBY524353 WLU524350:WLU524353 WVQ524350:WVQ524353 I589886:I589889 JE589886:JE589889 TA589886:TA589889 ACW589886:ACW589889 AMS589886:AMS589889 AWO589886:AWO589889 BGK589886:BGK589889 BQG589886:BQG589889 CAC589886:CAC589889 CJY589886:CJY589889 CTU589886:CTU589889 DDQ589886:DDQ589889 DNM589886:DNM589889 DXI589886:DXI589889 EHE589886:EHE589889 ERA589886:ERA589889 FAW589886:FAW589889 FKS589886:FKS589889 FUO589886:FUO589889 GEK589886:GEK589889 GOG589886:GOG589889 GYC589886:GYC589889 HHY589886:HHY589889 HRU589886:HRU589889 IBQ589886:IBQ589889 ILM589886:ILM589889 IVI589886:IVI589889 JFE589886:JFE589889 JPA589886:JPA589889 JYW589886:JYW589889 KIS589886:KIS589889 KSO589886:KSO589889 LCK589886:LCK589889 LMG589886:LMG589889 LWC589886:LWC589889 MFY589886:MFY589889 MPU589886:MPU589889 MZQ589886:MZQ589889 NJM589886:NJM589889 NTI589886:NTI589889 ODE589886:ODE589889 ONA589886:ONA589889 OWW589886:OWW589889 PGS589886:PGS589889 PQO589886:PQO589889 QAK589886:QAK589889 QKG589886:QKG589889 QUC589886:QUC589889 RDY589886:RDY589889 RNU589886:RNU589889 RXQ589886:RXQ589889 SHM589886:SHM589889 SRI589886:SRI589889 TBE589886:TBE589889 TLA589886:TLA589889 TUW589886:TUW589889 UES589886:UES589889 UOO589886:UOO589889 UYK589886:UYK589889 VIG589886:VIG589889 VSC589886:VSC589889 WBY589886:WBY589889 WLU589886:WLU589889 WVQ589886:WVQ589889 I655422:I655425 JE655422:JE655425 TA655422:TA655425 ACW655422:ACW655425 AMS655422:AMS655425 AWO655422:AWO655425 BGK655422:BGK655425 BQG655422:BQG655425 CAC655422:CAC655425 CJY655422:CJY655425 CTU655422:CTU655425 DDQ655422:DDQ655425 DNM655422:DNM655425 DXI655422:DXI655425 EHE655422:EHE655425 ERA655422:ERA655425 FAW655422:FAW655425 FKS655422:FKS655425 FUO655422:FUO655425 GEK655422:GEK655425 GOG655422:GOG655425 GYC655422:GYC655425 HHY655422:HHY655425 HRU655422:HRU655425 IBQ655422:IBQ655425 ILM655422:ILM655425 IVI655422:IVI655425 JFE655422:JFE655425 JPA655422:JPA655425 JYW655422:JYW655425 KIS655422:KIS655425 KSO655422:KSO655425 LCK655422:LCK655425 LMG655422:LMG655425 LWC655422:LWC655425 MFY655422:MFY655425 MPU655422:MPU655425 MZQ655422:MZQ655425 NJM655422:NJM655425 NTI655422:NTI655425 ODE655422:ODE655425 ONA655422:ONA655425 OWW655422:OWW655425 PGS655422:PGS655425 PQO655422:PQO655425 QAK655422:QAK655425 QKG655422:QKG655425 QUC655422:QUC655425 RDY655422:RDY655425 RNU655422:RNU655425 RXQ655422:RXQ655425 SHM655422:SHM655425 SRI655422:SRI655425 TBE655422:TBE655425 TLA655422:TLA655425 TUW655422:TUW655425 UES655422:UES655425 UOO655422:UOO655425 UYK655422:UYK655425 VIG655422:VIG655425 VSC655422:VSC655425 WBY655422:WBY655425 WLU655422:WLU655425 WVQ655422:WVQ655425 I720958:I720961 JE720958:JE720961 TA720958:TA720961 ACW720958:ACW720961 AMS720958:AMS720961 AWO720958:AWO720961 BGK720958:BGK720961 BQG720958:BQG720961 CAC720958:CAC720961 CJY720958:CJY720961 CTU720958:CTU720961 DDQ720958:DDQ720961 DNM720958:DNM720961 DXI720958:DXI720961 EHE720958:EHE720961 ERA720958:ERA720961 FAW720958:FAW720961 FKS720958:FKS720961 FUO720958:FUO720961 GEK720958:GEK720961 GOG720958:GOG720961 GYC720958:GYC720961 HHY720958:HHY720961 HRU720958:HRU720961 IBQ720958:IBQ720961 ILM720958:ILM720961 IVI720958:IVI720961 JFE720958:JFE720961 JPA720958:JPA720961 JYW720958:JYW720961 KIS720958:KIS720961 KSO720958:KSO720961 LCK720958:LCK720961 LMG720958:LMG720961 LWC720958:LWC720961 MFY720958:MFY720961 MPU720958:MPU720961 MZQ720958:MZQ720961 NJM720958:NJM720961 NTI720958:NTI720961 ODE720958:ODE720961 ONA720958:ONA720961 OWW720958:OWW720961 PGS720958:PGS720961 PQO720958:PQO720961 QAK720958:QAK720961 QKG720958:QKG720961 QUC720958:QUC720961 RDY720958:RDY720961 RNU720958:RNU720961 RXQ720958:RXQ720961 SHM720958:SHM720961 SRI720958:SRI720961 TBE720958:TBE720961 TLA720958:TLA720961 TUW720958:TUW720961 UES720958:UES720961 UOO720958:UOO720961 UYK720958:UYK720961 VIG720958:VIG720961 VSC720958:VSC720961 WBY720958:WBY720961 WLU720958:WLU720961 WVQ720958:WVQ720961 I786494:I786497 JE786494:JE786497 TA786494:TA786497 ACW786494:ACW786497 AMS786494:AMS786497 AWO786494:AWO786497 BGK786494:BGK786497 BQG786494:BQG786497 CAC786494:CAC786497 CJY786494:CJY786497 CTU786494:CTU786497 DDQ786494:DDQ786497 DNM786494:DNM786497 DXI786494:DXI786497 EHE786494:EHE786497 ERA786494:ERA786497 FAW786494:FAW786497 FKS786494:FKS786497 FUO786494:FUO786497 GEK786494:GEK786497 GOG786494:GOG786497 GYC786494:GYC786497 HHY786494:HHY786497 HRU786494:HRU786497 IBQ786494:IBQ786497 ILM786494:ILM786497 IVI786494:IVI786497 JFE786494:JFE786497 JPA786494:JPA786497 JYW786494:JYW786497 KIS786494:KIS786497 KSO786494:KSO786497 LCK786494:LCK786497 LMG786494:LMG786497 LWC786494:LWC786497 MFY786494:MFY786497 MPU786494:MPU786497 MZQ786494:MZQ786497 NJM786494:NJM786497 NTI786494:NTI786497 ODE786494:ODE786497 ONA786494:ONA786497 OWW786494:OWW786497 PGS786494:PGS786497 PQO786494:PQO786497 QAK786494:QAK786497 QKG786494:QKG786497 QUC786494:QUC786497 RDY786494:RDY786497 RNU786494:RNU786497 RXQ786494:RXQ786497 SHM786494:SHM786497 SRI786494:SRI786497 TBE786494:TBE786497 TLA786494:TLA786497 TUW786494:TUW786497 UES786494:UES786497 UOO786494:UOO786497 UYK786494:UYK786497 VIG786494:VIG786497 VSC786494:VSC786497 WBY786494:WBY786497 WLU786494:WLU786497 WVQ786494:WVQ786497 I852030:I852033 JE852030:JE852033 TA852030:TA852033 ACW852030:ACW852033 AMS852030:AMS852033 AWO852030:AWO852033 BGK852030:BGK852033 BQG852030:BQG852033 CAC852030:CAC852033 CJY852030:CJY852033 CTU852030:CTU852033 DDQ852030:DDQ852033 DNM852030:DNM852033 DXI852030:DXI852033 EHE852030:EHE852033 ERA852030:ERA852033 FAW852030:FAW852033 FKS852030:FKS852033 FUO852030:FUO852033 GEK852030:GEK852033 GOG852030:GOG852033 GYC852030:GYC852033 HHY852030:HHY852033 HRU852030:HRU852033 IBQ852030:IBQ852033 ILM852030:ILM852033 IVI852030:IVI852033 JFE852030:JFE852033 JPA852030:JPA852033 JYW852030:JYW852033 KIS852030:KIS852033 KSO852030:KSO852033 LCK852030:LCK852033 LMG852030:LMG852033 LWC852030:LWC852033 MFY852030:MFY852033 MPU852030:MPU852033 MZQ852030:MZQ852033 NJM852030:NJM852033 NTI852030:NTI852033 ODE852030:ODE852033 ONA852030:ONA852033 OWW852030:OWW852033 PGS852030:PGS852033 PQO852030:PQO852033 QAK852030:QAK852033 QKG852030:QKG852033 QUC852030:QUC852033 RDY852030:RDY852033 RNU852030:RNU852033 RXQ852030:RXQ852033 SHM852030:SHM852033 SRI852030:SRI852033 TBE852030:TBE852033 TLA852030:TLA852033 TUW852030:TUW852033 UES852030:UES852033 UOO852030:UOO852033 UYK852030:UYK852033 VIG852030:VIG852033 VSC852030:VSC852033 WBY852030:WBY852033 WLU852030:WLU852033 WVQ852030:WVQ852033 I917566:I917569 JE917566:JE917569 TA917566:TA917569 ACW917566:ACW917569 AMS917566:AMS917569 AWO917566:AWO917569 BGK917566:BGK917569 BQG917566:BQG917569 CAC917566:CAC917569 CJY917566:CJY917569 CTU917566:CTU917569 DDQ917566:DDQ917569 DNM917566:DNM917569 DXI917566:DXI917569 EHE917566:EHE917569 ERA917566:ERA917569 FAW917566:FAW917569 FKS917566:FKS917569 FUO917566:FUO917569 GEK917566:GEK917569 GOG917566:GOG917569 GYC917566:GYC917569 HHY917566:HHY917569 HRU917566:HRU917569 IBQ917566:IBQ917569 ILM917566:ILM917569 IVI917566:IVI917569 JFE917566:JFE917569 JPA917566:JPA917569 JYW917566:JYW917569 KIS917566:KIS917569 KSO917566:KSO917569 LCK917566:LCK917569 LMG917566:LMG917569 LWC917566:LWC917569 MFY917566:MFY917569 MPU917566:MPU917569 MZQ917566:MZQ917569 NJM917566:NJM917569 NTI917566:NTI917569 ODE917566:ODE917569 ONA917566:ONA917569 OWW917566:OWW917569 PGS917566:PGS917569 PQO917566:PQO917569 QAK917566:QAK917569 QKG917566:QKG917569 QUC917566:QUC917569 RDY917566:RDY917569 RNU917566:RNU917569 RXQ917566:RXQ917569 SHM917566:SHM917569 SRI917566:SRI917569 TBE917566:TBE917569 TLA917566:TLA917569 TUW917566:TUW917569 UES917566:UES917569 UOO917566:UOO917569 UYK917566:UYK917569 VIG917566:VIG917569 VSC917566:VSC917569 WBY917566:WBY917569 WLU917566:WLU917569 WVQ917566:WVQ917569 I983102:I983105 JE983102:JE983105 TA983102:TA983105 ACW983102:ACW983105 AMS983102:AMS983105 AWO983102:AWO983105 BGK983102:BGK983105 BQG983102:BQG983105 CAC983102:CAC983105 CJY983102:CJY983105 CTU983102:CTU983105 DDQ983102:DDQ983105 DNM983102:DNM983105 DXI983102:DXI983105 EHE983102:EHE983105 ERA983102:ERA983105 FAW983102:FAW983105 FKS983102:FKS983105 FUO983102:FUO983105 GEK983102:GEK983105 GOG983102:GOG983105 GYC983102:GYC983105 HHY983102:HHY983105 HRU983102:HRU983105 IBQ983102:IBQ983105 ILM983102:ILM983105 IVI983102:IVI983105 JFE983102:JFE983105 JPA983102:JPA983105 JYW983102:JYW983105 KIS983102:KIS983105 KSO983102:KSO983105 LCK983102:LCK983105 LMG983102:LMG983105 LWC983102:LWC983105 MFY983102:MFY983105 MPU983102:MPU983105 MZQ983102:MZQ983105 NJM983102:NJM983105 NTI983102:NTI983105 ODE983102:ODE983105 ONA983102:ONA983105 OWW983102:OWW983105 PGS983102:PGS983105 PQO983102:PQO983105 QAK983102:QAK983105 QKG983102:QKG983105 QUC983102:QUC983105 RDY983102:RDY983105 RNU983102:RNU983105 RXQ983102:RXQ983105 SHM983102:SHM983105 SRI983102:SRI983105 TBE983102:TBE983105 TLA983102:TLA983105 TUW983102:TUW983105 UES983102:UES983105 UOO983102:UOO983105 UYK983102:UYK983105 VIG983102:VIG983105 VSC983102:VSC983105 WBY983102:WBY983105 WLU983102:WLU983105 WVQ983102:WVQ983105 F58:F60 JE58:JE60 TA58:TA60 ACW58:ACW60 AMS58:AMS60 AWO58:AWO60 BGK58:BGK60 BQG58:BQG60 CAC58:CAC60 CJY58:CJY60 CTU58:CTU60 DDQ58:DDQ60 DNM58:DNM60 DXI58:DXI60 EHE58:EHE60 ERA58:ERA60 FAW58:FAW60 FKS58:FKS60 FUO58:FUO60 GEK58:GEK60 GOG58:GOG60 GYC58:GYC60 HHY58:HHY60 HRU58:HRU60 IBQ58:IBQ60 ILM58:ILM60 IVI58:IVI60 JFE58:JFE60 JPA58:JPA60 JYW58:JYW60 KIS58:KIS60 KSO58:KSO60 LCK58:LCK60 LMG58:LMG60 LWC58:LWC60 MFY58:MFY60 MPU58:MPU60 MZQ58:MZQ60 NJM58:NJM60 NTI58:NTI60 ODE58:ODE60 ONA58:ONA60 OWW58:OWW60 PGS58:PGS60 PQO58:PQO60 QAK58:QAK60 QKG58:QKG60 QUC58:QUC60 RDY58:RDY60 RNU58:RNU60 RXQ58:RXQ60 SHM58:SHM60 SRI58:SRI60 TBE58:TBE60 TLA58:TLA60 TUW58:TUW60 UES58:UES60 UOO58:UOO60 UYK58:UYK60 VIG58:VIG60 VSC58:VSC60 WBY58:WBY60 WLU58:WLU60 WVQ58:WVQ60 I65594:I65596 JE65594:JE65596 TA65594:TA65596 ACW65594:ACW65596 AMS65594:AMS65596 AWO65594:AWO65596 BGK65594:BGK65596 BQG65594:BQG65596 CAC65594:CAC65596 CJY65594:CJY65596 CTU65594:CTU65596 DDQ65594:DDQ65596 DNM65594:DNM65596 DXI65594:DXI65596 EHE65594:EHE65596 ERA65594:ERA65596 FAW65594:FAW65596 FKS65594:FKS65596 FUO65594:FUO65596 GEK65594:GEK65596 GOG65594:GOG65596 GYC65594:GYC65596 HHY65594:HHY65596 HRU65594:HRU65596 IBQ65594:IBQ65596 ILM65594:ILM65596 IVI65594:IVI65596 JFE65594:JFE65596 JPA65594:JPA65596 JYW65594:JYW65596 KIS65594:KIS65596 KSO65594:KSO65596 LCK65594:LCK65596 LMG65594:LMG65596 LWC65594:LWC65596 MFY65594:MFY65596 MPU65594:MPU65596 MZQ65594:MZQ65596 NJM65594:NJM65596 NTI65594:NTI65596 ODE65594:ODE65596 ONA65594:ONA65596 OWW65594:OWW65596 PGS65594:PGS65596 PQO65594:PQO65596 QAK65594:QAK65596 QKG65594:QKG65596 QUC65594:QUC65596 RDY65594:RDY65596 RNU65594:RNU65596 RXQ65594:RXQ65596 SHM65594:SHM65596 SRI65594:SRI65596 TBE65594:TBE65596 TLA65594:TLA65596 TUW65594:TUW65596 UES65594:UES65596 UOO65594:UOO65596 UYK65594:UYK65596 VIG65594:VIG65596 VSC65594:VSC65596 WBY65594:WBY65596 WLU65594:WLU65596 WVQ65594:WVQ65596 I131130:I131132 JE131130:JE131132 TA131130:TA131132 ACW131130:ACW131132 AMS131130:AMS131132 AWO131130:AWO131132 BGK131130:BGK131132 BQG131130:BQG131132 CAC131130:CAC131132 CJY131130:CJY131132 CTU131130:CTU131132 DDQ131130:DDQ131132 DNM131130:DNM131132 DXI131130:DXI131132 EHE131130:EHE131132 ERA131130:ERA131132 FAW131130:FAW131132 FKS131130:FKS131132 FUO131130:FUO131132 GEK131130:GEK131132 GOG131130:GOG131132 GYC131130:GYC131132 HHY131130:HHY131132 HRU131130:HRU131132 IBQ131130:IBQ131132 ILM131130:ILM131132 IVI131130:IVI131132 JFE131130:JFE131132 JPA131130:JPA131132 JYW131130:JYW131132 KIS131130:KIS131132 KSO131130:KSO131132 LCK131130:LCK131132 LMG131130:LMG131132 LWC131130:LWC131132 MFY131130:MFY131132 MPU131130:MPU131132 MZQ131130:MZQ131132 NJM131130:NJM131132 NTI131130:NTI131132 ODE131130:ODE131132 ONA131130:ONA131132 OWW131130:OWW131132 PGS131130:PGS131132 PQO131130:PQO131132 QAK131130:QAK131132 QKG131130:QKG131132 QUC131130:QUC131132 RDY131130:RDY131132 RNU131130:RNU131132 RXQ131130:RXQ131132 SHM131130:SHM131132 SRI131130:SRI131132 TBE131130:TBE131132 TLA131130:TLA131132 TUW131130:TUW131132 UES131130:UES131132 UOO131130:UOO131132 UYK131130:UYK131132 VIG131130:VIG131132 VSC131130:VSC131132 WBY131130:WBY131132 WLU131130:WLU131132 WVQ131130:WVQ131132 I196666:I196668 JE196666:JE196668 TA196666:TA196668 ACW196666:ACW196668 AMS196666:AMS196668 AWO196666:AWO196668 BGK196666:BGK196668 BQG196666:BQG196668 CAC196666:CAC196668 CJY196666:CJY196668 CTU196666:CTU196668 DDQ196666:DDQ196668 DNM196666:DNM196668 DXI196666:DXI196668 EHE196666:EHE196668 ERA196666:ERA196668 FAW196666:FAW196668 FKS196666:FKS196668 FUO196666:FUO196668 GEK196666:GEK196668 GOG196666:GOG196668 GYC196666:GYC196668 HHY196666:HHY196668 HRU196666:HRU196668 IBQ196666:IBQ196668 ILM196666:ILM196668 IVI196666:IVI196668 JFE196666:JFE196668 JPA196666:JPA196668 JYW196666:JYW196668 KIS196666:KIS196668 KSO196666:KSO196668 LCK196666:LCK196668 LMG196666:LMG196668 LWC196666:LWC196668 MFY196666:MFY196668 MPU196666:MPU196668 MZQ196666:MZQ196668 NJM196666:NJM196668 NTI196666:NTI196668 ODE196666:ODE196668 ONA196666:ONA196668 OWW196666:OWW196668 PGS196666:PGS196668 PQO196666:PQO196668 QAK196666:QAK196668 QKG196666:QKG196668 QUC196666:QUC196668 RDY196666:RDY196668 RNU196666:RNU196668 RXQ196666:RXQ196668 SHM196666:SHM196668 SRI196666:SRI196668 TBE196666:TBE196668 TLA196666:TLA196668 TUW196666:TUW196668 UES196666:UES196668 UOO196666:UOO196668 UYK196666:UYK196668 VIG196666:VIG196668 VSC196666:VSC196668 WBY196666:WBY196668 WLU196666:WLU196668 WVQ196666:WVQ196668 I262202:I262204 JE262202:JE262204 TA262202:TA262204 ACW262202:ACW262204 AMS262202:AMS262204 AWO262202:AWO262204 BGK262202:BGK262204 BQG262202:BQG262204 CAC262202:CAC262204 CJY262202:CJY262204 CTU262202:CTU262204 DDQ262202:DDQ262204 DNM262202:DNM262204 DXI262202:DXI262204 EHE262202:EHE262204 ERA262202:ERA262204 FAW262202:FAW262204 FKS262202:FKS262204 FUO262202:FUO262204 GEK262202:GEK262204 GOG262202:GOG262204 GYC262202:GYC262204 HHY262202:HHY262204 HRU262202:HRU262204 IBQ262202:IBQ262204 ILM262202:ILM262204 IVI262202:IVI262204 JFE262202:JFE262204 JPA262202:JPA262204 JYW262202:JYW262204 KIS262202:KIS262204 KSO262202:KSO262204 LCK262202:LCK262204 LMG262202:LMG262204 LWC262202:LWC262204 MFY262202:MFY262204 MPU262202:MPU262204 MZQ262202:MZQ262204 NJM262202:NJM262204 NTI262202:NTI262204 ODE262202:ODE262204 ONA262202:ONA262204 OWW262202:OWW262204 PGS262202:PGS262204 PQO262202:PQO262204 QAK262202:QAK262204 QKG262202:QKG262204 QUC262202:QUC262204 RDY262202:RDY262204 RNU262202:RNU262204 RXQ262202:RXQ262204 SHM262202:SHM262204 SRI262202:SRI262204 TBE262202:TBE262204 TLA262202:TLA262204 TUW262202:TUW262204 UES262202:UES262204 UOO262202:UOO262204 UYK262202:UYK262204 VIG262202:VIG262204 VSC262202:VSC262204 WBY262202:WBY262204 WLU262202:WLU262204 WVQ262202:WVQ262204 I327738:I327740 JE327738:JE327740 TA327738:TA327740 ACW327738:ACW327740 AMS327738:AMS327740 AWO327738:AWO327740 BGK327738:BGK327740 BQG327738:BQG327740 CAC327738:CAC327740 CJY327738:CJY327740 CTU327738:CTU327740 DDQ327738:DDQ327740 DNM327738:DNM327740 DXI327738:DXI327740 EHE327738:EHE327740 ERA327738:ERA327740 FAW327738:FAW327740 FKS327738:FKS327740 FUO327738:FUO327740 GEK327738:GEK327740 GOG327738:GOG327740 GYC327738:GYC327740 HHY327738:HHY327740 HRU327738:HRU327740 IBQ327738:IBQ327740 ILM327738:ILM327740 IVI327738:IVI327740 JFE327738:JFE327740 JPA327738:JPA327740 JYW327738:JYW327740 KIS327738:KIS327740 KSO327738:KSO327740 LCK327738:LCK327740 LMG327738:LMG327740 LWC327738:LWC327740 MFY327738:MFY327740 MPU327738:MPU327740 MZQ327738:MZQ327740 NJM327738:NJM327740 NTI327738:NTI327740 ODE327738:ODE327740 ONA327738:ONA327740 OWW327738:OWW327740 PGS327738:PGS327740 PQO327738:PQO327740 QAK327738:QAK327740 QKG327738:QKG327740 QUC327738:QUC327740 RDY327738:RDY327740 RNU327738:RNU327740 RXQ327738:RXQ327740 SHM327738:SHM327740 SRI327738:SRI327740 TBE327738:TBE327740 TLA327738:TLA327740 TUW327738:TUW327740 UES327738:UES327740 UOO327738:UOO327740 UYK327738:UYK327740 VIG327738:VIG327740 VSC327738:VSC327740 WBY327738:WBY327740 WLU327738:WLU327740 WVQ327738:WVQ327740 I393274:I393276 JE393274:JE393276 TA393274:TA393276 ACW393274:ACW393276 AMS393274:AMS393276 AWO393274:AWO393276 BGK393274:BGK393276 BQG393274:BQG393276 CAC393274:CAC393276 CJY393274:CJY393276 CTU393274:CTU393276 DDQ393274:DDQ393276 DNM393274:DNM393276 DXI393274:DXI393276 EHE393274:EHE393276 ERA393274:ERA393276 FAW393274:FAW393276 FKS393274:FKS393276 FUO393274:FUO393276 GEK393274:GEK393276 GOG393274:GOG393276 GYC393274:GYC393276 HHY393274:HHY393276 HRU393274:HRU393276 IBQ393274:IBQ393276 ILM393274:ILM393276 IVI393274:IVI393276 JFE393274:JFE393276 JPA393274:JPA393276 JYW393274:JYW393276 KIS393274:KIS393276 KSO393274:KSO393276 LCK393274:LCK393276 LMG393274:LMG393276 LWC393274:LWC393276 MFY393274:MFY393276 MPU393274:MPU393276 MZQ393274:MZQ393276 NJM393274:NJM393276 NTI393274:NTI393276 ODE393274:ODE393276 ONA393274:ONA393276 OWW393274:OWW393276 PGS393274:PGS393276 PQO393274:PQO393276 QAK393274:QAK393276 QKG393274:QKG393276 QUC393274:QUC393276 RDY393274:RDY393276 RNU393274:RNU393276 RXQ393274:RXQ393276 SHM393274:SHM393276 SRI393274:SRI393276 TBE393274:TBE393276 TLA393274:TLA393276 TUW393274:TUW393276 UES393274:UES393276 UOO393274:UOO393276 UYK393274:UYK393276 VIG393274:VIG393276 VSC393274:VSC393276 WBY393274:WBY393276 WLU393274:WLU393276 WVQ393274:WVQ393276 I458810:I458812 JE458810:JE458812 TA458810:TA458812 ACW458810:ACW458812 AMS458810:AMS458812 AWO458810:AWO458812 BGK458810:BGK458812 BQG458810:BQG458812 CAC458810:CAC458812 CJY458810:CJY458812 CTU458810:CTU458812 DDQ458810:DDQ458812 DNM458810:DNM458812 DXI458810:DXI458812 EHE458810:EHE458812 ERA458810:ERA458812 FAW458810:FAW458812 FKS458810:FKS458812 FUO458810:FUO458812 GEK458810:GEK458812 GOG458810:GOG458812 GYC458810:GYC458812 HHY458810:HHY458812 HRU458810:HRU458812 IBQ458810:IBQ458812 ILM458810:ILM458812 IVI458810:IVI458812 JFE458810:JFE458812 JPA458810:JPA458812 JYW458810:JYW458812 KIS458810:KIS458812 KSO458810:KSO458812 LCK458810:LCK458812 LMG458810:LMG458812 LWC458810:LWC458812 MFY458810:MFY458812 MPU458810:MPU458812 MZQ458810:MZQ458812 NJM458810:NJM458812 NTI458810:NTI458812 ODE458810:ODE458812 ONA458810:ONA458812 OWW458810:OWW458812 PGS458810:PGS458812 PQO458810:PQO458812 QAK458810:QAK458812 QKG458810:QKG458812 QUC458810:QUC458812 RDY458810:RDY458812 RNU458810:RNU458812 RXQ458810:RXQ458812 SHM458810:SHM458812 SRI458810:SRI458812 TBE458810:TBE458812 TLA458810:TLA458812 TUW458810:TUW458812 UES458810:UES458812 UOO458810:UOO458812 UYK458810:UYK458812 VIG458810:VIG458812 VSC458810:VSC458812 WBY458810:WBY458812 WLU458810:WLU458812 WVQ458810:WVQ458812 I524346:I524348 JE524346:JE524348 TA524346:TA524348 ACW524346:ACW524348 AMS524346:AMS524348 AWO524346:AWO524348 BGK524346:BGK524348 BQG524346:BQG524348 CAC524346:CAC524348 CJY524346:CJY524348 CTU524346:CTU524348 DDQ524346:DDQ524348 DNM524346:DNM524348 DXI524346:DXI524348 EHE524346:EHE524348 ERA524346:ERA524348 FAW524346:FAW524348 FKS524346:FKS524348 FUO524346:FUO524348 GEK524346:GEK524348 GOG524346:GOG524348 GYC524346:GYC524348 HHY524346:HHY524348 HRU524346:HRU524348 IBQ524346:IBQ524348 ILM524346:ILM524348 IVI524346:IVI524348 JFE524346:JFE524348 JPA524346:JPA524348 JYW524346:JYW524348 KIS524346:KIS524348 KSO524346:KSO524348 LCK524346:LCK524348 LMG524346:LMG524348 LWC524346:LWC524348 MFY524346:MFY524348 MPU524346:MPU524348 MZQ524346:MZQ524348 NJM524346:NJM524348 NTI524346:NTI524348 ODE524346:ODE524348 ONA524346:ONA524348 OWW524346:OWW524348 PGS524346:PGS524348 PQO524346:PQO524348 QAK524346:QAK524348 QKG524346:QKG524348 QUC524346:QUC524348 RDY524346:RDY524348 RNU524346:RNU524348 RXQ524346:RXQ524348 SHM524346:SHM524348 SRI524346:SRI524348 TBE524346:TBE524348 TLA524346:TLA524348 TUW524346:TUW524348 UES524346:UES524348 UOO524346:UOO524348 UYK524346:UYK524348 VIG524346:VIG524348 VSC524346:VSC524348 WBY524346:WBY524348 WLU524346:WLU524348 WVQ524346:WVQ524348 I589882:I589884 JE589882:JE589884 TA589882:TA589884 ACW589882:ACW589884 AMS589882:AMS589884 AWO589882:AWO589884 BGK589882:BGK589884 BQG589882:BQG589884 CAC589882:CAC589884 CJY589882:CJY589884 CTU589882:CTU589884 DDQ589882:DDQ589884 DNM589882:DNM589884 DXI589882:DXI589884 EHE589882:EHE589884 ERA589882:ERA589884 FAW589882:FAW589884 FKS589882:FKS589884 FUO589882:FUO589884 GEK589882:GEK589884 GOG589882:GOG589884 GYC589882:GYC589884 HHY589882:HHY589884 HRU589882:HRU589884 IBQ589882:IBQ589884 ILM589882:ILM589884 IVI589882:IVI589884 JFE589882:JFE589884 JPA589882:JPA589884 JYW589882:JYW589884 KIS589882:KIS589884 KSO589882:KSO589884 LCK589882:LCK589884 LMG589882:LMG589884 LWC589882:LWC589884 MFY589882:MFY589884 MPU589882:MPU589884 MZQ589882:MZQ589884 NJM589882:NJM589884 NTI589882:NTI589884 ODE589882:ODE589884 ONA589882:ONA589884 OWW589882:OWW589884 PGS589882:PGS589884 PQO589882:PQO589884 QAK589882:QAK589884 QKG589882:QKG589884 QUC589882:QUC589884 RDY589882:RDY589884 RNU589882:RNU589884 RXQ589882:RXQ589884 SHM589882:SHM589884 SRI589882:SRI589884 TBE589882:TBE589884 TLA589882:TLA589884 TUW589882:TUW589884 UES589882:UES589884 UOO589882:UOO589884 UYK589882:UYK589884 VIG589882:VIG589884 VSC589882:VSC589884 WBY589882:WBY589884 WLU589882:WLU589884 WVQ589882:WVQ589884 I655418:I655420 JE655418:JE655420 TA655418:TA655420 ACW655418:ACW655420 AMS655418:AMS655420 AWO655418:AWO655420 BGK655418:BGK655420 BQG655418:BQG655420 CAC655418:CAC655420 CJY655418:CJY655420 CTU655418:CTU655420 DDQ655418:DDQ655420 DNM655418:DNM655420 DXI655418:DXI655420 EHE655418:EHE655420 ERA655418:ERA655420 FAW655418:FAW655420 FKS655418:FKS655420 FUO655418:FUO655420 GEK655418:GEK655420 GOG655418:GOG655420 GYC655418:GYC655420 HHY655418:HHY655420 HRU655418:HRU655420 IBQ655418:IBQ655420 ILM655418:ILM655420 IVI655418:IVI655420 JFE655418:JFE655420 JPA655418:JPA655420 JYW655418:JYW655420 KIS655418:KIS655420 KSO655418:KSO655420 LCK655418:LCK655420 LMG655418:LMG655420 LWC655418:LWC655420 MFY655418:MFY655420 MPU655418:MPU655420 MZQ655418:MZQ655420 NJM655418:NJM655420 NTI655418:NTI655420 ODE655418:ODE655420 ONA655418:ONA655420 OWW655418:OWW655420 PGS655418:PGS655420 PQO655418:PQO655420 QAK655418:QAK655420 QKG655418:QKG655420 QUC655418:QUC655420 RDY655418:RDY655420 RNU655418:RNU655420 RXQ655418:RXQ655420 SHM655418:SHM655420 SRI655418:SRI655420 TBE655418:TBE655420 TLA655418:TLA655420 TUW655418:TUW655420 UES655418:UES655420 UOO655418:UOO655420 UYK655418:UYK655420 VIG655418:VIG655420 VSC655418:VSC655420 WBY655418:WBY655420 WLU655418:WLU655420 WVQ655418:WVQ655420 I720954:I720956 JE720954:JE720956 TA720954:TA720956 ACW720954:ACW720956 AMS720954:AMS720956 AWO720954:AWO720956 BGK720954:BGK720956 BQG720954:BQG720956 CAC720954:CAC720956 CJY720954:CJY720956 CTU720954:CTU720956 DDQ720954:DDQ720956 DNM720954:DNM720956 DXI720954:DXI720956 EHE720954:EHE720956 ERA720954:ERA720956 FAW720954:FAW720956 FKS720954:FKS720956 FUO720954:FUO720956 GEK720954:GEK720956 GOG720954:GOG720956 GYC720954:GYC720956 HHY720954:HHY720956 HRU720954:HRU720956 IBQ720954:IBQ720956 ILM720954:ILM720956 IVI720954:IVI720956 JFE720954:JFE720956 JPA720954:JPA720956 JYW720954:JYW720956 KIS720954:KIS720956 KSO720954:KSO720956 LCK720954:LCK720956 LMG720954:LMG720956 LWC720954:LWC720956 MFY720954:MFY720956 MPU720954:MPU720956 MZQ720954:MZQ720956 NJM720954:NJM720956 NTI720954:NTI720956 ODE720954:ODE720956 ONA720954:ONA720956 OWW720954:OWW720956 PGS720954:PGS720956 PQO720954:PQO720956 QAK720954:QAK720956 QKG720954:QKG720956 QUC720954:QUC720956 RDY720954:RDY720956 RNU720954:RNU720956 RXQ720954:RXQ720956 SHM720954:SHM720956 SRI720954:SRI720956 TBE720954:TBE720956 TLA720954:TLA720956 TUW720954:TUW720956 UES720954:UES720956 UOO720954:UOO720956 UYK720954:UYK720956 VIG720954:VIG720956 VSC720954:VSC720956 WBY720954:WBY720956 WLU720954:WLU720956 WVQ720954:WVQ720956 I786490:I786492 JE786490:JE786492 TA786490:TA786492 ACW786490:ACW786492 AMS786490:AMS786492 AWO786490:AWO786492 BGK786490:BGK786492 BQG786490:BQG786492 CAC786490:CAC786492 CJY786490:CJY786492 CTU786490:CTU786492 DDQ786490:DDQ786492 DNM786490:DNM786492 DXI786490:DXI786492 EHE786490:EHE786492 ERA786490:ERA786492 FAW786490:FAW786492 FKS786490:FKS786492 FUO786490:FUO786492 GEK786490:GEK786492 GOG786490:GOG786492 GYC786490:GYC786492 HHY786490:HHY786492 HRU786490:HRU786492 IBQ786490:IBQ786492 ILM786490:ILM786492 IVI786490:IVI786492 JFE786490:JFE786492 JPA786490:JPA786492 JYW786490:JYW786492 KIS786490:KIS786492 KSO786490:KSO786492 LCK786490:LCK786492 LMG786490:LMG786492 LWC786490:LWC786492 MFY786490:MFY786492 MPU786490:MPU786492 MZQ786490:MZQ786492 NJM786490:NJM786492 NTI786490:NTI786492 ODE786490:ODE786492 ONA786490:ONA786492 OWW786490:OWW786492 PGS786490:PGS786492 PQO786490:PQO786492 QAK786490:QAK786492 QKG786490:QKG786492 QUC786490:QUC786492 RDY786490:RDY786492 RNU786490:RNU786492 RXQ786490:RXQ786492 SHM786490:SHM786492 SRI786490:SRI786492 TBE786490:TBE786492 TLA786490:TLA786492 TUW786490:TUW786492 UES786490:UES786492 UOO786490:UOO786492 UYK786490:UYK786492 VIG786490:VIG786492 VSC786490:VSC786492 WBY786490:WBY786492 WLU786490:WLU786492 WVQ786490:WVQ786492 I852026:I852028 JE852026:JE852028 TA852026:TA852028 ACW852026:ACW852028 AMS852026:AMS852028 AWO852026:AWO852028 BGK852026:BGK852028 BQG852026:BQG852028 CAC852026:CAC852028 CJY852026:CJY852028 CTU852026:CTU852028 DDQ852026:DDQ852028 DNM852026:DNM852028 DXI852026:DXI852028 EHE852026:EHE852028 ERA852026:ERA852028 FAW852026:FAW852028 FKS852026:FKS852028 FUO852026:FUO852028 GEK852026:GEK852028 GOG852026:GOG852028 GYC852026:GYC852028 HHY852026:HHY852028 HRU852026:HRU852028 IBQ852026:IBQ852028 ILM852026:ILM852028 IVI852026:IVI852028 JFE852026:JFE852028 JPA852026:JPA852028 JYW852026:JYW852028 KIS852026:KIS852028 KSO852026:KSO852028 LCK852026:LCK852028 LMG852026:LMG852028 LWC852026:LWC852028 MFY852026:MFY852028 MPU852026:MPU852028 MZQ852026:MZQ852028 NJM852026:NJM852028 NTI852026:NTI852028 ODE852026:ODE852028 ONA852026:ONA852028 OWW852026:OWW852028 PGS852026:PGS852028 PQO852026:PQO852028 QAK852026:QAK852028 QKG852026:QKG852028 QUC852026:QUC852028 RDY852026:RDY852028 RNU852026:RNU852028 RXQ852026:RXQ852028 SHM852026:SHM852028 SRI852026:SRI852028 TBE852026:TBE852028 TLA852026:TLA852028 TUW852026:TUW852028 UES852026:UES852028 UOO852026:UOO852028 UYK852026:UYK852028 VIG852026:VIG852028 VSC852026:VSC852028 WBY852026:WBY852028 WLU852026:WLU852028 WVQ852026:WVQ852028 I917562:I917564 JE917562:JE917564 TA917562:TA917564 ACW917562:ACW917564 AMS917562:AMS917564 AWO917562:AWO917564 BGK917562:BGK917564 BQG917562:BQG917564 CAC917562:CAC917564 CJY917562:CJY917564 CTU917562:CTU917564 DDQ917562:DDQ917564 DNM917562:DNM917564 DXI917562:DXI917564 EHE917562:EHE917564 ERA917562:ERA917564 FAW917562:FAW917564 FKS917562:FKS917564 FUO917562:FUO917564 GEK917562:GEK917564 GOG917562:GOG917564 GYC917562:GYC917564 HHY917562:HHY917564 HRU917562:HRU917564 IBQ917562:IBQ917564 ILM917562:ILM917564 IVI917562:IVI917564 JFE917562:JFE917564 JPA917562:JPA917564 JYW917562:JYW917564 KIS917562:KIS917564 KSO917562:KSO917564 LCK917562:LCK917564 LMG917562:LMG917564 LWC917562:LWC917564 MFY917562:MFY917564 MPU917562:MPU917564 MZQ917562:MZQ917564 NJM917562:NJM917564 NTI917562:NTI917564 ODE917562:ODE917564 ONA917562:ONA917564 OWW917562:OWW917564 PGS917562:PGS917564 PQO917562:PQO917564 QAK917562:QAK917564 QKG917562:QKG917564 QUC917562:QUC917564 RDY917562:RDY917564 RNU917562:RNU917564 RXQ917562:RXQ917564 SHM917562:SHM917564 SRI917562:SRI917564 TBE917562:TBE917564 TLA917562:TLA917564 TUW917562:TUW917564 UES917562:UES917564 UOO917562:UOO917564 UYK917562:UYK917564 VIG917562:VIG917564 VSC917562:VSC917564 WBY917562:WBY917564 WLU917562:WLU917564 WVQ917562:WVQ917564 I983098:I983100 JE983098:JE983100 TA983098:TA983100 ACW983098:ACW983100 AMS983098:AMS983100 AWO983098:AWO983100 BGK983098:BGK983100 BQG983098:BQG983100 CAC983098:CAC983100 CJY983098:CJY983100 CTU983098:CTU983100 DDQ983098:DDQ983100 DNM983098:DNM983100 DXI983098:DXI983100 EHE983098:EHE983100 ERA983098:ERA983100 FAW983098:FAW983100 FKS983098:FKS983100 FUO983098:FUO983100 GEK983098:GEK983100 GOG983098:GOG983100 GYC983098:GYC983100 HHY983098:HHY983100 HRU983098:HRU983100 IBQ983098:IBQ983100 ILM983098:ILM983100 IVI983098:IVI983100 JFE983098:JFE983100 JPA983098:JPA983100 JYW983098:JYW983100 KIS983098:KIS983100 KSO983098:KSO983100 LCK983098:LCK983100 LMG983098:LMG983100 LWC983098:LWC983100 MFY983098:MFY983100 MPU983098:MPU983100 MZQ983098:MZQ983100 NJM983098:NJM983100 NTI983098:NTI983100 ODE983098:ODE983100 ONA983098:ONA983100 OWW983098:OWW983100 PGS983098:PGS983100 PQO983098:PQO983100 QAK983098:QAK983100 QKG983098:QKG983100 QUC983098:QUC983100 RDY983098:RDY983100 RNU983098:RNU983100 RXQ983098:RXQ983100 SHM983098:SHM983100 SRI983098:SRI983100 TBE983098:TBE983100 TLA983098:TLA983100 TUW983098:TUW983100 UES983098:UES983100 UOO983098:UOO983100 UYK983098:UYK983100 VIG983098:VIG983100 VSC983098:VSC983100 WBY983098:WBY983100 WLU983098:WLU983100 WVQ983098:WVQ983100 I14:I26 JE14:JE26 TA14:TA26 ACW14:ACW26 AMS14:AMS26 AWO14:AWO26 BGK14:BGK26 BQG14:BQG26 CAC14:CAC26 CJY14:CJY26 CTU14:CTU26 DDQ14:DDQ26 DNM14:DNM26 DXI14:DXI26 EHE14:EHE26 ERA14:ERA26 FAW14:FAW26 FKS14:FKS26 FUO14:FUO26 GEK14:GEK26 GOG14:GOG26 GYC14:GYC26 HHY14:HHY26 HRU14:HRU26 IBQ14:IBQ26 ILM14:ILM26 IVI14:IVI26 JFE14:JFE26 JPA14:JPA26 JYW14:JYW26 KIS14:KIS26 KSO14:KSO26 LCK14:LCK26 LMG14:LMG26 LWC14:LWC26 MFY14:MFY26 MPU14:MPU26 MZQ14:MZQ26 NJM14:NJM26 NTI14:NTI26 ODE14:ODE26 ONA14:ONA26 OWW14:OWW26 PGS14:PGS26 PQO14:PQO26 QAK14:QAK26 QKG14:QKG26 QUC14:QUC26 RDY14:RDY26 RNU14:RNU26 RXQ14:RXQ26 SHM14:SHM26 SRI14:SRI26 TBE14:TBE26 TLA14:TLA26 TUW14:TUW26 UES14:UES26 UOO14:UOO26 UYK14:UYK26 VIG14:VIG26 VSC14:VSC26 WBY14:WBY26 WLU14:WLU26 WVQ14:WVQ26 I65550:I65562 JE65550:JE65562 TA65550:TA65562 ACW65550:ACW65562 AMS65550:AMS65562 AWO65550:AWO65562 BGK65550:BGK65562 BQG65550:BQG65562 CAC65550:CAC65562 CJY65550:CJY65562 CTU65550:CTU65562 DDQ65550:DDQ65562 DNM65550:DNM65562 DXI65550:DXI65562 EHE65550:EHE65562 ERA65550:ERA65562 FAW65550:FAW65562 FKS65550:FKS65562 FUO65550:FUO65562 GEK65550:GEK65562 GOG65550:GOG65562 GYC65550:GYC65562 HHY65550:HHY65562 HRU65550:HRU65562 IBQ65550:IBQ65562 ILM65550:ILM65562 IVI65550:IVI65562 JFE65550:JFE65562 JPA65550:JPA65562 JYW65550:JYW65562 KIS65550:KIS65562 KSO65550:KSO65562 LCK65550:LCK65562 LMG65550:LMG65562 LWC65550:LWC65562 MFY65550:MFY65562 MPU65550:MPU65562 MZQ65550:MZQ65562 NJM65550:NJM65562 NTI65550:NTI65562 ODE65550:ODE65562 ONA65550:ONA65562 OWW65550:OWW65562 PGS65550:PGS65562 PQO65550:PQO65562 QAK65550:QAK65562 QKG65550:QKG65562 QUC65550:QUC65562 RDY65550:RDY65562 RNU65550:RNU65562 RXQ65550:RXQ65562 SHM65550:SHM65562 SRI65550:SRI65562 TBE65550:TBE65562 TLA65550:TLA65562 TUW65550:TUW65562 UES65550:UES65562 UOO65550:UOO65562 UYK65550:UYK65562 VIG65550:VIG65562 VSC65550:VSC65562 WBY65550:WBY65562 WLU65550:WLU65562 WVQ65550:WVQ65562 I131086:I131098 JE131086:JE131098 TA131086:TA131098 ACW131086:ACW131098 AMS131086:AMS131098 AWO131086:AWO131098 BGK131086:BGK131098 BQG131086:BQG131098 CAC131086:CAC131098 CJY131086:CJY131098 CTU131086:CTU131098 DDQ131086:DDQ131098 DNM131086:DNM131098 DXI131086:DXI131098 EHE131086:EHE131098 ERA131086:ERA131098 FAW131086:FAW131098 FKS131086:FKS131098 FUO131086:FUO131098 GEK131086:GEK131098 GOG131086:GOG131098 GYC131086:GYC131098 HHY131086:HHY131098 HRU131086:HRU131098 IBQ131086:IBQ131098 ILM131086:ILM131098 IVI131086:IVI131098 JFE131086:JFE131098 JPA131086:JPA131098 JYW131086:JYW131098 KIS131086:KIS131098 KSO131086:KSO131098 LCK131086:LCK131098 LMG131086:LMG131098 LWC131086:LWC131098 MFY131086:MFY131098 MPU131086:MPU131098 MZQ131086:MZQ131098 NJM131086:NJM131098 NTI131086:NTI131098 ODE131086:ODE131098 ONA131086:ONA131098 OWW131086:OWW131098 PGS131086:PGS131098 PQO131086:PQO131098 QAK131086:QAK131098 QKG131086:QKG131098 QUC131086:QUC131098 RDY131086:RDY131098 RNU131086:RNU131098 RXQ131086:RXQ131098 SHM131086:SHM131098 SRI131086:SRI131098 TBE131086:TBE131098 TLA131086:TLA131098 TUW131086:TUW131098 UES131086:UES131098 UOO131086:UOO131098 UYK131086:UYK131098 VIG131086:VIG131098 VSC131086:VSC131098 WBY131086:WBY131098 WLU131086:WLU131098 WVQ131086:WVQ131098 I196622:I196634 JE196622:JE196634 TA196622:TA196634 ACW196622:ACW196634 AMS196622:AMS196634 AWO196622:AWO196634 BGK196622:BGK196634 BQG196622:BQG196634 CAC196622:CAC196634 CJY196622:CJY196634 CTU196622:CTU196634 DDQ196622:DDQ196634 DNM196622:DNM196634 DXI196622:DXI196634 EHE196622:EHE196634 ERA196622:ERA196634 FAW196622:FAW196634 FKS196622:FKS196634 FUO196622:FUO196634 GEK196622:GEK196634 GOG196622:GOG196634 GYC196622:GYC196634 HHY196622:HHY196634 HRU196622:HRU196634 IBQ196622:IBQ196634 ILM196622:ILM196634 IVI196622:IVI196634 JFE196622:JFE196634 JPA196622:JPA196634 JYW196622:JYW196634 KIS196622:KIS196634 KSO196622:KSO196634 LCK196622:LCK196634 LMG196622:LMG196634 LWC196622:LWC196634 MFY196622:MFY196634 MPU196622:MPU196634 MZQ196622:MZQ196634 NJM196622:NJM196634 NTI196622:NTI196634 ODE196622:ODE196634 ONA196622:ONA196634 OWW196622:OWW196634 PGS196622:PGS196634 PQO196622:PQO196634 QAK196622:QAK196634 QKG196622:QKG196634 QUC196622:QUC196634 RDY196622:RDY196634 RNU196622:RNU196634 RXQ196622:RXQ196634 SHM196622:SHM196634 SRI196622:SRI196634 TBE196622:TBE196634 TLA196622:TLA196634 TUW196622:TUW196634 UES196622:UES196634 UOO196622:UOO196634 UYK196622:UYK196634 VIG196622:VIG196634 VSC196622:VSC196634 WBY196622:WBY196634 WLU196622:WLU196634 WVQ196622:WVQ196634 I262158:I262170 JE262158:JE262170 TA262158:TA262170 ACW262158:ACW262170 AMS262158:AMS262170 AWO262158:AWO262170 BGK262158:BGK262170 BQG262158:BQG262170 CAC262158:CAC262170 CJY262158:CJY262170 CTU262158:CTU262170 DDQ262158:DDQ262170 DNM262158:DNM262170 DXI262158:DXI262170 EHE262158:EHE262170 ERA262158:ERA262170 FAW262158:FAW262170 FKS262158:FKS262170 FUO262158:FUO262170 GEK262158:GEK262170 GOG262158:GOG262170 GYC262158:GYC262170 HHY262158:HHY262170 HRU262158:HRU262170 IBQ262158:IBQ262170 ILM262158:ILM262170 IVI262158:IVI262170 JFE262158:JFE262170 JPA262158:JPA262170 JYW262158:JYW262170 KIS262158:KIS262170 KSO262158:KSO262170 LCK262158:LCK262170 LMG262158:LMG262170 LWC262158:LWC262170 MFY262158:MFY262170 MPU262158:MPU262170 MZQ262158:MZQ262170 NJM262158:NJM262170 NTI262158:NTI262170 ODE262158:ODE262170 ONA262158:ONA262170 OWW262158:OWW262170 PGS262158:PGS262170 PQO262158:PQO262170 QAK262158:QAK262170 QKG262158:QKG262170 QUC262158:QUC262170 RDY262158:RDY262170 RNU262158:RNU262170 RXQ262158:RXQ262170 SHM262158:SHM262170 SRI262158:SRI262170 TBE262158:TBE262170 TLA262158:TLA262170 TUW262158:TUW262170 UES262158:UES262170 UOO262158:UOO262170 UYK262158:UYK262170 VIG262158:VIG262170 VSC262158:VSC262170 WBY262158:WBY262170 WLU262158:WLU262170 WVQ262158:WVQ262170 I327694:I327706 JE327694:JE327706 TA327694:TA327706 ACW327694:ACW327706 AMS327694:AMS327706 AWO327694:AWO327706 BGK327694:BGK327706 BQG327694:BQG327706 CAC327694:CAC327706 CJY327694:CJY327706 CTU327694:CTU327706 DDQ327694:DDQ327706 DNM327694:DNM327706 DXI327694:DXI327706 EHE327694:EHE327706 ERA327694:ERA327706 FAW327694:FAW327706 FKS327694:FKS327706 FUO327694:FUO327706 GEK327694:GEK327706 GOG327694:GOG327706 GYC327694:GYC327706 HHY327694:HHY327706 HRU327694:HRU327706 IBQ327694:IBQ327706 ILM327694:ILM327706 IVI327694:IVI327706 JFE327694:JFE327706 JPA327694:JPA327706 JYW327694:JYW327706 KIS327694:KIS327706 KSO327694:KSO327706 LCK327694:LCK327706 LMG327694:LMG327706 LWC327694:LWC327706 MFY327694:MFY327706 MPU327694:MPU327706 MZQ327694:MZQ327706 NJM327694:NJM327706 NTI327694:NTI327706 ODE327694:ODE327706 ONA327694:ONA327706 OWW327694:OWW327706 PGS327694:PGS327706 PQO327694:PQO327706 QAK327694:QAK327706 QKG327694:QKG327706 QUC327694:QUC327706 RDY327694:RDY327706 RNU327694:RNU327706 RXQ327694:RXQ327706 SHM327694:SHM327706 SRI327694:SRI327706 TBE327694:TBE327706 TLA327694:TLA327706 TUW327694:TUW327706 UES327694:UES327706 UOO327694:UOO327706 UYK327694:UYK327706 VIG327694:VIG327706 VSC327694:VSC327706 WBY327694:WBY327706 WLU327694:WLU327706 WVQ327694:WVQ327706 I393230:I393242 JE393230:JE393242 TA393230:TA393242 ACW393230:ACW393242 AMS393230:AMS393242 AWO393230:AWO393242 BGK393230:BGK393242 BQG393230:BQG393242 CAC393230:CAC393242 CJY393230:CJY393242 CTU393230:CTU393242 DDQ393230:DDQ393242 DNM393230:DNM393242 DXI393230:DXI393242 EHE393230:EHE393242 ERA393230:ERA393242 FAW393230:FAW393242 FKS393230:FKS393242 FUO393230:FUO393242 GEK393230:GEK393242 GOG393230:GOG393242 GYC393230:GYC393242 HHY393230:HHY393242 HRU393230:HRU393242 IBQ393230:IBQ393242 ILM393230:ILM393242 IVI393230:IVI393242 JFE393230:JFE393242 JPA393230:JPA393242 JYW393230:JYW393242 KIS393230:KIS393242 KSO393230:KSO393242 LCK393230:LCK393242 LMG393230:LMG393242 LWC393230:LWC393242 MFY393230:MFY393242 MPU393230:MPU393242 MZQ393230:MZQ393242 NJM393230:NJM393242 NTI393230:NTI393242 ODE393230:ODE393242 ONA393230:ONA393242 OWW393230:OWW393242 PGS393230:PGS393242 PQO393230:PQO393242 QAK393230:QAK393242 QKG393230:QKG393242 QUC393230:QUC393242 RDY393230:RDY393242 RNU393230:RNU393242 RXQ393230:RXQ393242 SHM393230:SHM393242 SRI393230:SRI393242 TBE393230:TBE393242 TLA393230:TLA393242 TUW393230:TUW393242 UES393230:UES393242 UOO393230:UOO393242 UYK393230:UYK393242 VIG393230:VIG393242 VSC393230:VSC393242 WBY393230:WBY393242 WLU393230:WLU393242 WVQ393230:WVQ393242 I458766:I458778 JE458766:JE458778 TA458766:TA458778 ACW458766:ACW458778 AMS458766:AMS458778 AWO458766:AWO458778 BGK458766:BGK458778 BQG458766:BQG458778 CAC458766:CAC458778 CJY458766:CJY458778 CTU458766:CTU458778 DDQ458766:DDQ458778 DNM458766:DNM458778 DXI458766:DXI458778 EHE458766:EHE458778 ERA458766:ERA458778 FAW458766:FAW458778 FKS458766:FKS458778 FUO458766:FUO458778 GEK458766:GEK458778 GOG458766:GOG458778 GYC458766:GYC458778 HHY458766:HHY458778 HRU458766:HRU458778 IBQ458766:IBQ458778 ILM458766:ILM458778 IVI458766:IVI458778 JFE458766:JFE458778 JPA458766:JPA458778 JYW458766:JYW458778 KIS458766:KIS458778 KSO458766:KSO458778 LCK458766:LCK458778 LMG458766:LMG458778 LWC458766:LWC458778 MFY458766:MFY458778 MPU458766:MPU458778 MZQ458766:MZQ458778 NJM458766:NJM458778 NTI458766:NTI458778 ODE458766:ODE458778 ONA458766:ONA458778 OWW458766:OWW458778 PGS458766:PGS458778 PQO458766:PQO458778 QAK458766:QAK458778 QKG458766:QKG458778 QUC458766:QUC458778 RDY458766:RDY458778 RNU458766:RNU458778 RXQ458766:RXQ458778 SHM458766:SHM458778 SRI458766:SRI458778 TBE458766:TBE458778 TLA458766:TLA458778 TUW458766:TUW458778 UES458766:UES458778 UOO458766:UOO458778 UYK458766:UYK458778 VIG458766:VIG458778 VSC458766:VSC458778 WBY458766:WBY458778 WLU458766:WLU458778 WVQ458766:WVQ458778 I524302:I524314 JE524302:JE524314 TA524302:TA524314 ACW524302:ACW524314 AMS524302:AMS524314 AWO524302:AWO524314 BGK524302:BGK524314 BQG524302:BQG524314 CAC524302:CAC524314 CJY524302:CJY524314 CTU524302:CTU524314 DDQ524302:DDQ524314 DNM524302:DNM524314 DXI524302:DXI524314 EHE524302:EHE524314 ERA524302:ERA524314 FAW524302:FAW524314 FKS524302:FKS524314 FUO524302:FUO524314 GEK524302:GEK524314 GOG524302:GOG524314 GYC524302:GYC524314 HHY524302:HHY524314 HRU524302:HRU524314 IBQ524302:IBQ524314 ILM524302:ILM524314 IVI524302:IVI524314 JFE524302:JFE524314 JPA524302:JPA524314 JYW524302:JYW524314 KIS524302:KIS524314 KSO524302:KSO524314 LCK524302:LCK524314 LMG524302:LMG524314 LWC524302:LWC524314 MFY524302:MFY524314 MPU524302:MPU524314 MZQ524302:MZQ524314 NJM524302:NJM524314 NTI524302:NTI524314 ODE524302:ODE524314 ONA524302:ONA524314 OWW524302:OWW524314 PGS524302:PGS524314 PQO524302:PQO524314 QAK524302:QAK524314 QKG524302:QKG524314 QUC524302:QUC524314 RDY524302:RDY524314 RNU524302:RNU524314 RXQ524302:RXQ524314 SHM524302:SHM524314 SRI524302:SRI524314 TBE524302:TBE524314 TLA524302:TLA524314 TUW524302:TUW524314 UES524302:UES524314 UOO524302:UOO524314 UYK524302:UYK524314 VIG524302:VIG524314 VSC524302:VSC524314 WBY524302:WBY524314 WLU524302:WLU524314 WVQ524302:WVQ524314 I589838:I589850 JE589838:JE589850 TA589838:TA589850 ACW589838:ACW589850 AMS589838:AMS589850 AWO589838:AWO589850 BGK589838:BGK589850 BQG589838:BQG589850 CAC589838:CAC589850 CJY589838:CJY589850 CTU589838:CTU589850 DDQ589838:DDQ589850 DNM589838:DNM589850 DXI589838:DXI589850 EHE589838:EHE589850 ERA589838:ERA589850 FAW589838:FAW589850 FKS589838:FKS589850 FUO589838:FUO589850 GEK589838:GEK589850 GOG589838:GOG589850 GYC589838:GYC589850 HHY589838:HHY589850 HRU589838:HRU589850 IBQ589838:IBQ589850 ILM589838:ILM589850 IVI589838:IVI589850 JFE589838:JFE589850 JPA589838:JPA589850 JYW589838:JYW589850 KIS589838:KIS589850 KSO589838:KSO589850 LCK589838:LCK589850 LMG589838:LMG589850 LWC589838:LWC589850 MFY589838:MFY589850 MPU589838:MPU589850 MZQ589838:MZQ589850 NJM589838:NJM589850 NTI589838:NTI589850 ODE589838:ODE589850 ONA589838:ONA589850 OWW589838:OWW589850 PGS589838:PGS589850 PQO589838:PQO589850 QAK589838:QAK589850 QKG589838:QKG589850 QUC589838:QUC589850 RDY589838:RDY589850 RNU589838:RNU589850 RXQ589838:RXQ589850 SHM589838:SHM589850 SRI589838:SRI589850 TBE589838:TBE589850 TLA589838:TLA589850 TUW589838:TUW589850 UES589838:UES589850 UOO589838:UOO589850 UYK589838:UYK589850 VIG589838:VIG589850 VSC589838:VSC589850 WBY589838:WBY589850 WLU589838:WLU589850 WVQ589838:WVQ589850 I655374:I655386 JE655374:JE655386 TA655374:TA655386 ACW655374:ACW655386 AMS655374:AMS655386 AWO655374:AWO655386 BGK655374:BGK655386 BQG655374:BQG655386 CAC655374:CAC655386 CJY655374:CJY655386 CTU655374:CTU655386 DDQ655374:DDQ655386 DNM655374:DNM655386 DXI655374:DXI655386 EHE655374:EHE655386 ERA655374:ERA655386 FAW655374:FAW655386 FKS655374:FKS655386 FUO655374:FUO655386 GEK655374:GEK655386 GOG655374:GOG655386 GYC655374:GYC655386 HHY655374:HHY655386 HRU655374:HRU655386 IBQ655374:IBQ655386 ILM655374:ILM655386 IVI655374:IVI655386 JFE655374:JFE655386 JPA655374:JPA655386 JYW655374:JYW655386 KIS655374:KIS655386 KSO655374:KSO655386 LCK655374:LCK655386 LMG655374:LMG655386 LWC655374:LWC655386 MFY655374:MFY655386 MPU655374:MPU655386 MZQ655374:MZQ655386 NJM655374:NJM655386 NTI655374:NTI655386 ODE655374:ODE655386 ONA655374:ONA655386 OWW655374:OWW655386 PGS655374:PGS655386 PQO655374:PQO655386 QAK655374:QAK655386 QKG655374:QKG655386 QUC655374:QUC655386 RDY655374:RDY655386 RNU655374:RNU655386 RXQ655374:RXQ655386 SHM655374:SHM655386 SRI655374:SRI655386 TBE655374:TBE655386 TLA655374:TLA655386 TUW655374:TUW655386 UES655374:UES655386 UOO655374:UOO655386 UYK655374:UYK655386 VIG655374:VIG655386 VSC655374:VSC655386 WBY655374:WBY655386 WLU655374:WLU655386 WVQ655374:WVQ655386 I720910:I720922 JE720910:JE720922 TA720910:TA720922 ACW720910:ACW720922 AMS720910:AMS720922 AWO720910:AWO720922 BGK720910:BGK720922 BQG720910:BQG720922 CAC720910:CAC720922 CJY720910:CJY720922 CTU720910:CTU720922 DDQ720910:DDQ720922 DNM720910:DNM720922 DXI720910:DXI720922 EHE720910:EHE720922 ERA720910:ERA720922 FAW720910:FAW720922 FKS720910:FKS720922 FUO720910:FUO720922 GEK720910:GEK720922 GOG720910:GOG720922 GYC720910:GYC720922 HHY720910:HHY720922 HRU720910:HRU720922 IBQ720910:IBQ720922 ILM720910:ILM720922 IVI720910:IVI720922 JFE720910:JFE720922 JPA720910:JPA720922 JYW720910:JYW720922 KIS720910:KIS720922 KSO720910:KSO720922 LCK720910:LCK720922 LMG720910:LMG720922 LWC720910:LWC720922 MFY720910:MFY720922 MPU720910:MPU720922 MZQ720910:MZQ720922 NJM720910:NJM720922 NTI720910:NTI720922 ODE720910:ODE720922 ONA720910:ONA720922 OWW720910:OWW720922 PGS720910:PGS720922 PQO720910:PQO720922 QAK720910:QAK720922 QKG720910:QKG720922 QUC720910:QUC720922 RDY720910:RDY720922 RNU720910:RNU720922 RXQ720910:RXQ720922 SHM720910:SHM720922 SRI720910:SRI720922 TBE720910:TBE720922 TLA720910:TLA720922 TUW720910:TUW720922 UES720910:UES720922 UOO720910:UOO720922 UYK720910:UYK720922 VIG720910:VIG720922 VSC720910:VSC720922 WBY720910:WBY720922 WLU720910:WLU720922 WVQ720910:WVQ720922 I786446:I786458 JE786446:JE786458 TA786446:TA786458 ACW786446:ACW786458 AMS786446:AMS786458 AWO786446:AWO786458 BGK786446:BGK786458 BQG786446:BQG786458 CAC786446:CAC786458 CJY786446:CJY786458 CTU786446:CTU786458 DDQ786446:DDQ786458 DNM786446:DNM786458 DXI786446:DXI786458 EHE786446:EHE786458 ERA786446:ERA786458 FAW786446:FAW786458 FKS786446:FKS786458 FUO786446:FUO786458 GEK786446:GEK786458 GOG786446:GOG786458 GYC786446:GYC786458 HHY786446:HHY786458 HRU786446:HRU786458 IBQ786446:IBQ786458 ILM786446:ILM786458 IVI786446:IVI786458 JFE786446:JFE786458 JPA786446:JPA786458 JYW786446:JYW786458 KIS786446:KIS786458 KSO786446:KSO786458 LCK786446:LCK786458 LMG786446:LMG786458 LWC786446:LWC786458 MFY786446:MFY786458 MPU786446:MPU786458 MZQ786446:MZQ786458 NJM786446:NJM786458 NTI786446:NTI786458 ODE786446:ODE786458 ONA786446:ONA786458 OWW786446:OWW786458 PGS786446:PGS786458 PQO786446:PQO786458 QAK786446:QAK786458 QKG786446:QKG786458 QUC786446:QUC786458 RDY786446:RDY786458 RNU786446:RNU786458 RXQ786446:RXQ786458 SHM786446:SHM786458 SRI786446:SRI786458 TBE786446:TBE786458 TLA786446:TLA786458 TUW786446:TUW786458 UES786446:UES786458 UOO786446:UOO786458 UYK786446:UYK786458 VIG786446:VIG786458 VSC786446:VSC786458 WBY786446:WBY786458 WLU786446:WLU786458 WVQ786446:WVQ786458 I851982:I851994 JE851982:JE851994 TA851982:TA851994 ACW851982:ACW851994 AMS851982:AMS851994 AWO851982:AWO851994 BGK851982:BGK851994 BQG851982:BQG851994 CAC851982:CAC851994 CJY851982:CJY851994 CTU851982:CTU851994 DDQ851982:DDQ851994 DNM851982:DNM851994 DXI851982:DXI851994 EHE851982:EHE851994 ERA851982:ERA851994 FAW851982:FAW851994 FKS851982:FKS851994 FUO851982:FUO851994 GEK851982:GEK851994 GOG851982:GOG851994 GYC851982:GYC851994 HHY851982:HHY851994 HRU851982:HRU851994 IBQ851982:IBQ851994 ILM851982:ILM851994 IVI851982:IVI851994 JFE851982:JFE851994 JPA851982:JPA851994 JYW851982:JYW851994 KIS851982:KIS851994 KSO851982:KSO851994 LCK851982:LCK851994 LMG851982:LMG851994 LWC851982:LWC851994 MFY851982:MFY851994 MPU851982:MPU851994 MZQ851982:MZQ851994 NJM851982:NJM851994 NTI851982:NTI851994 ODE851982:ODE851994 ONA851982:ONA851994 OWW851982:OWW851994 PGS851982:PGS851994 PQO851982:PQO851994 QAK851982:QAK851994 QKG851982:QKG851994 QUC851982:QUC851994 RDY851982:RDY851994 RNU851982:RNU851994 RXQ851982:RXQ851994 SHM851982:SHM851994 SRI851982:SRI851994 TBE851982:TBE851994 TLA851982:TLA851994 TUW851982:TUW851994 UES851982:UES851994 UOO851982:UOO851994 UYK851982:UYK851994 VIG851982:VIG851994 VSC851982:VSC851994 WBY851982:WBY851994 WLU851982:WLU851994 WVQ851982:WVQ851994 I917518:I917530 JE917518:JE917530 TA917518:TA917530 ACW917518:ACW917530 AMS917518:AMS917530 AWO917518:AWO917530 BGK917518:BGK917530 BQG917518:BQG917530 CAC917518:CAC917530 CJY917518:CJY917530 CTU917518:CTU917530 DDQ917518:DDQ917530 DNM917518:DNM917530 DXI917518:DXI917530 EHE917518:EHE917530 ERA917518:ERA917530 FAW917518:FAW917530 FKS917518:FKS917530 FUO917518:FUO917530 GEK917518:GEK917530 GOG917518:GOG917530 GYC917518:GYC917530 HHY917518:HHY917530 HRU917518:HRU917530 IBQ917518:IBQ917530 ILM917518:ILM917530 IVI917518:IVI917530 JFE917518:JFE917530 JPA917518:JPA917530 JYW917518:JYW917530 KIS917518:KIS917530 KSO917518:KSO917530 LCK917518:LCK917530 LMG917518:LMG917530 LWC917518:LWC917530 MFY917518:MFY917530 MPU917518:MPU917530 MZQ917518:MZQ917530 NJM917518:NJM917530 NTI917518:NTI917530 ODE917518:ODE917530 ONA917518:ONA917530 OWW917518:OWW917530 PGS917518:PGS917530 PQO917518:PQO917530 QAK917518:QAK917530 QKG917518:QKG917530 QUC917518:QUC917530 RDY917518:RDY917530 RNU917518:RNU917530 RXQ917518:RXQ917530 SHM917518:SHM917530 SRI917518:SRI917530 TBE917518:TBE917530 TLA917518:TLA917530 TUW917518:TUW917530 UES917518:UES917530 UOO917518:UOO917530 UYK917518:UYK917530 VIG917518:VIG917530 VSC917518:VSC917530 WBY917518:WBY917530 WLU917518:WLU917530 WVQ917518:WVQ917530 I983054:I983066 JE983054:JE983066 TA983054:TA983066 ACW983054:ACW983066 AMS983054:AMS983066 AWO983054:AWO983066 BGK983054:BGK983066 BQG983054:BQG983066 CAC983054:CAC983066 CJY983054:CJY983066 CTU983054:CTU983066 DDQ983054:DDQ983066 DNM983054:DNM983066 DXI983054:DXI983066 EHE983054:EHE983066 ERA983054:ERA983066 FAW983054:FAW983066 FKS983054:FKS983066 FUO983054:FUO983066 GEK983054:GEK983066 GOG983054:GOG983066 GYC983054:GYC983066 HHY983054:HHY983066 HRU983054:HRU983066 IBQ983054:IBQ983066 ILM983054:ILM983066 IVI983054:IVI983066 JFE983054:JFE983066 JPA983054:JPA983066 JYW983054:JYW983066 KIS983054:KIS983066 KSO983054:KSO983066 LCK983054:LCK983066 LMG983054:LMG983066 LWC983054:LWC983066 MFY983054:MFY983066 MPU983054:MPU983066 MZQ983054:MZQ983066 NJM983054:NJM983066 NTI983054:NTI983066 ODE983054:ODE983066 ONA983054:ONA983066 OWW983054:OWW983066 PGS983054:PGS983066 PQO983054:PQO983066 QAK983054:QAK983066 QKG983054:QKG983066 QUC983054:QUC983066 RDY983054:RDY983066 RNU983054:RNU983066 RXQ983054:RXQ983066 SHM983054:SHM983066 SRI983054:SRI983066 TBE983054:TBE983066 TLA983054:TLA983066 TUW983054:TUW983066 UES983054:UES983066 UOO983054:UOO983066 UYK983054:UYK983066 VIG983054:VIG983066 VSC983054:VSC983066 WBY983054:WBY983066 WLU983054:WLU983066 WVQ983054:WVQ983066 I34:I56 JB58:JB60 SX58:SX60 ACT58:ACT60 AMP58:AMP60 AWL58:AWL60 BGH58:BGH60 BQD58:BQD60 BZZ58:BZZ60 CJV58:CJV60 CTR58:CTR60 DDN58:DDN60 DNJ58:DNJ60 DXF58:DXF60 EHB58:EHB60 EQX58:EQX60 FAT58:FAT60 FKP58:FKP60 FUL58:FUL60 GEH58:GEH60 GOD58:GOD60 GXZ58:GXZ60 HHV58:HHV60 HRR58:HRR60 IBN58:IBN60 ILJ58:ILJ60 IVF58:IVF60 JFB58:JFB60 JOX58:JOX60 JYT58:JYT60 KIP58:KIP60 KSL58:KSL60 LCH58:LCH60 LMD58:LMD60 LVZ58:LVZ60 MFV58:MFV60 MPR58:MPR60 MZN58:MZN60 NJJ58:NJJ60 NTF58:NTF60 ODB58:ODB60 OMX58:OMX60 OWT58:OWT60 PGP58:PGP60 PQL58:PQL60 QAH58:QAH60 QKD58:QKD60 QTZ58:QTZ60 RDV58:RDV60 RNR58:RNR60 RXN58:RXN60 SHJ58:SHJ60 SRF58:SRF60 TBB58:TBB60 TKX58:TKX60 TUT58:TUT60 UEP58:UEP60 UOL58:UOL60 UYH58:UYH60 VID58:VID60 VRZ58:VRZ60 WBV58:WBV60 WLR58:WLR60 WVN58:WVN60 F65594:F65596 JB65594:JB65596 SX65594:SX65596 ACT65594:ACT65596 AMP65594:AMP65596 AWL65594:AWL65596 BGH65594:BGH65596 BQD65594:BQD65596 BZZ65594:BZZ65596 CJV65594:CJV65596 CTR65594:CTR65596 DDN65594:DDN65596 DNJ65594:DNJ65596 DXF65594:DXF65596 EHB65594:EHB65596 EQX65594:EQX65596 FAT65594:FAT65596 FKP65594:FKP65596 FUL65594:FUL65596 GEH65594:GEH65596 GOD65594:GOD65596 GXZ65594:GXZ65596 HHV65594:HHV65596 HRR65594:HRR65596 IBN65594:IBN65596 ILJ65594:ILJ65596 IVF65594:IVF65596 JFB65594:JFB65596 JOX65594:JOX65596 JYT65594:JYT65596 KIP65594:KIP65596 KSL65594:KSL65596 LCH65594:LCH65596 LMD65594:LMD65596 LVZ65594:LVZ65596 MFV65594:MFV65596 MPR65594:MPR65596 MZN65594:MZN65596 NJJ65594:NJJ65596 NTF65594:NTF65596 ODB65594:ODB65596 OMX65594:OMX65596 OWT65594:OWT65596 PGP65594:PGP65596 PQL65594:PQL65596 QAH65594:QAH65596 QKD65594:QKD65596 QTZ65594:QTZ65596 RDV65594:RDV65596 RNR65594:RNR65596 RXN65594:RXN65596 SHJ65594:SHJ65596 SRF65594:SRF65596 TBB65594:TBB65596 TKX65594:TKX65596 TUT65594:TUT65596 UEP65594:UEP65596 UOL65594:UOL65596 UYH65594:UYH65596 VID65594:VID65596 VRZ65594:VRZ65596 WBV65594:WBV65596 WLR65594:WLR65596 WVN65594:WVN65596 F131130:F131132 JB131130:JB131132 SX131130:SX131132 ACT131130:ACT131132 AMP131130:AMP131132 AWL131130:AWL131132 BGH131130:BGH131132 BQD131130:BQD131132 BZZ131130:BZZ131132 CJV131130:CJV131132 CTR131130:CTR131132 DDN131130:DDN131132 DNJ131130:DNJ131132 DXF131130:DXF131132 EHB131130:EHB131132 EQX131130:EQX131132 FAT131130:FAT131132 FKP131130:FKP131132 FUL131130:FUL131132 GEH131130:GEH131132 GOD131130:GOD131132 GXZ131130:GXZ131132 HHV131130:HHV131132 HRR131130:HRR131132 IBN131130:IBN131132 ILJ131130:ILJ131132 IVF131130:IVF131132 JFB131130:JFB131132 JOX131130:JOX131132 JYT131130:JYT131132 KIP131130:KIP131132 KSL131130:KSL131132 LCH131130:LCH131132 LMD131130:LMD131132 LVZ131130:LVZ131132 MFV131130:MFV131132 MPR131130:MPR131132 MZN131130:MZN131132 NJJ131130:NJJ131132 NTF131130:NTF131132 ODB131130:ODB131132 OMX131130:OMX131132 OWT131130:OWT131132 PGP131130:PGP131132 PQL131130:PQL131132 QAH131130:QAH131132 QKD131130:QKD131132 QTZ131130:QTZ131132 RDV131130:RDV131132 RNR131130:RNR131132 RXN131130:RXN131132 SHJ131130:SHJ131132 SRF131130:SRF131132 TBB131130:TBB131132 TKX131130:TKX131132 TUT131130:TUT131132 UEP131130:UEP131132 UOL131130:UOL131132 UYH131130:UYH131132 VID131130:VID131132 VRZ131130:VRZ131132 WBV131130:WBV131132 WLR131130:WLR131132 WVN131130:WVN131132 F196666:F196668 JB196666:JB196668 SX196666:SX196668 ACT196666:ACT196668 AMP196666:AMP196668 AWL196666:AWL196668 BGH196666:BGH196668 BQD196666:BQD196668 BZZ196666:BZZ196668 CJV196666:CJV196668 CTR196666:CTR196668 DDN196666:DDN196668 DNJ196666:DNJ196668 DXF196666:DXF196668 EHB196666:EHB196668 EQX196666:EQX196668 FAT196666:FAT196668 FKP196666:FKP196668 FUL196666:FUL196668 GEH196666:GEH196668 GOD196666:GOD196668 GXZ196666:GXZ196668 HHV196666:HHV196668 HRR196666:HRR196668 IBN196666:IBN196668 ILJ196666:ILJ196668 IVF196666:IVF196668 JFB196666:JFB196668 JOX196666:JOX196668 JYT196666:JYT196668 KIP196666:KIP196668 KSL196666:KSL196668 LCH196666:LCH196668 LMD196666:LMD196668 LVZ196666:LVZ196668 MFV196666:MFV196668 MPR196666:MPR196668 MZN196666:MZN196668 NJJ196666:NJJ196668 NTF196666:NTF196668 ODB196666:ODB196668 OMX196666:OMX196668 OWT196666:OWT196668 PGP196666:PGP196668 PQL196666:PQL196668 QAH196666:QAH196668 QKD196666:QKD196668 QTZ196666:QTZ196668 RDV196666:RDV196668 RNR196666:RNR196668 RXN196666:RXN196668 SHJ196666:SHJ196668 SRF196666:SRF196668 TBB196666:TBB196668 TKX196666:TKX196668 TUT196666:TUT196668 UEP196666:UEP196668 UOL196666:UOL196668 UYH196666:UYH196668 VID196666:VID196668 VRZ196666:VRZ196668 WBV196666:WBV196668 WLR196666:WLR196668 WVN196666:WVN196668 F262202:F262204 JB262202:JB262204 SX262202:SX262204 ACT262202:ACT262204 AMP262202:AMP262204 AWL262202:AWL262204 BGH262202:BGH262204 BQD262202:BQD262204 BZZ262202:BZZ262204 CJV262202:CJV262204 CTR262202:CTR262204 DDN262202:DDN262204 DNJ262202:DNJ262204 DXF262202:DXF262204 EHB262202:EHB262204 EQX262202:EQX262204 FAT262202:FAT262204 FKP262202:FKP262204 FUL262202:FUL262204 GEH262202:GEH262204 GOD262202:GOD262204 GXZ262202:GXZ262204 HHV262202:HHV262204 HRR262202:HRR262204 IBN262202:IBN262204 ILJ262202:ILJ262204 IVF262202:IVF262204 JFB262202:JFB262204 JOX262202:JOX262204 JYT262202:JYT262204 KIP262202:KIP262204 KSL262202:KSL262204 LCH262202:LCH262204 LMD262202:LMD262204 LVZ262202:LVZ262204 MFV262202:MFV262204 MPR262202:MPR262204 MZN262202:MZN262204 NJJ262202:NJJ262204 NTF262202:NTF262204 ODB262202:ODB262204 OMX262202:OMX262204 OWT262202:OWT262204 PGP262202:PGP262204 PQL262202:PQL262204 QAH262202:QAH262204 QKD262202:QKD262204 QTZ262202:QTZ262204 RDV262202:RDV262204 RNR262202:RNR262204 RXN262202:RXN262204 SHJ262202:SHJ262204 SRF262202:SRF262204 TBB262202:TBB262204 TKX262202:TKX262204 TUT262202:TUT262204 UEP262202:UEP262204 UOL262202:UOL262204 UYH262202:UYH262204 VID262202:VID262204 VRZ262202:VRZ262204 WBV262202:WBV262204 WLR262202:WLR262204 WVN262202:WVN262204 F327738:F327740 JB327738:JB327740 SX327738:SX327740 ACT327738:ACT327740 AMP327738:AMP327740 AWL327738:AWL327740 BGH327738:BGH327740 BQD327738:BQD327740 BZZ327738:BZZ327740 CJV327738:CJV327740 CTR327738:CTR327740 DDN327738:DDN327740 DNJ327738:DNJ327740 DXF327738:DXF327740 EHB327738:EHB327740 EQX327738:EQX327740 FAT327738:FAT327740 FKP327738:FKP327740 FUL327738:FUL327740 GEH327738:GEH327740 GOD327738:GOD327740 GXZ327738:GXZ327740 HHV327738:HHV327740 HRR327738:HRR327740 IBN327738:IBN327740 ILJ327738:ILJ327740 IVF327738:IVF327740 JFB327738:JFB327740 JOX327738:JOX327740 JYT327738:JYT327740 KIP327738:KIP327740 KSL327738:KSL327740 LCH327738:LCH327740 LMD327738:LMD327740 LVZ327738:LVZ327740 MFV327738:MFV327740 MPR327738:MPR327740 MZN327738:MZN327740 NJJ327738:NJJ327740 NTF327738:NTF327740 ODB327738:ODB327740 OMX327738:OMX327740 OWT327738:OWT327740 PGP327738:PGP327740 PQL327738:PQL327740 QAH327738:QAH327740 QKD327738:QKD327740 QTZ327738:QTZ327740 RDV327738:RDV327740 RNR327738:RNR327740 RXN327738:RXN327740 SHJ327738:SHJ327740 SRF327738:SRF327740 TBB327738:TBB327740 TKX327738:TKX327740 TUT327738:TUT327740 UEP327738:UEP327740 UOL327738:UOL327740 UYH327738:UYH327740 VID327738:VID327740 VRZ327738:VRZ327740 WBV327738:WBV327740 WLR327738:WLR327740 WVN327738:WVN327740 F393274:F393276 JB393274:JB393276 SX393274:SX393276 ACT393274:ACT393276 AMP393274:AMP393276 AWL393274:AWL393276 BGH393274:BGH393276 BQD393274:BQD393276 BZZ393274:BZZ393276 CJV393274:CJV393276 CTR393274:CTR393276 DDN393274:DDN393276 DNJ393274:DNJ393276 DXF393274:DXF393276 EHB393274:EHB393276 EQX393274:EQX393276 FAT393274:FAT393276 FKP393274:FKP393276 FUL393274:FUL393276 GEH393274:GEH393276 GOD393274:GOD393276 GXZ393274:GXZ393276 HHV393274:HHV393276 HRR393274:HRR393276 IBN393274:IBN393276 ILJ393274:ILJ393276 IVF393274:IVF393276 JFB393274:JFB393276 JOX393274:JOX393276 JYT393274:JYT393276 KIP393274:KIP393276 KSL393274:KSL393276 LCH393274:LCH393276 LMD393274:LMD393276 LVZ393274:LVZ393276 MFV393274:MFV393276 MPR393274:MPR393276 MZN393274:MZN393276 NJJ393274:NJJ393276 NTF393274:NTF393276 ODB393274:ODB393276 OMX393274:OMX393276 OWT393274:OWT393276 PGP393274:PGP393276 PQL393274:PQL393276 QAH393274:QAH393276 QKD393274:QKD393276 QTZ393274:QTZ393276 RDV393274:RDV393276 RNR393274:RNR393276 RXN393274:RXN393276 SHJ393274:SHJ393276 SRF393274:SRF393276 TBB393274:TBB393276 TKX393274:TKX393276 TUT393274:TUT393276 UEP393274:UEP393276 UOL393274:UOL393276 UYH393274:UYH393276 VID393274:VID393276 VRZ393274:VRZ393276 WBV393274:WBV393276 WLR393274:WLR393276 WVN393274:WVN393276 F458810:F458812 JB458810:JB458812 SX458810:SX458812 ACT458810:ACT458812 AMP458810:AMP458812 AWL458810:AWL458812 BGH458810:BGH458812 BQD458810:BQD458812 BZZ458810:BZZ458812 CJV458810:CJV458812 CTR458810:CTR458812 DDN458810:DDN458812 DNJ458810:DNJ458812 DXF458810:DXF458812 EHB458810:EHB458812 EQX458810:EQX458812 FAT458810:FAT458812 FKP458810:FKP458812 FUL458810:FUL458812 GEH458810:GEH458812 GOD458810:GOD458812 GXZ458810:GXZ458812 HHV458810:HHV458812 HRR458810:HRR458812 IBN458810:IBN458812 ILJ458810:ILJ458812 IVF458810:IVF458812 JFB458810:JFB458812 JOX458810:JOX458812 JYT458810:JYT458812 KIP458810:KIP458812 KSL458810:KSL458812 LCH458810:LCH458812 LMD458810:LMD458812 LVZ458810:LVZ458812 MFV458810:MFV458812 MPR458810:MPR458812 MZN458810:MZN458812 NJJ458810:NJJ458812 NTF458810:NTF458812 ODB458810:ODB458812 OMX458810:OMX458812 OWT458810:OWT458812 PGP458810:PGP458812 PQL458810:PQL458812 QAH458810:QAH458812 QKD458810:QKD458812 QTZ458810:QTZ458812 RDV458810:RDV458812 RNR458810:RNR458812 RXN458810:RXN458812 SHJ458810:SHJ458812 SRF458810:SRF458812 TBB458810:TBB458812 TKX458810:TKX458812 TUT458810:TUT458812 UEP458810:UEP458812 UOL458810:UOL458812 UYH458810:UYH458812 VID458810:VID458812 VRZ458810:VRZ458812 WBV458810:WBV458812 WLR458810:WLR458812 WVN458810:WVN458812 F524346:F524348 JB524346:JB524348 SX524346:SX524348 ACT524346:ACT524348 AMP524346:AMP524348 AWL524346:AWL524348 BGH524346:BGH524348 BQD524346:BQD524348 BZZ524346:BZZ524348 CJV524346:CJV524348 CTR524346:CTR524348 DDN524346:DDN524348 DNJ524346:DNJ524348 DXF524346:DXF524348 EHB524346:EHB524348 EQX524346:EQX524348 FAT524346:FAT524348 FKP524346:FKP524348 FUL524346:FUL524348 GEH524346:GEH524348 GOD524346:GOD524348 GXZ524346:GXZ524348 HHV524346:HHV524348 HRR524346:HRR524348 IBN524346:IBN524348 ILJ524346:ILJ524348 IVF524346:IVF524348 JFB524346:JFB524348 JOX524346:JOX524348 JYT524346:JYT524348 KIP524346:KIP524348 KSL524346:KSL524348 LCH524346:LCH524348 LMD524346:LMD524348 LVZ524346:LVZ524348 MFV524346:MFV524348 MPR524346:MPR524348 MZN524346:MZN524348 NJJ524346:NJJ524348 NTF524346:NTF524348 ODB524346:ODB524348 OMX524346:OMX524348 OWT524346:OWT524348 PGP524346:PGP524348 PQL524346:PQL524348 QAH524346:QAH524348 QKD524346:QKD524348 QTZ524346:QTZ524348 RDV524346:RDV524348 RNR524346:RNR524348 RXN524346:RXN524348 SHJ524346:SHJ524348 SRF524346:SRF524348 TBB524346:TBB524348 TKX524346:TKX524348 TUT524346:TUT524348 UEP524346:UEP524348 UOL524346:UOL524348 UYH524346:UYH524348 VID524346:VID524348 VRZ524346:VRZ524348 WBV524346:WBV524348 WLR524346:WLR524348 WVN524346:WVN524348 F589882:F589884 JB589882:JB589884 SX589882:SX589884 ACT589882:ACT589884 AMP589882:AMP589884 AWL589882:AWL589884 BGH589882:BGH589884 BQD589882:BQD589884 BZZ589882:BZZ589884 CJV589882:CJV589884 CTR589882:CTR589884 DDN589882:DDN589884 DNJ589882:DNJ589884 DXF589882:DXF589884 EHB589882:EHB589884 EQX589882:EQX589884 FAT589882:FAT589884 FKP589882:FKP589884 FUL589882:FUL589884 GEH589882:GEH589884 GOD589882:GOD589884 GXZ589882:GXZ589884 HHV589882:HHV589884 HRR589882:HRR589884 IBN589882:IBN589884 ILJ589882:ILJ589884 IVF589882:IVF589884 JFB589882:JFB589884 JOX589882:JOX589884 JYT589882:JYT589884 KIP589882:KIP589884 KSL589882:KSL589884 LCH589882:LCH589884 LMD589882:LMD589884 LVZ589882:LVZ589884 MFV589882:MFV589884 MPR589882:MPR589884 MZN589882:MZN589884 NJJ589882:NJJ589884 NTF589882:NTF589884 ODB589882:ODB589884 OMX589882:OMX589884 OWT589882:OWT589884 PGP589882:PGP589884 PQL589882:PQL589884 QAH589882:QAH589884 QKD589882:QKD589884 QTZ589882:QTZ589884 RDV589882:RDV589884 RNR589882:RNR589884 RXN589882:RXN589884 SHJ589882:SHJ589884 SRF589882:SRF589884 TBB589882:TBB589884 TKX589882:TKX589884 TUT589882:TUT589884 UEP589882:UEP589884 UOL589882:UOL589884 UYH589882:UYH589884 VID589882:VID589884 VRZ589882:VRZ589884 WBV589882:WBV589884 WLR589882:WLR589884 WVN589882:WVN589884 F655418:F655420 JB655418:JB655420 SX655418:SX655420 ACT655418:ACT655420 AMP655418:AMP655420 AWL655418:AWL655420 BGH655418:BGH655420 BQD655418:BQD655420 BZZ655418:BZZ655420 CJV655418:CJV655420 CTR655418:CTR655420 DDN655418:DDN655420 DNJ655418:DNJ655420 DXF655418:DXF655420 EHB655418:EHB655420 EQX655418:EQX655420 FAT655418:FAT655420 FKP655418:FKP655420 FUL655418:FUL655420 GEH655418:GEH655420 GOD655418:GOD655420 GXZ655418:GXZ655420 HHV655418:HHV655420 HRR655418:HRR655420 IBN655418:IBN655420 ILJ655418:ILJ655420 IVF655418:IVF655420 JFB655418:JFB655420 JOX655418:JOX655420 JYT655418:JYT655420 KIP655418:KIP655420 KSL655418:KSL655420 LCH655418:LCH655420 LMD655418:LMD655420 LVZ655418:LVZ655420 MFV655418:MFV655420 MPR655418:MPR655420 MZN655418:MZN655420 NJJ655418:NJJ655420 NTF655418:NTF655420 ODB655418:ODB655420 OMX655418:OMX655420 OWT655418:OWT655420 PGP655418:PGP655420 PQL655418:PQL655420 QAH655418:QAH655420 QKD655418:QKD655420 QTZ655418:QTZ655420 RDV655418:RDV655420 RNR655418:RNR655420 RXN655418:RXN655420 SHJ655418:SHJ655420 SRF655418:SRF655420 TBB655418:TBB655420 TKX655418:TKX655420 TUT655418:TUT655420 UEP655418:UEP655420 UOL655418:UOL655420 UYH655418:UYH655420 VID655418:VID655420 VRZ655418:VRZ655420 WBV655418:WBV655420 WLR655418:WLR655420 WVN655418:WVN655420 F720954:F720956 JB720954:JB720956 SX720954:SX720956 ACT720954:ACT720956 AMP720954:AMP720956 AWL720954:AWL720956 BGH720954:BGH720956 BQD720954:BQD720956 BZZ720954:BZZ720956 CJV720954:CJV720956 CTR720954:CTR720956 DDN720954:DDN720956 DNJ720954:DNJ720956 DXF720954:DXF720956 EHB720954:EHB720956 EQX720954:EQX720956 FAT720954:FAT720956 FKP720954:FKP720956 FUL720954:FUL720956 GEH720954:GEH720956 GOD720954:GOD720956 GXZ720954:GXZ720956 HHV720954:HHV720956 HRR720954:HRR720956 IBN720954:IBN720956 ILJ720954:ILJ720956 IVF720954:IVF720956 JFB720954:JFB720956 JOX720954:JOX720956 JYT720954:JYT720956 KIP720954:KIP720956 KSL720954:KSL720956 LCH720954:LCH720956 LMD720954:LMD720956 LVZ720954:LVZ720956 MFV720954:MFV720956 MPR720954:MPR720956 MZN720954:MZN720956 NJJ720954:NJJ720956 NTF720954:NTF720956 ODB720954:ODB720956 OMX720954:OMX720956 OWT720954:OWT720956 PGP720954:PGP720956 PQL720954:PQL720956 QAH720954:QAH720956 QKD720954:QKD720956 QTZ720954:QTZ720956 RDV720954:RDV720956 RNR720954:RNR720956 RXN720954:RXN720956 SHJ720954:SHJ720956 SRF720954:SRF720956 TBB720954:TBB720956 TKX720954:TKX720956 TUT720954:TUT720956 UEP720954:UEP720956 UOL720954:UOL720956 UYH720954:UYH720956 VID720954:VID720956 VRZ720954:VRZ720956 WBV720954:WBV720956 WLR720954:WLR720956 WVN720954:WVN720956 F786490:F786492 JB786490:JB786492 SX786490:SX786492 ACT786490:ACT786492 AMP786490:AMP786492 AWL786490:AWL786492 BGH786490:BGH786492 BQD786490:BQD786492 BZZ786490:BZZ786492 CJV786490:CJV786492 CTR786490:CTR786492 DDN786490:DDN786492 DNJ786490:DNJ786492 DXF786490:DXF786492 EHB786490:EHB786492 EQX786490:EQX786492 FAT786490:FAT786492 FKP786490:FKP786492 FUL786490:FUL786492 GEH786490:GEH786492 GOD786490:GOD786492 GXZ786490:GXZ786492 HHV786490:HHV786492 HRR786490:HRR786492 IBN786490:IBN786492 ILJ786490:ILJ786492 IVF786490:IVF786492 JFB786490:JFB786492 JOX786490:JOX786492 JYT786490:JYT786492 KIP786490:KIP786492 KSL786490:KSL786492 LCH786490:LCH786492 LMD786490:LMD786492 LVZ786490:LVZ786492 MFV786490:MFV786492 MPR786490:MPR786492 MZN786490:MZN786492 NJJ786490:NJJ786492 NTF786490:NTF786492 ODB786490:ODB786492 OMX786490:OMX786492 OWT786490:OWT786492 PGP786490:PGP786492 PQL786490:PQL786492 QAH786490:QAH786492 QKD786490:QKD786492 QTZ786490:QTZ786492 RDV786490:RDV786492 RNR786490:RNR786492 RXN786490:RXN786492 SHJ786490:SHJ786492 SRF786490:SRF786492 TBB786490:TBB786492 TKX786490:TKX786492 TUT786490:TUT786492 UEP786490:UEP786492 UOL786490:UOL786492 UYH786490:UYH786492 VID786490:VID786492 VRZ786490:VRZ786492 WBV786490:WBV786492 WLR786490:WLR786492 WVN786490:WVN786492 F852026:F852028 JB852026:JB852028 SX852026:SX852028 ACT852026:ACT852028 AMP852026:AMP852028 AWL852026:AWL852028 BGH852026:BGH852028 BQD852026:BQD852028 BZZ852026:BZZ852028 CJV852026:CJV852028 CTR852026:CTR852028 DDN852026:DDN852028 DNJ852026:DNJ852028 DXF852026:DXF852028 EHB852026:EHB852028 EQX852026:EQX852028 FAT852026:FAT852028 FKP852026:FKP852028 FUL852026:FUL852028 GEH852026:GEH852028 GOD852026:GOD852028 GXZ852026:GXZ852028 HHV852026:HHV852028 HRR852026:HRR852028 IBN852026:IBN852028 ILJ852026:ILJ852028 IVF852026:IVF852028 JFB852026:JFB852028 JOX852026:JOX852028 JYT852026:JYT852028 KIP852026:KIP852028 KSL852026:KSL852028 LCH852026:LCH852028 LMD852026:LMD852028 LVZ852026:LVZ852028 MFV852026:MFV852028 MPR852026:MPR852028 MZN852026:MZN852028 NJJ852026:NJJ852028 NTF852026:NTF852028 ODB852026:ODB852028 OMX852026:OMX852028 OWT852026:OWT852028 PGP852026:PGP852028 PQL852026:PQL852028 QAH852026:QAH852028 QKD852026:QKD852028 QTZ852026:QTZ852028 RDV852026:RDV852028 RNR852026:RNR852028 RXN852026:RXN852028 SHJ852026:SHJ852028 SRF852026:SRF852028 TBB852026:TBB852028 TKX852026:TKX852028 TUT852026:TUT852028 UEP852026:UEP852028 UOL852026:UOL852028 UYH852026:UYH852028 VID852026:VID852028 VRZ852026:VRZ852028 WBV852026:WBV852028 WLR852026:WLR852028 WVN852026:WVN852028 F917562:F917564 JB917562:JB917564 SX917562:SX917564 ACT917562:ACT917564 AMP917562:AMP917564 AWL917562:AWL917564 BGH917562:BGH917564 BQD917562:BQD917564 BZZ917562:BZZ917564 CJV917562:CJV917564 CTR917562:CTR917564 DDN917562:DDN917564 DNJ917562:DNJ917564 DXF917562:DXF917564 EHB917562:EHB917564 EQX917562:EQX917564 FAT917562:FAT917564 FKP917562:FKP917564 FUL917562:FUL917564 GEH917562:GEH917564 GOD917562:GOD917564 GXZ917562:GXZ917564 HHV917562:HHV917564 HRR917562:HRR917564 IBN917562:IBN917564 ILJ917562:ILJ917564 IVF917562:IVF917564 JFB917562:JFB917564 JOX917562:JOX917564 JYT917562:JYT917564 KIP917562:KIP917564 KSL917562:KSL917564 LCH917562:LCH917564 LMD917562:LMD917564 LVZ917562:LVZ917564 MFV917562:MFV917564 MPR917562:MPR917564 MZN917562:MZN917564 NJJ917562:NJJ917564 NTF917562:NTF917564 ODB917562:ODB917564 OMX917562:OMX917564 OWT917562:OWT917564 PGP917562:PGP917564 PQL917562:PQL917564 QAH917562:QAH917564 QKD917562:QKD917564 QTZ917562:QTZ917564 RDV917562:RDV917564 RNR917562:RNR917564 RXN917562:RXN917564 SHJ917562:SHJ917564 SRF917562:SRF917564 TBB917562:TBB917564 TKX917562:TKX917564 TUT917562:TUT917564 UEP917562:UEP917564 UOL917562:UOL917564 UYH917562:UYH917564 VID917562:VID917564 VRZ917562:VRZ917564 WBV917562:WBV917564 WLR917562:WLR917564 WVN917562:WVN917564 F983098:F983100 JB983098:JB983100 SX983098:SX983100 ACT983098:ACT983100 AMP983098:AMP983100 AWL983098:AWL983100 BGH983098:BGH983100 BQD983098:BQD983100 BZZ983098:BZZ983100 CJV983098:CJV983100 CTR983098:CTR983100 DDN983098:DDN983100 DNJ983098:DNJ983100 DXF983098:DXF983100 EHB983098:EHB983100 EQX983098:EQX983100 FAT983098:FAT983100 FKP983098:FKP983100 FUL983098:FUL983100 GEH983098:GEH983100 GOD983098:GOD983100 GXZ983098:GXZ983100 HHV983098:HHV983100 HRR983098:HRR983100 IBN983098:IBN983100 ILJ983098:ILJ983100 IVF983098:IVF983100 JFB983098:JFB983100 JOX983098:JOX983100 JYT983098:JYT983100 KIP983098:KIP983100 KSL983098:KSL983100 LCH983098:LCH983100 LMD983098:LMD983100 LVZ983098:LVZ983100 MFV983098:MFV983100 MPR983098:MPR983100 MZN983098:MZN983100 NJJ983098:NJJ983100 NTF983098:NTF983100 ODB983098:ODB983100 OMX983098:OMX983100 OWT983098:OWT983100 PGP983098:PGP983100 PQL983098:PQL983100 QAH983098:QAH983100 QKD983098:QKD983100 QTZ983098:QTZ983100 RDV983098:RDV983100 RNR983098:RNR983100 RXN983098:RXN983100 SHJ983098:SHJ983100 SRF983098:SRF983100 TBB983098:TBB983100 TKX983098:TKX983100 TUT983098:TUT983100 UEP983098:UEP983100 UOL983098:UOL983100 UYH983098:UYH983100 VID983098:VID983100 VRZ983098:VRZ983100 WBV983098:WBV983100 WLR983098:WLR983100 WVN983098:WVN983100 I67:I70 JB72:JB74 SX72:SX74 ACT72:ACT74 AMP72:AMP74 AWL72:AWL74 BGH72:BGH74 BQD72:BQD74 BZZ72:BZZ74 CJV72:CJV74 CTR72:CTR74 DDN72:DDN74 DNJ72:DNJ74 DXF72:DXF74 EHB72:EHB74 EQX72:EQX74 FAT72:FAT74 FKP72:FKP74 FUL72:FUL74 GEH72:GEH74 GOD72:GOD74 GXZ72:GXZ74 HHV72:HHV74 HRR72:HRR74 IBN72:IBN74 ILJ72:ILJ74 IVF72:IVF74 JFB72:JFB74 JOX72:JOX74 JYT72:JYT74 KIP72:KIP74 KSL72:KSL74 LCH72:LCH74 LMD72:LMD74 LVZ72:LVZ74 MFV72:MFV74 MPR72:MPR74 MZN72:MZN74 NJJ72:NJJ74 NTF72:NTF74 ODB72:ODB74 OMX72:OMX74 OWT72:OWT74 PGP72:PGP74 PQL72:PQL74 QAH72:QAH74 QKD72:QKD74 QTZ72:QTZ74 RDV72:RDV74 RNR72:RNR74 RXN72:RXN74 SHJ72:SHJ74 SRF72:SRF74 TBB72:TBB74 TKX72:TKX74 TUT72:TUT74 UEP72:UEP74 UOL72:UOL74 UYH72:UYH74 VID72:VID74 VRZ72:VRZ74 WBV72:WBV74 WLR72:WLR74 WVN72:WVN74 F65608:F65610 JB65608:JB65610 SX65608:SX65610 ACT65608:ACT65610 AMP65608:AMP65610 AWL65608:AWL65610 BGH65608:BGH65610 BQD65608:BQD65610 BZZ65608:BZZ65610 CJV65608:CJV65610 CTR65608:CTR65610 DDN65608:DDN65610 DNJ65608:DNJ65610 DXF65608:DXF65610 EHB65608:EHB65610 EQX65608:EQX65610 FAT65608:FAT65610 FKP65608:FKP65610 FUL65608:FUL65610 GEH65608:GEH65610 GOD65608:GOD65610 GXZ65608:GXZ65610 HHV65608:HHV65610 HRR65608:HRR65610 IBN65608:IBN65610 ILJ65608:ILJ65610 IVF65608:IVF65610 JFB65608:JFB65610 JOX65608:JOX65610 JYT65608:JYT65610 KIP65608:KIP65610 KSL65608:KSL65610 LCH65608:LCH65610 LMD65608:LMD65610 LVZ65608:LVZ65610 MFV65608:MFV65610 MPR65608:MPR65610 MZN65608:MZN65610 NJJ65608:NJJ65610 NTF65608:NTF65610 ODB65608:ODB65610 OMX65608:OMX65610 OWT65608:OWT65610 PGP65608:PGP65610 PQL65608:PQL65610 QAH65608:QAH65610 QKD65608:QKD65610 QTZ65608:QTZ65610 RDV65608:RDV65610 RNR65608:RNR65610 RXN65608:RXN65610 SHJ65608:SHJ65610 SRF65608:SRF65610 TBB65608:TBB65610 TKX65608:TKX65610 TUT65608:TUT65610 UEP65608:UEP65610 UOL65608:UOL65610 UYH65608:UYH65610 VID65608:VID65610 VRZ65608:VRZ65610 WBV65608:WBV65610 WLR65608:WLR65610 WVN65608:WVN65610 F131144:F131146 JB131144:JB131146 SX131144:SX131146 ACT131144:ACT131146 AMP131144:AMP131146 AWL131144:AWL131146 BGH131144:BGH131146 BQD131144:BQD131146 BZZ131144:BZZ131146 CJV131144:CJV131146 CTR131144:CTR131146 DDN131144:DDN131146 DNJ131144:DNJ131146 DXF131144:DXF131146 EHB131144:EHB131146 EQX131144:EQX131146 FAT131144:FAT131146 FKP131144:FKP131146 FUL131144:FUL131146 GEH131144:GEH131146 GOD131144:GOD131146 GXZ131144:GXZ131146 HHV131144:HHV131146 HRR131144:HRR131146 IBN131144:IBN131146 ILJ131144:ILJ131146 IVF131144:IVF131146 JFB131144:JFB131146 JOX131144:JOX131146 JYT131144:JYT131146 KIP131144:KIP131146 KSL131144:KSL131146 LCH131144:LCH131146 LMD131144:LMD131146 LVZ131144:LVZ131146 MFV131144:MFV131146 MPR131144:MPR131146 MZN131144:MZN131146 NJJ131144:NJJ131146 NTF131144:NTF131146 ODB131144:ODB131146 OMX131144:OMX131146 OWT131144:OWT131146 PGP131144:PGP131146 PQL131144:PQL131146 QAH131144:QAH131146 QKD131144:QKD131146 QTZ131144:QTZ131146 RDV131144:RDV131146 RNR131144:RNR131146 RXN131144:RXN131146 SHJ131144:SHJ131146 SRF131144:SRF131146 TBB131144:TBB131146 TKX131144:TKX131146 TUT131144:TUT131146 UEP131144:UEP131146 UOL131144:UOL131146 UYH131144:UYH131146 VID131144:VID131146 VRZ131144:VRZ131146 WBV131144:WBV131146 WLR131144:WLR131146 WVN131144:WVN131146 F196680:F196682 JB196680:JB196682 SX196680:SX196682 ACT196680:ACT196682 AMP196680:AMP196682 AWL196680:AWL196682 BGH196680:BGH196682 BQD196680:BQD196682 BZZ196680:BZZ196682 CJV196680:CJV196682 CTR196680:CTR196682 DDN196680:DDN196682 DNJ196680:DNJ196682 DXF196680:DXF196682 EHB196680:EHB196682 EQX196680:EQX196682 FAT196680:FAT196682 FKP196680:FKP196682 FUL196680:FUL196682 GEH196680:GEH196682 GOD196680:GOD196682 GXZ196680:GXZ196682 HHV196680:HHV196682 HRR196680:HRR196682 IBN196680:IBN196682 ILJ196680:ILJ196682 IVF196680:IVF196682 JFB196680:JFB196682 JOX196680:JOX196682 JYT196680:JYT196682 KIP196680:KIP196682 KSL196680:KSL196682 LCH196680:LCH196682 LMD196680:LMD196682 LVZ196680:LVZ196682 MFV196680:MFV196682 MPR196680:MPR196682 MZN196680:MZN196682 NJJ196680:NJJ196682 NTF196680:NTF196682 ODB196680:ODB196682 OMX196680:OMX196682 OWT196680:OWT196682 PGP196680:PGP196682 PQL196680:PQL196682 QAH196680:QAH196682 QKD196680:QKD196682 QTZ196680:QTZ196682 RDV196680:RDV196682 RNR196680:RNR196682 RXN196680:RXN196682 SHJ196680:SHJ196682 SRF196680:SRF196682 TBB196680:TBB196682 TKX196680:TKX196682 TUT196680:TUT196682 UEP196680:UEP196682 UOL196680:UOL196682 UYH196680:UYH196682 VID196680:VID196682 VRZ196680:VRZ196682 WBV196680:WBV196682 WLR196680:WLR196682 WVN196680:WVN196682 F262216:F262218 JB262216:JB262218 SX262216:SX262218 ACT262216:ACT262218 AMP262216:AMP262218 AWL262216:AWL262218 BGH262216:BGH262218 BQD262216:BQD262218 BZZ262216:BZZ262218 CJV262216:CJV262218 CTR262216:CTR262218 DDN262216:DDN262218 DNJ262216:DNJ262218 DXF262216:DXF262218 EHB262216:EHB262218 EQX262216:EQX262218 FAT262216:FAT262218 FKP262216:FKP262218 FUL262216:FUL262218 GEH262216:GEH262218 GOD262216:GOD262218 GXZ262216:GXZ262218 HHV262216:HHV262218 HRR262216:HRR262218 IBN262216:IBN262218 ILJ262216:ILJ262218 IVF262216:IVF262218 JFB262216:JFB262218 JOX262216:JOX262218 JYT262216:JYT262218 KIP262216:KIP262218 KSL262216:KSL262218 LCH262216:LCH262218 LMD262216:LMD262218 LVZ262216:LVZ262218 MFV262216:MFV262218 MPR262216:MPR262218 MZN262216:MZN262218 NJJ262216:NJJ262218 NTF262216:NTF262218 ODB262216:ODB262218 OMX262216:OMX262218 OWT262216:OWT262218 PGP262216:PGP262218 PQL262216:PQL262218 QAH262216:QAH262218 QKD262216:QKD262218 QTZ262216:QTZ262218 RDV262216:RDV262218 RNR262216:RNR262218 RXN262216:RXN262218 SHJ262216:SHJ262218 SRF262216:SRF262218 TBB262216:TBB262218 TKX262216:TKX262218 TUT262216:TUT262218 UEP262216:UEP262218 UOL262216:UOL262218 UYH262216:UYH262218 VID262216:VID262218 VRZ262216:VRZ262218 WBV262216:WBV262218 WLR262216:WLR262218 WVN262216:WVN262218 F327752:F327754 JB327752:JB327754 SX327752:SX327754 ACT327752:ACT327754 AMP327752:AMP327754 AWL327752:AWL327754 BGH327752:BGH327754 BQD327752:BQD327754 BZZ327752:BZZ327754 CJV327752:CJV327754 CTR327752:CTR327754 DDN327752:DDN327754 DNJ327752:DNJ327754 DXF327752:DXF327754 EHB327752:EHB327754 EQX327752:EQX327754 FAT327752:FAT327754 FKP327752:FKP327754 FUL327752:FUL327754 GEH327752:GEH327754 GOD327752:GOD327754 GXZ327752:GXZ327754 HHV327752:HHV327754 HRR327752:HRR327754 IBN327752:IBN327754 ILJ327752:ILJ327754 IVF327752:IVF327754 JFB327752:JFB327754 JOX327752:JOX327754 JYT327752:JYT327754 KIP327752:KIP327754 KSL327752:KSL327754 LCH327752:LCH327754 LMD327752:LMD327754 LVZ327752:LVZ327754 MFV327752:MFV327754 MPR327752:MPR327754 MZN327752:MZN327754 NJJ327752:NJJ327754 NTF327752:NTF327754 ODB327752:ODB327754 OMX327752:OMX327754 OWT327752:OWT327754 PGP327752:PGP327754 PQL327752:PQL327754 QAH327752:QAH327754 QKD327752:QKD327754 QTZ327752:QTZ327754 RDV327752:RDV327754 RNR327752:RNR327754 RXN327752:RXN327754 SHJ327752:SHJ327754 SRF327752:SRF327754 TBB327752:TBB327754 TKX327752:TKX327754 TUT327752:TUT327754 UEP327752:UEP327754 UOL327752:UOL327754 UYH327752:UYH327754 VID327752:VID327754 VRZ327752:VRZ327754 WBV327752:WBV327754 WLR327752:WLR327754 WVN327752:WVN327754 F393288:F393290 JB393288:JB393290 SX393288:SX393290 ACT393288:ACT393290 AMP393288:AMP393290 AWL393288:AWL393290 BGH393288:BGH393290 BQD393288:BQD393290 BZZ393288:BZZ393290 CJV393288:CJV393290 CTR393288:CTR393290 DDN393288:DDN393290 DNJ393288:DNJ393290 DXF393288:DXF393290 EHB393288:EHB393290 EQX393288:EQX393290 FAT393288:FAT393290 FKP393288:FKP393290 FUL393288:FUL393290 GEH393288:GEH393290 GOD393288:GOD393290 GXZ393288:GXZ393290 HHV393288:HHV393290 HRR393288:HRR393290 IBN393288:IBN393290 ILJ393288:ILJ393290 IVF393288:IVF393290 JFB393288:JFB393290 JOX393288:JOX393290 JYT393288:JYT393290 KIP393288:KIP393290 KSL393288:KSL393290 LCH393288:LCH393290 LMD393288:LMD393290 LVZ393288:LVZ393290 MFV393288:MFV393290 MPR393288:MPR393290 MZN393288:MZN393290 NJJ393288:NJJ393290 NTF393288:NTF393290 ODB393288:ODB393290 OMX393288:OMX393290 OWT393288:OWT393290 PGP393288:PGP393290 PQL393288:PQL393290 QAH393288:QAH393290 QKD393288:QKD393290 QTZ393288:QTZ393290 RDV393288:RDV393290 RNR393288:RNR393290 RXN393288:RXN393290 SHJ393288:SHJ393290 SRF393288:SRF393290 TBB393288:TBB393290 TKX393288:TKX393290 TUT393288:TUT393290 UEP393288:UEP393290 UOL393288:UOL393290 UYH393288:UYH393290 VID393288:VID393290 VRZ393288:VRZ393290 WBV393288:WBV393290 WLR393288:WLR393290 WVN393288:WVN393290 F458824:F458826 JB458824:JB458826 SX458824:SX458826 ACT458824:ACT458826 AMP458824:AMP458826 AWL458824:AWL458826 BGH458824:BGH458826 BQD458824:BQD458826 BZZ458824:BZZ458826 CJV458824:CJV458826 CTR458824:CTR458826 DDN458824:DDN458826 DNJ458824:DNJ458826 DXF458824:DXF458826 EHB458824:EHB458826 EQX458824:EQX458826 FAT458824:FAT458826 FKP458824:FKP458826 FUL458824:FUL458826 GEH458824:GEH458826 GOD458824:GOD458826 GXZ458824:GXZ458826 HHV458824:HHV458826 HRR458824:HRR458826 IBN458824:IBN458826 ILJ458824:ILJ458826 IVF458824:IVF458826 JFB458824:JFB458826 JOX458824:JOX458826 JYT458824:JYT458826 KIP458824:KIP458826 KSL458824:KSL458826 LCH458824:LCH458826 LMD458824:LMD458826 LVZ458824:LVZ458826 MFV458824:MFV458826 MPR458824:MPR458826 MZN458824:MZN458826 NJJ458824:NJJ458826 NTF458824:NTF458826 ODB458824:ODB458826 OMX458824:OMX458826 OWT458824:OWT458826 PGP458824:PGP458826 PQL458824:PQL458826 QAH458824:QAH458826 QKD458824:QKD458826 QTZ458824:QTZ458826 RDV458824:RDV458826 RNR458824:RNR458826 RXN458824:RXN458826 SHJ458824:SHJ458826 SRF458824:SRF458826 TBB458824:TBB458826 TKX458824:TKX458826 TUT458824:TUT458826 UEP458824:UEP458826 UOL458824:UOL458826 UYH458824:UYH458826 VID458824:VID458826 VRZ458824:VRZ458826 WBV458824:WBV458826 WLR458824:WLR458826 WVN458824:WVN458826 F524360:F524362 JB524360:JB524362 SX524360:SX524362 ACT524360:ACT524362 AMP524360:AMP524362 AWL524360:AWL524362 BGH524360:BGH524362 BQD524360:BQD524362 BZZ524360:BZZ524362 CJV524360:CJV524362 CTR524360:CTR524362 DDN524360:DDN524362 DNJ524360:DNJ524362 DXF524360:DXF524362 EHB524360:EHB524362 EQX524360:EQX524362 FAT524360:FAT524362 FKP524360:FKP524362 FUL524360:FUL524362 GEH524360:GEH524362 GOD524360:GOD524362 GXZ524360:GXZ524362 HHV524360:HHV524362 HRR524360:HRR524362 IBN524360:IBN524362 ILJ524360:ILJ524362 IVF524360:IVF524362 JFB524360:JFB524362 JOX524360:JOX524362 JYT524360:JYT524362 KIP524360:KIP524362 KSL524360:KSL524362 LCH524360:LCH524362 LMD524360:LMD524362 LVZ524360:LVZ524362 MFV524360:MFV524362 MPR524360:MPR524362 MZN524360:MZN524362 NJJ524360:NJJ524362 NTF524360:NTF524362 ODB524360:ODB524362 OMX524360:OMX524362 OWT524360:OWT524362 PGP524360:PGP524362 PQL524360:PQL524362 QAH524360:QAH524362 QKD524360:QKD524362 QTZ524360:QTZ524362 RDV524360:RDV524362 RNR524360:RNR524362 RXN524360:RXN524362 SHJ524360:SHJ524362 SRF524360:SRF524362 TBB524360:TBB524362 TKX524360:TKX524362 TUT524360:TUT524362 UEP524360:UEP524362 UOL524360:UOL524362 UYH524360:UYH524362 VID524360:VID524362 VRZ524360:VRZ524362 WBV524360:WBV524362 WLR524360:WLR524362 WVN524360:WVN524362 F589896:F589898 JB589896:JB589898 SX589896:SX589898 ACT589896:ACT589898 AMP589896:AMP589898 AWL589896:AWL589898 BGH589896:BGH589898 BQD589896:BQD589898 BZZ589896:BZZ589898 CJV589896:CJV589898 CTR589896:CTR589898 DDN589896:DDN589898 DNJ589896:DNJ589898 DXF589896:DXF589898 EHB589896:EHB589898 EQX589896:EQX589898 FAT589896:FAT589898 FKP589896:FKP589898 FUL589896:FUL589898 GEH589896:GEH589898 GOD589896:GOD589898 GXZ589896:GXZ589898 HHV589896:HHV589898 HRR589896:HRR589898 IBN589896:IBN589898 ILJ589896:ILJ589898 IVF589896:IVF589898 JFB589896:JFB589898 JOX589896:JOX589898 JYT589896:JYT589898 KIP589896:KIP589898 KSL589896:KSL589898 LCH589896:LCH589898 LMD589896:LMD589898 LVZ589896:LVZ589898 MFV589896:MFV589898 MPR589896:MPR589898 MZN589896:MZN589898 NJJ589896:NJJ589898 NTF589896:NTF589898 ODB589896:ODB589898 OMX589896:OMX589898 OWT589896:OWT589898 PGP589896:PGP589898 PQL589896:PQL589898 QAH589896:QAH589898 QKD589896:QKD589898 QTZ589896:QTZ589898 RDV589896:RDV589898 RNR589896:RNR589898 RXN589896:RXN589898 SHJ589896:SHJ589898 SRF589896:SRF589898 TBB589896:TBB589898 TKX589896:TKX589898 TUT589896:TUT589898 UEP589896:UEP589898 UOL589896:UOL589898 UYH589896:UYH589898 VID589896:VID589898 VRZ589896:VRZ589898 WBV589896:WBV589898 WLR589896:WLR589898 WVN589896:WVN589898 F655432:F655434 JB655432:JB655434 SX655432:SX655434 ACT655432:ACT655434 AMP655432:AMP655434 AWL655432:AWL655434 BGH655432:BGH655434 BQD655432:BQD655434 BZZ655432:BZZ655434 CJV655432:CJV655434 CTR655432:CTR655434 DDN655432:DDN655434 DNJ655432:DNJ655434 DXF655432:DXF655434 EHB655432:EHB655434 EQX655432:EQX655434 FAT655432:FAT655434 FKP655432:FKP655434 FUL655432:FUL655434 GEH655432:GEH655434 GOD655432:GOD655434 GXZ655432:GXZ655434 HHV655432:HHV655434 HRR655432:HRR655434 IBN655432:IBN655434 ILJ655432:ILJ655434 IVF655432:IVF655434 JFB655432:JFB655434 JOX655432:JOX655434 JYT655432:JYT655434 KIP655432:KIP655434 KSL655432:KSL655434 LCH655432:LCH655434 LMD655432:LMD655434 LVZ655432:LVZ655434 MFV655432:MFV655434 MPR655432:MPR655434 MZN655432:MZN655434 NJJ655432:NJJ655434 NTF655432:NTF655434 ODB655432:ODB655434 OMX655432:OMX655434 OWT655432:OWT655434 PGP655432:PGP655434 PQL655432:PQL655434 QAH655432:QAH655434 QKD655432:QKD655434 QTZ655432:QTZ655434 RDV655432:RDV655434 RNR655432:RNR655434 RXN655432:RXN655434 SHJ655432:SHJ655434 SRF655432:SRF655434 TBB655432:TBB655434 TKX655432:TKX655434 TUT655432:TUT655434 UEP655432:UEP655434 UOL655432:UOL655434 UYH655432:UYH655434 VID655432:VID655434 VRZ655432:VRZ655434 WBV655432:WBV655434 WLR655432:WLR655434 WVN655432:WVN655434 F720968:F720970 JB720968:JB720970 SX720968:SX720970 ACT720968:ACT720970 AMP720968:AMP720970 AWL720968:AWL720970 BGH720968:BGH720970 BQD720968:BQD720970 BZZ720968:BZZ720970 CJV720968:CJV720970 CTR720968:CTR720970 DDN720968:DDN720970 DNJ720968:DNJ720970 DXF720968:DXF720970 EHB720968:EHB720970 EQX720968:EQX720970 FAT720968:FAT720970 FKP720968:FKP720970 FUL720968:FUL720970 GEH720968:GEH720970 GOD720968:GOD720970 GXZ720968:GXZ720970 HHV720968:HHV720970 HRR720968:HRR720970 IBN720968:IBN720970 ILJ720968:ILJ720970 IVF720968:IVF720970 JFB720968:JFB720970 JOX720968:JOX720970 JYT720968:JYT720970 KIP720968:KIP720970 KSL720968:KSL720970 LCH720968:LCH720970 LMD720968:LMD720970 LVZ720968:LVZ720970 MFV720968:MFV720970 MPR720968:MPR720970 MZN720968:MZN720970 NJJ720968:NJJ720970 NTF720968:NTF720970 ODB720968:ODB720970 OMX720968:OMX720970 OWT720968:OWT720970 PGP720968:PGP720970 PQL720968:PQL720970 QAH720968:QAH720970 QKD720968:QKD720970 QTZ720968:QTZ720970 RDV720968:RDV720970 RNR720968:RNR720970 RXN720968:RXN720970 SHJ720968:SHJ720970 SRF720968:SRF720970 TBB720968:TBB720970 TKX720968:TKX720970 TUT720968:TUT720970 UEP720968:UEP720970 UOL720968:UOL720970 UYH720968:UYH720970 VID720968:VID720970 VRZ720968:VRZ720970 WBV720968:WBV720970 WLR720968:WLR720970 WVN720968:WVN720970 F786504:F786506 JB786504:JB786506 SX786504:SX786506 ACT786504:ACT786506 AMP786504:AMP786506 AWL786504:AWL786506 BGH786504:BGH786506 BQD786504:BQD786506 BZZ786504:BZZ786506 CJV786504:CJV786506 CTR786504:CTR786506 DDN786504:DDN786506 DNJ786504:DNJ786506 DXF786504:DXF786506 EHB786504:EHB786506 EQX786504:EQX786506 FAT786504:FAT786506 FKP786504:FKP786506 FUL786504:FUL786506 GEH786504:GEH786506 GOD786504:GOD786506 GXZ786504:GXZ786506 HHV786504:HHV786506 HRR786504:HRR786506 IBN786504:IBN786506 ILJ786504:ILJ786506 IVF786504:IVF786506 JFB786504:JFB786506 JOX786504:JOX786506 JYT786504:JYT786506 KIP786504:KIP786506 KSL786504:KSL786506 LCH786504:LCH786506 LMD786504:LMD786506 LVZ786504:LVZ786506 MFV786504:MFV786506 MPR786504:MPR786506 MZN786504:MZN786506 NJJ786504:NJJ786506 NTF786504:NTF786506 ODB786504:ODB786506 OMX786504:OMX786506 OWT786504:OWT786506 PGP786504:PGP786506 PQL786504:PQL786506 QAH786504:QAH786506 QKD786504:QKD786506 QTZ786504:QTZ786506 RDV786504:RDV786506 RNR786504:RNR786506 RXN786504:RXN786506 SHJ786504:SHJ786506 SRF786504:SRF786506 TBB786504:TBB786506 TKX786504:TKX786506 TUT786504:TUT786506 UEP786504:UEP786506 UOL786504:UOL786506 UYH786504:UYH786506 VID786504:VID786506 VRZ786504:VRZ786506 WBV786504:WBV786506 WLR786504:WLR786506 WVN786504:WVN786506 F852040:F852042 JB852040:JB852042 SX852040:SX852042 ACT852040:ACT852042 AMP852040:AMP852042 AWL852040:AWL852042 BGH852040:BGH852042 BQD852040:BQD852042 BZZ852040:BZZ852042 CJV852040:CJV852042 CTR852040:CTR852042 DDN852040:DDN852042 DNJ852040:DNJ852042 DXF852040:DXF852042 EHB852040:EHB852042 EQX852040:EQX852042 FAT852040:FAT852042 FKP852040:FKP852042 FUL852040:FUL852042 GEH852040:GEH852042 GOD852040:GOD852042 GXZ852040:GXZ852042 HHV852040:HHV852042 HRR852040:HRR852042 IBN852040:IBN852042 ILJ852040:ILJ852042 IVF852040:IVF852042 JFB852040:JFB852042 JOX852040:JOX852042 JYT852040:JYT852042 KIP852040:KIP852042 KSL852040:KSL852042 LCH852040:LCH852042 LMD852040:LMD852042 LVZ852040:LVZ852042 MFV852040:MFV852042 MPR852040:MPR852042 MZN852040:MZN852042 NJJ852040:NJJ852042 NTF852040:NTF852042 ODB852040:ODB852042 OMX852040:OMX852042 OWT852040:OWT852042 PGP852040:PGP852042 PQL852040:PQL852042 QAH852040:QAH852042 QKD852040:QKD852042 QTZ852040:QTZ852042 RDV852040:RDV852042 RNR852040:RNR852042 RXN852040:RXN852042 SHJ852040:SHJ852042 SRF852040:SRF852042 TBB852040:TBB852042 TKX852040:TKX852042 TUT852040:TUT852042 UEP852040:UEP852042 UOL852040:UOL852042 UYH852040:UYH852042 VID852040:VID852042 VRZ852040:VRZ852042 WBV852040:WBV852042 WLR852040:WLR852042 WVN852040:WVN852042 F917576:F917578 JB917576:JB917578 SX917576:SX917578 ACT917576:ACT917578 AMP917576:AMP917578 AWL917576:AWL917578 BGH917576:BGH917578 BQD917576:BQD917578 BZZ917576:BZZ917578 CJV917576:CJV917578 CTR917576:CTR917578 DDN917576:DDN917578 DNJ917576:DNJ917578 DXF917576:DXF917578 EHB917576:EHB917578 EQX917576:EQX917578 FAT917576:FAT917578 FKP917576:FKP917578 FUL917576:FUL917578 GEH917576:GEH917578 GOD917576:GOD917578 GXZ917576:GXZ917578 HHV917576:HHV917578 HRR917576:HRR917578 IBN917576:IBN917578 ILJ917576:ILJ917578 IVF917576:IVF917578 JFB917576:JFB917578 JOX917576:JOX917578 JYT917576:JYT917578 KIP917576:KIP917578 KSL917576:KSL917578 LCH917576:LCH917578 LMD917576:LMD917578 LVZ917576:LVZ917578 MFV917576:MFV917578 MPR917576:MPR917578 MZN917576:MZN917578 NJJ917576:NJJ917578 NTF917576:NTF917578 ODB917576:ODB917578 OMX917576:OMX917578 OWT917576:OWT917578 PGP917576:PGP917578 PQL917576:PQL917578 QAH917576:QAH917578 QKD917576:QKD917578 QTZ917576:QTZ917578 RDV917576:RDV917578 RNR917576:RNR917578 RXN917576:RXN917578 SHJ917576:SHJ917578 SRF917576:SRF917578 TBB917576:TBB917578 TKX917576:TKX917578 TUT917576:TUT917578 UEP917576:UEP917578 UOL917576:UOL917578 UYH917576:UYH917578 VID917576:VID917578 VRZ917576:VRZ917578 WBV917576:WBV917578 WLR917576:WLR917578 WVN917576:WVN917578 F983112:F983114 JB983112:JB983114 SX983112:SX983114 ACT983112:ACT983114 AMP983112:AMP983114 AWL983112:AWL983114 BGH983112:BGH983114 BQD983112:BQD983114 BZZ983112:BZZ983114 CJV983112:CJV983114 CTR983112:CTR983114 DDN983112:DDN983114 DNJ983112:DNJ983114 DXF983112:DXF983114 EHB983112:EHB983114 EQX983112:EQX983114 FAT983112:FAT983114 FKP983112:FKP983114 FUL983112:FUL983114 GEH983112:GEH983114 GOD983112:GOD983114 GXZ983112:GXZ983114 HHV983112:HHV983114 HRR983112:HRR983114 IBN983112:IBN983114 ILJ983112:ILJ983114 IVF983112:IVF983114 JFB983112:JFB983114 JOX983112:JOX983114 JYT983112:JYT983114 KIP983112:KIP983114 KSL983112:KSL983114 LCH983112:LCH983114 LMD983112:LMD983114 LVZ983112:LVZ983114 MFV983112:MFV983114 MPR983112:MPR983114 MZN983112:MZN983114 NJJ983112:NJJ983114 NTF983112:NTF983114 ODB983112:ODB983114 OMX983112:OMX983114 OWT983112:OWT983114 PGP983112:PGP983114 PQL983112:PQL983114 QAH983112:QAH983114 QKD983112:QKD983114 QTZ983112:QTZ983114 RDV983112:RDV983114 RNR983112:RNR983114 RXN983112:RXN983114 SHJ983112:SHJ983114 SRF983112:SRF983114 TBB983112:TBB983114 TKX983112:TKX983114 TUT983112:TUT983114 UEP983112:UEP983114 UOL983112:UOL983114 UYH983112:UYH983114 VID983112:VID983114 VRZ983112:VRZ983114 WBV983112:WBV983114 WLR983112:WLR983114 WVN983112:WVN983114 I62:I65 JE67:JE70 TA67:TA70 ACW67:ACW70 AMS67:AMS70 AWO67:AWO70 BGK67:BGK70 BQG67:BQG70 CAC67:CAC70 CJY67:CJY70 CTU67:CTU70 DDQ67:DDQ70 DNM67:DNM70 DXI67:DXI70 EHE67:EHE70 ERA67:ERA70 FAW67:FAW70 FKS67:FKS70 FUO67:FUO70 GEK67:GEK70 GOG67:GOG70 GYC67:GYC70 HHY67:HHY70 HRU67:HRU70 IBQ67:IBQ70 ILM67:ILM70 IVI67:IVI70 JFE67:JFE70 JPA67:JPA70 JYW67:JYW70 KIS67:KIS70 KSO67:KSO70 LCK67:LCK70 LMG67:LMG70 LWC67:LWC70 MFY67:MFY70 MPU67:MPU70 MZQ67:MZQ70 NJM67:NJM70 NTI67:NTI70 ODE67:ODE70 ONA67:ONA70 OWW67:OWW70 PGS67:PGS70 PQO67:PQO70 QAK67:QAK70 QKG67:QKG70 QUC67:QUC70 RDY67:RDY70 RNU67:RNU70 RXQ67:RXQ70 SHM67:SHM70 SRI67:SRI70 TBE67:TBE70 TLA67:TLA70 TUW67:TUW70 UES67:UES70 UOO67:UOO70 UYK67:UYK70 VIG67:VIG70 VSC67:VSC70 WBY67:WBY70 WLU67:WLU70 WVQ67:WVQ70 I65603:I65606 JE65603:JE65606 TA65603:TA65606 ACW65603:ACW65606 AMS65603:AMS65606 AWO65603:AWO65606 BGK65603:BGK65606 BQG65603:BQG65606 CAC65603:CAC65606 CJY65603:CJY65606 CTU65603:CTU65606 DDQ65603:DDQ65606 DNM65603:DNM65606 DXI65603:DXI65606 EHE65603:EHE65606 ERA65603:ERA65606 FAW65603:FAW65606 FKS65603:FKS65606 FUO65603:FUO65606 GEK65603:GEK65606 GOG65603:GOG65606 GYC65603:GYC65606 HHY65603:HHY65606 HRU65603:HRU65606 IBQ65603:IBQ65606 ILM65603:ILM65606 IVI65603:IVI65606 JFE65603:JFE65606 JPA65603:JPA65606 JYW65603:JYW65606 KIS65603:KIS65606 KSO65603:KSO65606 LCK65603:LCK65606 LMG65603:LMG65606 LWC65603:LWC65606 MFY65603:MFY65606 MPU65603:MPU65606 MZQ65603:MZQ65606 NJM65603:NJM65606 NTI65603:NTI65606 ODE65603:ODE65606 ONA65603:ONA65606 OWW65603:OWW65606 PGS65603:PGS65606 PQO65603:PQO65606 QAK65603:QAK65606 QKG65603:QKG65606 QUC65603:QUC65606 RDY65603:RDY65606 RNU65603:RNU65606 RXQ65603:RXQ65606 SHM65603:SHM65606 SRI65603:SRI65606 TBE65603:TBE65606 TLA65603:TLA65606 TUW65603:TUW65606 UES65603:UES65606 UOO65603:UOO65606 UYK65603:UYK65606 VIG65603:VIG65606 VSC65603:VSC65606 WBY65603:WBY65606 WLU65603:WLU65606 WVQ65603:WVQ65606 I131139:I131142 JE131139:JE131142 TA131139:TA131142 ACW131139:ACW131142 AMS131139:AMS131142 AWO131139:AWO131142 BGK131139:BGK131142 BQG131139:BQG131142 CAC131139:CAC131142 CJY131139:CJY131142 CTU131139:CTU131142 DDQ131139:DDQ131142 DNM131139:DNM131142 DXI131139:DXI131142 EHE131139:EHE131142 ERA131139:ERA131142 FAW131139:FAW131142 FKS131139:FKS131142 FUO131139:FUO131142 GEK131139:GEK131142 GOG131139:GOG131142 GYC131139:GYC131142 HHY131139:HHY131142 HRU131139:HRU131142 IBQ131139:IBQ131142 ILM131139:ILM131142 IVI131139:IVI131142 JFE131139:JFE131142 JPA131139:JPA131142 JYW131139:JYW131142 KIS131139:KIS131142 KSO131139:KSO131142 LCK131139:LCK131142 LMG131139:LMG131142 LWC131139:LWC131142 MFY131139:MFY131142 MPU131139:MPU131142 MZQ131139:MZQ131142 NJM131139:NJM131142 NTI131139:NTI131142 ODE131139:ODE131142 ONA131139:ONA131142 OWW131139:OWW131142 PGS131139:PGS131142 PQO131139:PQO131142 QAK131139:QAK131142 QKG131139:QKG131142 QUC131139:QUC131142 RDY131139:RDY131142 RNU131139:RNU131142 RXQ131139:RXQ131142 SHM131139:SHM131142 SRI131139:SRI131142 TBE131139:TBE131142 TLA131139:TLA131142 TUW131139:TUW131142 UES131139:UES131142 UOO131139:UOO131142 UYK131139:UYK131142 VIG131139:VIG131142 VSC131139:VSC131142 WBY131139:WBY131142 WLU131139:WLU131142 WVQ131139:WVQ131142 I196675:I196678 JE196675:JE196678 TA196675:TA196678 ACW196675:ACW196678 AMS196675:AMS196678 AWO196675:AWO196678 BGK196675:BGK196678 BQG196675:BQG196678 CAC196675:CAC196678 CJY196675:CJY196678 CTU196675:CTU196678 DDQ196675:DDQ196678 DNM196675:DNM196678 DXI196675:DXI196678 EHE196675:EHE196678 ERA196675:ERA196678 FAW196675:FAW196678 FKS196675:FKS196678 FUO196675:FUO196678 GEK196675:GEK196678 GOG196675:GOG196678 GYC196675:GYC196678 HHY196675:HHY196678 HRU196675:HRU196678 IBQ196675:IBQ196678 ILM196675:ILM196678 IVI196675:IVI196678 JFE196675:JFE196678 JPA196675:JPA196678 JYW196675:JYW196678 KIS196675:KIS196678 KSO196675:KSO196678 LCK196675:LCK196678 LMG196675:LMG196678 LWC196675:LWC196678 MFY196675:MFY196678 MPU196675:MPU196678 MZQ196675:MZQ196678 NJM196675:NJM196678 NTI196675:NTI196678 ODE196675:ODE196678 ONA196675:ONA196678 OWW196675:OWW196678 PGS196675:PGS196678 PQO196675:PQO196678 QAK196675:QAK196678 QKG196675:QKG196678 QUC196675:QUC196678 RDY196675:RDY196678 RNU196675:RNU196678 RXQ196675:RXQ196678 SHM196675:SHM196678 SRI196675:SRI196678 TBE196675:TBE196678 TLA196675:TLA196678 TUW196675:TUW196678 UES196675:UES196678 UOO196675:UOO196678 UYK196675:UYK196678 VIG196675:VIG196678 VSC196675:VSC196678 WBY196675:WBY196678 WLU196675:WLU196678 WVQ196675:WVQ196678 I262211:I262214 JE262211:JE262214 TA262211:TA262214 ACW262211:ACW262214 AMS262211:AMS262214 AWO262211:AWO262214 BGK262211:BGK262214 BQG262211:BQG262214 CAC262211:CAC262214 CJY262211:CJY262214 CTU262211:CTU262214 DDQ262211:DDQ262214 DNM262211:DNM262214 DXI262211:DXI262214 EHE262211:EHE262214 ERA262211:ERA262214 FAW262211:FAW262214 FKS262211:FKS262214 FUO262211:FUO262214 GEK262211:GEK262214 GOG262211:GOG262214 GYC262211:GYC262214 HHY262211:HHY262214 HRU262211:HRU262214 IBQ262211:IBQ262214 ILM262211:ILM262214 IVI262211:IVI262214 JFE262211:JFE262214 JPA262211:JPA262214 JYW262211:JYW262214 KIS262211:KIS262214 KSO262211:KSO262214 LCK262211:LCK262214 LMG262211:LMG262214 LWC262211:LWC262214 MFY262211:MFY262214 MPU262211:MPU262214 MZQ262211:MZQ262214 NJM262211:NJM262214 NTI262211:NTI262214 ODE262211:ODE262214 ONA262211:ONA262214 OWW262211:OWW262214 PGS262211:PGS262214 PQO262211:PQO262214 QAK262211:QAK262214 QKG262211:QKG262214 QUC262211:QUC262214 RDY262211:RDY262214 RNU262211:RNU262214 RXQ262211:RXQ262214 SHM262211:SHM262214 SRI262211:SRI262214 TBE262211:TBE262214 TLA262211:TLA262214 TUW262211:TUW262214 UES262211:UES262214 UOO262211:UOO262214 UYK262211:UYK262214 VIG262211:VIG262214 VSC262211:VSC262214 WBY262211:WBY262214 WLU262211:WLU262214 WVQ262211:WVQ262214 I327747:I327750 JE327747:JE327750 TA327747:TA327750 ACW327747:ACW327750 AMS327747:AMS327750 AWO327747:AWO327750 BGK327747:BGK327750 BQG327747:BQG327750 CAC327747:CAC327750 CJY327747:CJY327750 CTU327747:CTU327750 DDQ327747:DDQ327750 DNM327747:DNM327750 DXI327747:DXI327750 EHE327747:EHE327750 ERA327747:ERA327750 FAW327747:FAW327750 FKS327747:FKS327750 FUO327747:FUO327750 GEK327747:GEK327750 GOG327747:GOG327750 GYC327747:GYC327750 HHY327747:HHY327750 HRU327747:HRU327750 IBQ327747:IBQ327750 ILM327747:ILM327750 IVI327747:IVI327750 JFE327747:JFE327750 JPA327747:JPA327750 JYW327747:JYW327750 KIS327747:KIS327750 KSO327747:KSO327750 LCK327747:LCK327750 LMG327747:LMG327750 LWC327747:LWC327750 MFY327747:MFY327750 MPU327747:MPU327750 MZQ327747:MZQ327750 NJM327747:NJM327750 NTI327747:NTI327750 ODE327747:ODE327750 ONA327747:ONA327750 OWW327747:OWW327750 PGS327747:PGS327750 PQO327747:PQO327750 QAK327747:QAK327750 QKG327747:QKG327750 QUC327747:QUC327750 RDY327747:RDY327750 RNU327747:RNU327750 RXQ327747:RXQ327750 SHM327747:SHM327750 SRI327747:SRI327750 TBE327747:TBE327750 TLA327747:TLA327750 TUW327747:TUW327750 UES327747:UES327750 UOO327747:UOO327750 UYK327747:UYK327750 VIG327747:VIG327750 VSC327747:VSC327750 WBY327747:WBY327750 WLU327747:WLU327750 WVQ327747:WVQ327750 I393283:I393286 JE393283:JE393286 TA393283:TA393286 ACW393283:ACW393286 AMS393283:AMS393286 AWO393283:AWO393286 BGK393283:BGK393286 BQG393283:BQG393286 CAC393283:CAC393286 CJY393283:CJY393286 CTU393283:CTU393286 DDQ393283:DDQ393286 DNM393283:DNM393286 DXI393283:DXI393286 EHE393283:EHE393286 ERA393283:ERA393286 FAW393283:FAW393286 FKS393283:FKS393286 FUO393283:FUO393286 GEK393283:GEK393286 GOG393283:GOG393286 GYC393283:GYC393286 HHY393283:HHY393286 HRU393283:HRU393286 IBQ393283:IBQ393286 ILM393283:ILM393286 IVI393283:IVI393286 JFE393283:JFE393286 JPA393283:JPA393286 JYW393283:JYW393286 KIS393283:KIS393286 KSO393283:KSO393286 LCK393283:LCK393286 LMG393283:LMG393286 LWC393283:LWC393286 MFY393283:MFY393286 MPU393283:MPU393286 MZQ393283:MZQ393286 NJM393283:NJM393286 NTI393283:NTI393286 ODE393283:ODE393286 ONA393283:ONA393286 OWW393283:OWW393286 PGS393283:PGS393286 PQO393283:PQO393286 QAK393283:QAK393286 QKG393283:QKG393286 QUC393283:QUC393286 RDY393283:RDY393286 RNU393283:RNU393286 RXQ393283:RXQ393286 SHM393283:SHM393286 SRI393283:SRI393286 TBE393283:TBE393286 TLA393283:TLA393286 TUW393283:TUW393286 UES393283:UES393286 UOO393283:UOO393286 UYK393283:UYK393286 VIG393283:VIG393286 VSC393283:VSC393286 WBY393283:WBY393286 WLU393283:WLU393286 WVQ393283:WVQ393286 I458819:I458822 JE458819:JE458822 TA458819:TA458822 ACW458819:ACW458822 AMS458819:AMS458822 AWO458819:AWO458822 BGK458819:BGK458822 BQG458819:BQG458822 CAC458819:CAC458822 CJY458819:CJY458822 CTU458819:CTU458822 DDQ458819:DDQ458822 DNM458819:DNM458822 DXI458819:DXI458822 EHE458819:EHE458822 ERA458819:ERA458822 FAW458819:FAW458822 FKS458819:FKS458822 FUO458819:FUO458822 GEK458819:GEK458822 GOG458819:GOG458822 GYC458819:GYC458822 HHY458819:HHY458822 HRU458819:HRU458822 IBQ458819:IBQ458822 ILM458819:ILM458822 IVI458819:IVI458822 JFE458819:JFE458822 JPA458819:JPA458822 JYW458819:JYW458822 KIS458819:KIS458822 KSO458819:KSO458822 LCK458819:LCK458822 LMG458819:LMG458822 LWC458819:LWC458822 MFY458819:MFY458822 MPU458819:MPU458822 MZQ458819:MZQ458822 NJM458819:NJM458822 NTI458819:NTI458822 ODE458819:ODE458822 ONA458819:ONA458822 OWW458819:OWW458822 PGS458819:PGS458822 PQO458819:PQO458822 QAK458819:QAK458822 QKG458819:QKG458822 QUC458819:QUC458822 RDY458819:RDY458822 RNU458819:RNU458822 RXQ458819:RXQ458822 SHM458819:SHM458822 SRI458819:SRI458822 TBE458819:TBE458822 TLA458819:TLA458822 TUW458819:TUW458822 UES458819:UES458822 UOO458819:UOO458822 UYK458819:UYK458822 VIG458819:VIG458822 VSC458819:VSC458822 WBY458819:WBY458822 WLU458819:WLU458822 WVQ458819:WVQ458822 I524355:I524358 JE524355:JE524358 TA524355:TA524358 ACW524355:ACW524358 AMS524355:AMS524358 AWO524355:AWO524358 BGK524355:BGK524358 BQG524355:BQG524358 CAC524355:CAC524358 CJY524355:CJY524358 CTU524355:CTU524358 DDQ524355:DDQ524358 DNM524355:DNM524358 DXI524355:DXI524358 EHE524355:EHE524358 ERA524355:ERA524358 FAW524355:FAW524358 FKS524355:FKS524358 FUO524355:FUO524358 GEK524355:GEK524358 GOG524355:GOG524358 GYC524355:GYC524358 HHY524355:HHY524358 HRU524355:HRU524358 IBQ524355:IBQ524358 ILM524355:ILM524358 IVI524355:IVI524358 JFE524355:JFE524358 JPA524355:JPA524358 JYW524355:JYW524358 KIS524355:KIS524358 KSO524355:KSO524358 LCK524355:LCK524358 LMG524355:LMG524358 LWC524355:LWC524358 MFY524355:MFY524358 MPU524355:MPU524358 MZQ524355:MZQ524358 NJM524355:NJM524358 NTI524355:NTI524358 ODE524355:ODE524358 ONA524355:ONA524358 OWW524355:OWW524358 PGS524355:PGS524358 PQO524355:PQO524358 QAK524355:QAK524358 QKG524355:QKG524358 QUC524355:QUC524358 RDY524355:RDY524358 RNU524355:RNU524358 RXQ524355:RXQ524358 SHM524355:SHM524358 SRI524355:SRI524358 TBE524355:TBE524358 TLA524355:TLA524358 TUW524355:TUW524358 UES524355:UES524358 UOO524355:UOO524358 UYK524355:UYK524358 VIG524355:VIG524358 VSC524355:VSC524358 WBY524355:WBY524358 WLU524355:WLU524358 WVQ524355:WVQ524358 I589891:I589894 JE589891:JE589894 TA589891:TA589894 ACW589891:ACW589894 AMS589891:AMS589894 AWO589891:AWO589894 BGK589891:BGK589894 BQG589891:BQG589894 CAC589891:CAC589894 CJY589891:CJY589894 CTU589891:CTU589894 DDQ589891:DDQ589894 DNM589891:DNM589894 DXI589891:DXI589894 EHE589891:EHE589894 ERA589891:ERA589894 FAW589891:FAW589894 FKS589891:FKS589894 FUO589891:FUO589894 GEK589891:GEK589894 GOG589891:GOG589894 GYC589891:GYC589894 HHY589891:HHY589894 HRU589891:HRU589894 IBQ589891:IBQ589894 ILM589891:ILM589894 IVI589891:IVI589894 JFE589891:JFE589894 JPA589891:JPA589894 JYW589891:JYW589894 KIS589891:KIS589894 KSO589891:KSO589894 LCK589891:LCK589894 LMG589891:LMG589894 LWC589891:LWC589894 MFY589891:MFY589894 MPU589891:MPU589894 MZQ589891:MZQ589894 NJM589891:NJM589894 NTI589891:NTI589894 ODE589891:ODE589894 ONA589891:ONA589894 OWW589891:OWW589894 PGS589891:PGS589894 PQO589891:PQO589894 QAK589891:QAK589894 QKG589891:QKG589894 QUC589891:QUC589894 RDY589891:RDY589894 RNU589891:RNU589894 RXQ589891:RXQ589894 SHM589891:SHM589894 SRI589891:SRI589894 TBE589891:TBE589894 TLA589891:TLA589894 TUW589891:TUW589894 UES589891:UES589894 UOO589891:UOO589894 UYK589891:UYK589894 VIG589891:VIG589894 VSC589891:VSC589894 WBY589891:WBY589894 WLU589891:WLU589894 WVQ589891:WVQ589894 I655427:I655430 JE655427:JE655430 TA655427:TA655430 ACW655427:ACW655430 AMS655427:AMS655430 AWO655427:AWO655430 BGK655427:BGK655430 BQG655427:BQG655430 CAC655427:CAC655430 CJY655427:CJY655430 CTU655427:CTU655430 DDQ655427:DDQ655430 DNM655427:DNM655430 DXI655427:DXI655430 EHE655427:EHE655430 ERA655427:ERA655430 FAW655427:FAW655430 FKS655427:FKS655430 FUO655427:FUO655430 GEK655427:GEK655430 GOG655427:GOG655430 GYC655427:GYC655430 HHY655427:HHY655430 HRU655427:HRU655430 IBQ655427:IBQ655430 ILM655427:ILM655430 IVI655427:IVI655430 JFE655427:JFE655430 JPA655427:JPA655430 JYW655427:JYW655430 KIS655427:KIS655430 KSO655427:KSO655430 LCK655427:LCK655430 LMG655427:LMG655430 LWC655427:LWC655430 MFY655427:MFY655430 MPU655427:MPU655430 MZQ655427:MZQ655430 NJM655427:NJM655430 NTI655427:NTI655430 ODE655427:ODE655430 ONA655427:ONA655430 OWW655427:OWW655430 PGS655427:PGS655430 PQO655427:PQO655430 QAK655427:QAK655430 QKG655427:QKG655430 QUC655427:QUC655430 RDY655427:RDY655430 RNU655427:RNU655430 RXQ655427:RXQ655430 SHM655427:SHM655430 SRI655427:SRI655430 TBE655427:TBE655430 TLA655427:TLA655430 TUW655427:TUW655430 UES655427:UES655430 UOO655427:UOO655430 UYK655427:UYK655430 VIG655427:VIG655430 VSC655427:VSC655430 WBY655427:WBY655430 WLU655427:WLU655430 WVQ655427:WVQ655430 I720963:I720966 JE720963:JE720966 TA720963:TA720966 ACW720963:ACW720966 AMS720963:AMS720966 AWO720963:AWO720966 BGK720963:BGK720966 BQG720963:BQG720966 CAC720963:CAC720966 CJY720963:CJY720966 CTU720963:CTU720966 DDQ720963:DDQ720966 DNM720963:DNM720966 DXI720963:DXI720966 EHE720963:EHE720966 ERA720963:ERA720966 FAW720963:FAW720966 FKS720963:FKS720966 FUO720963:FUO720966 GEK720963:GEK720966 GOG720963:GOG720966 GYC720963:GYC720966 HHY720963:HHY720966 HRU720963:HRU720966 IBQ720963:IBQ720966 ILM720963:ILM720966 IVI720963:IVI720966 JFE720963:JFE720966 JPA720963:JPA720966 JYW720963:JYW720966 KIS720963:KIS720966 KSO720963:KSO720966 LCK720963:LCK720966 LMG720963:LMG720966 LWC720963:LWC720966 MFY720963:MFY720966 MPU720963:MPU720966 MZQ720963:MZQ720966 NJM720963:NJM720966 NTI720963:NTI720966 ODE720963:ODE720966 ONA720963:ONA720966 OWW720963:OWW720966 PGS720963:PGS720966 PQO720963:PQO720966 QAK720963:QAK720966 QKG720963:QKG720966 QUC720963:QUC720966 RDY720963:RDY720966 RNU720963:RNU720966 RXQ720963:RXQ720966 SHM720963:SHM720966 SRI720963:SRI720966 TBE720963:TBE720966 TLA720963:TLA720966 TUW720963:TUW720966 UES720963:UES720966 UOO720963:UOO720966 UYK720963:UYK720966 VIG720963:VIG720966 VSC720963:VSC720966 WBY720963:WBY720966 WLU720963:WLU720966 WVQ720963:WVQ720966 I786499:I786502 JE786499:JE786502 TA786499:TA786502 ACW786499:ACW786502 AMS786499:AMS786502 AWO786499:AWO786502 BGK786499:BGK786502 BQG786499:BQG786502 CAC786499:CAC786502 CJY786499:CJY786502 CTU786499:CTU786502 DDQ786499:DDQ786502 DNM786499:DNM786502 DXI786499:DXI786502 EHE786499:EHE786502 ERA786499:ERA786502 FAW786499:FAW786502 FKS786499:FKS786502 FUO786499:FUO786502 GEK786499:GEK786502 GOG786499:GOG786502 GYC786499:GYC786502 HHY786499:HHY786502 HRU786499:HRU786502 IBQ786499:IBQ786502 ILM786499:ILM786502 IVI786499:IVI786502 JFE786499:JFE786502 JPA786499:JPA786502 JYW786499:JYW786502 KIS786499:KIS786502 KSO786499:KSO786502 LCK786499:LCK786502 LMG786499:LMG786502 LWC786499:LWC786502 MFY786499:MFY786502 MPU786499:MPU786502 MZQ786499:MZQ786502 NJM786499:NJM786502 NTI786499:NTI786502 ODE786499:ODE786502 ONA786499:ONA786502 OWW786499:OWW786502 PGS786499:PGS786502 PQO786499:PQO786502 QAK786499:QAK786502 QKG786499:QKG786502 QUC786499:QUC786502 RDY786499:RDY786502 RNU786499:RNU786502 RXQ786499:RXQ786502 SHM786499:SHM786502 SRI786499:SRI786502 TBE786499:TBE786502 TLA786499:TLA786502 TUW786499:TUW786502 UES786499:UES786502 UOO786499:UOO786502 UYK786499:UYK786502 VIG786499:VIG786502 VSC786499:VSC786502 WBY786499:WBY786502 WLU786499:WLU786502 WVQ786499:WVQ786502 I852035:I852038 JE852035:JE852038 TA852035:TA852038 ACW852035:ACW852038 AMS852035:AMS852038 AWO852035:AWO852038 BGK852035:BGK852038 BQG852035:BQG852038 CAC852035:CAC852038 CJY852035:CJY852038 CTU852035:CTU852038 DDQ852035:DDQ852038 DNM852035:DNM852038 DXI852035:DXI852038 EHE852035:EHE852038 ERA852035:ERA852038 FAW852035:FAW852038 FKS852035:FKS852038 FUO852035:FUO852038 GEK852035:GEK852038 GOG852035:GOG852038 GYC852035:GYC852038 HHY852035:HHY852038 HRU852035:HRU852038 IBQ852035:IBQ852038 ILM852035:ILM852038 IVI852035:IVI852038 JFE852035:JFE852038 JPA852035:JPA852038 JYW852035:JYW852038 KIS852035:KIS852038 KSO852035:KSO852038 LCK852035:LCK852038 LMG852035:LMG852038 LWC852035:LWC852038 MFY852035:MFY852038 MPU852035:MPU852038 MZQ852035:MZQ852038 NJM852035:NJM852038 NTI852035:NTI852038 ODE852035:ODE852038 ONA852035:ONA852038 OWW852035:OWW852038 PGS852035:PGS852038 PQO852035:PQO852038 QAK852035:QAK852038 QKG852035:QKG852038 QUC852035:QUC852038 RDY852035:RDY852038 RNU852035:RNU852038 RXQ852035:RXQ852038 SHM852035:SHM852038 SRI852035:SRI852038 TBE852035:TBE852038 TLA852035:TLA852038 TUW852035:TUW852038 UES852035:UES852038 UOO852035:UOO852038 UYK852035:UYK852038 VIG852035:VIG852038 VSC852035:VSC852038 WBY852035:WBY852038 WLU852035:WLU852038 WVQ852035:WVQ852038 I917571:I917574 JE917571:JE917574 TA917571:TA917574 ACW917571:ACW917574 AMS917571:AMS917574 AWO917571:AWO917574 BGK917571:BGK917574 BQG917571:BQG917574 CAC917571:CAC917574 CJY917571:CJY917574 CTU917571:CTU917574 DDQ917571:DDQ917574 DNM917571:DNM917574 DXI917571:DXI917574 EHE917571:EHE917574 ERA917571:ERA917574 FAW917571:FAW917574 FKS917571:FKS917574 FUO917571:FUO917574 GEK917571:GEK917574 GOG917571:GOG917574 GYC917571:GYC917574 HHY917571:HHY917574 HRU917571:HRU917574 IBQ917571:IBQ917574 ILM917571:ILM917574 IVI917571:IVI917574 JFE917571:JFE917574 JPA917571:JPA917574 JYW917571:JYW917574 KIS917571:KIS917574 KSO917571:KSO917574 LCK917571:LCK917574 LMG917571:LMG917574 LWC917571:LWC917574 MFY917571:MFY917574 MPU917571:MPU917574 MZQ917571:MZQ917574 NJM917571:NJM917574 NTI917571:NTI917574 ODE917571:ODE917574 ONA917571:ONA917574 OWW917571:OWW917574 PGS917571:PGS917574 PQO917571:PQO917574 QAK917571:QAK917574 QKG917571:QKG917574 QUC917571:QUC917574 RDY917571:RDY917574 RNU917571:RNU917574 RXQ917571:RXQ917574 SHM917571:SHM917574 SRI917571:SRI917574 TBE917571:TBE917574 TLA917571:TLA917574 TUW917571:TUW917574 UES917571:UES917574 UOO917571:UOO917574 UYK917571:UYK917574 VIG917571:VIG917574 VSC917571:VSC917574 WBY917571:WBY917574 WLU917571:WLU917574 WVQ917571:WVQ917574 I983107:I983110 JE983107:JE983110 TA983107:TA983110 ACW983107:ACW983110 AMS983107:AMS983110 AWO983107:AWO983110 BGK983107:BGK983110 BQG983107:BQG983110 CAC983107:CAC983110 CJY983107:CJY983110 CTU983107:CTU983110 DDQ983107:DDQ983110 DNM983107:DNM983110 DXI983107:DXI983110 EHE983107:EHE983110 ERA983107:ERA983110 FAW983107:FAW983110 FKS983107:FKS983110 FUO983107:FUO983110 GEK983107:GEK983110 GOG983107:GOG983110 GYC983107:GYC983110 HHY983107:HHY983110 HRU983107:HRU983110 IBQ983107:IBQ983110 ILM983107:ILM983110 IVI983107:IVI983110 JFE983107:JFE983110 JPA983107:JPA983110 JYW983107:JYW983110 KIS983107:KIS983110 KSO983107:KSO983110 LCK983107:LCK983110 LMG983107:LMG983110 LWC983107:LWC983110 MFY983107:MFY983110 MPU983107:MPU983110 MZQ983107:MZQ983110 NJM983107:NJM983110 NTI983107:NTI983110 ODE983107:ODE983110 ONA983107:ONA983110 OWW983107:OWW983110 PGS983107:PGS983110 PQO983107:PQO983110 QAK983107:QAK983110 QKG983107:QKG983110 QUC983107:QUC983110 RDY983107:RDY983110 RNU983107:RNU983110 RXQ983107:RXQ983110 SHM983107:SHM983110 SRI983107:SRI983110 TBE983107:TBE983110 TLA983107:TLA983110 TUW983107:TUW983110 UES983107:UES983110 UOO983107:UOO983110 UYK983107:UYK983110 VIG983107:VIG983110 VSC983107:VSC983110 WBY983107:WBY983110 WLU983107:WLU983110 WVQ983107:WVQ983110 WLR983119:WLR983120 JB34:JB56 SX34:SX56 ACT34:ACT56 AMP34:AMP56 AWL34:AWL56 BGH34:BGH56 BQD34:BQD56 BZZ34:BZZ56 CJV34:CJV56 CTR34:CTR56 DDN34:DDN56 DNJ34:DNJ56 DXF34:DXF56 EHB34:EHB56 EQX34:EQX56 FAT34:FAT56 FKP34:FKP56 FUL34:FUL56 GEH34:GEH56 GOD34:GOD56 GXZ34:GXZ56 HHV34:HHV56 HRR34:HRR56 IBN34:IBN56 ILJ34:ILJ56 IVF34:IVF56 JFB34:JFB56 JOX34:JOX56 JYT34:JYT56 KIP34:KIP56 KSL34:KSL56 LCH34:LCH56 LMD34:LMD56 LVZ34:LVZ56 MFV34:MFV56 MPR34:MPR56 MZN34:MZN56 NJJ34:NJJ56 NTF34:NTF56 ODB34:ODB56 OMX34:OMX56 OWT34:OWT56 PGP34:PGP56 PQL34:PQL56 QAH34:QAH56 QKD34:QKD56 QTZ34:QTZ56 RDV34:RDV56 RNR34:RNR56 RXN34:RXN56 SHJ34:SHJ56 SRF34:SRF56 TBB34:TBB56 TKX34:TKX56 TUT34:TUT56 UEP34:UEP56 UOL34:UOL56 UYH34:UYH56 VID34:VID56 VRZ34:VRZ56 WBV34:WBV56 WLR34:WLR56 WVN34:WVN56 F65570:F65592 JB65570:JB65592 SX65570:SX65592 ACT65570:ACT65592 AMP65570:AMP65592 AWL65570:AWL65592 BGH65570:BGH65592 BQD65570:BQD65592 BZZ65570:BZZ65592 CJV65570:CJV65592 CTR65570:CTR65592 DDN65570:DDN65592 DNJ65570:DNJ65592 DXF65570:DXF65592 EHB65570:EHB65592 EQX65570:EQX65592 FAT65570:FAT65592 FKP65570:FKP65592 FUL65570:FUL65592 GEH65570:GEH65592 GOD65570:GOD65592 GXZ65570:GXZ65592 HHV65570:HHV65592 HRR65570:HRR65592 IBN65570:IBN65592 ILJ65570:ILJ65592 IVF65570:IVF65592 JFB65570:JFB65592 JOX65570:JOX65592 JYT65570:JYT65592 KIP65570:KIP65592 KSL65570:KSL65592 LCH65570:LCH65592 LMD65570:LMD65592 LVZ65570:LVZ65592 MFV65570:MFV65592 MPR65570:MPR65592 MZN65570:MZN65592 NJJ65570:NJJ65592 NTF65570:NTF65592 ODB65570:ODB65592 OMX65570:OMX65592 OWT65570:OWT65592 PGP65570:PGP65592 PQL65570:PQL65592 QAH65570:QAH65592 QKD65570:QKD65592 QTZ65570:QTZ65592 RDV65570:RDV65592 RNR65570:RNR65592 RXN65570:RXN65592 SHJ65570:SHJ65592 SRF65570:SRF65592 TBB65570:TBB65592 TKX65570:TKX65592 TUT65570:TUT65592 UEP65570:UEP65592 UOL65570:UOL65592 UYH65570:UYH65592 VID65570:VID65592 VRZ65570:VRZ65592 WBV65570:WBV65592 WLR65570:WLR65592 WVN65570:WVN65592 F131106:F131128 JB131106:JB131128 SX131106:SX131128 ACT131106:ACT131128 AMP131106:AMP131128 AWL131106:AWL131128 BGH131106:BGH131128 BQD131106:BQD131128 BZZ131106:BZZ131128 CJV131106:CJV131128 CTR131106:CTR131128 DDN131106:DDN131128 DNJ131106:DNJ131128 DXF131106:DXF131128 EHB131106:EHB131128 EQX131106:EQX131128 FAT131106:FAT131128 FKP131106:FKP131128 FUL131106:FUL131128 GEH131106:GEH131128 GOD131106:GOD131128 GXZ131106:GXZ131128 HHV131106:HHV131128 HRR131106:HRR131128 IBN131106:IBN131128 ILJ131106:ILJ131128 IVF131106:IVF131128 JFB131106:JFB131128 JOX131106:JOX131128 JYT131106:JYT131128 KIP131106:KIP131128 KSL131106:KSL131128 LCH131106:LCH131128 LMD131106:LMD131128 LVZ131106:LVZ131128 MFV131106:MFV131128 MPR131106:MPR131128 MZN131106:MZN131128 NJJ131106:NJJ131128 NTF131106:NTF131128 ODB131106:ODB131128 OMX131106:OMX131128 OWT131106:OWT131128 PGP131106:PGP131128 PQL131106:PQL131128 QAH131106:QAH131128 QKD131106:QKD131128 QTZ131106:QTZ131128 RDV131106:RDV131128 RNR131106:RNR131128 RXN131106:RXN131128 SHJ131106:SHJ131128 SRF131106:SRF131128 TBB131106:TBB131128 TKX131106:TKX131128 TUT131106:TUT131128 UEP131106:UEP131128 UOL131106:UOL131128 UYH131106:UYH131128 VID131106:VID131128 VRZ131106:VRZ131128 WBV131106:WBV131128 WLR131106:WLR131128 WVN131106:WVN131128 F196642:F196664 JB196642:JB196664 SX196642:SX196664 ACT196642:ACT196664 AMP196642:AMP196664 AWL196642:AWL196664 BGH196642:BGH196664 BQD196642:BQD196664 BZZ196642:BZZ196664 CJV196642:CJV196664 CTR196642:CTR196664 DDN196642:DDN196664 DNJ196642:DNJ196664 DXF196642:DXF196664 EHB196642:EHB196664 EQX196642:EQX196664 FAT196642:FAT196664 FKP196642:FKP196664 FUL196642:FUL196664 GEH196642:GEH196664 GOD196642:GOD196664 GXZ196642:GXZ196664 HHV196642:HHV196664 HRR196642:HRR196664 IBN196642:IBN196664 ILJ196642:ILJ196664 IVF196642:IVF196664 JFB196642:JFB196664 JOX196642:JOX196664 JYT196642:JYT196664 KIP196642:KIP196664 KSL196642:KSL196664 LCH196642:LCH196664 LMD196642:LMD196664 LVZ196642:LVZ196664 MFV196642:MFV196664 MPR196642:MPR196664 MZN196642:MZN196664 NJJ196642:NJJ196664 NTF196642:NTF196664 ODB196642:ODB196664 OMX196642:OMX196664 OWT196642:OWT196664 PGP196642:PGP196664 PQL196642:PQL196664 QAH196642:QAH196664 QKD196642:QKD196664 QTZ196642:QTZ196664 RDV196642:RDV196664 RNR196642:RNR196664 RXN196642:RXN196664 SHJ196642:SHJ196664 SRF196642:SRF196664 TBB196642:TBB196664 TKX196642:TKX196664 TUT196642:TUT196664 UEP196642:UEP196664 UOL196642:UOL196664 UYH196642:UYH196664 VID196642:VID196664 VRZ196642:VRZ196664 WBV196642:WBV196664 WLR196642:WLR196664 WVN196642:WVN196664 F262178:F262200 JB262178:JB262200 SX262178:SX262200 ACT262178:ACT262200 AMP262178:AMP262200 AWL262178:AWL262200 BGH262178:BGH262200 BQD262178:BQD262200 BZZ262178:BZZ262200 CJV262178:CJV262200 CTR262178:CTR262200 DDN262178:DDN262200 DNJ262178:DNJ262200 DXF262178:DXF262200 EHB262178:EHB262200 EQX262178:EQX262200 FAT262178:FAT262200 FKP262178:FKP262200 FUL262178:FUL262200 GEH262178:GEH262200 GOD262178:GOD262200 GXZ262178:GXZ262200 HHV262178:HHV262200 HRR262178:HRR262200 IBN262178:IBN262200 ILJ262178:ILJ262200 IVF262178:IVF262200 JFB262178:JFB262200 JOX262178:JOX262200 JYT262178:JYT262200 KIP262178:KIP262200 KSL262178:KSL262200 LCH262178:LCH262200 LMD262178:LMD262200 LVZ262178:LVZ262200 MFV262178:MFV262200 MPR262178:MPR262200 MZN262178:MZN262200 NJJ262178:NJJ262200 NTF262178:NTF262200 ODB262178:ODB262200 OMX262178:OMX262200 OWT262178:OWT262200 PGP262178:PGP262200 PQL262178:PQL262200 QAH262178:QAH262200 QKD262178:QKD262200 QTZ262178:QTZ262200 RDV262178:RDV262200 RNR262178:RNR262200 RXN262178:RXN262200 SHJ262178:SHJ262200 SRF262178:SRF262200 TBB262178:TBB262200 TKX262178:TKX262200 TUT262178:TUT262200 UEP262178:UEP262200 UOL262178:UOL262200 UYH262178:UYH262200 VID262178:VID262200 VRZ262178:VRZ262200 WBV262178:WBV262200 WLR262178:WLR262200 WVN262178:WVN262200 F327714:F327736 JB327714:JB327736 SX327714:SX327736 ACT327714:ACT327736 AMP327714:AMP327736 AWL327714:AWL327736 BGH327714:BGH327736 BQD327714:BQD327736 BZZ327714:BZZ327736 CJV327714:CJV327736 CTR327714:CTR327736 DDN327714:DDN327736 DNJ327714:DNJ327736 DXF327714:DXF327736 EHB327714:EHB327736 EQX327714:EQX327736 FAT327714:FAT327736 FKP327714:FKP327736 FUL327714:FUL327736 GEH327714:GEH327736 GOD327714:GOD327736 GXZ327714:GXZ327736 HHV327714:HHV327736 HRR327714:HRR327736 IBN327714:IBN327736 ILJ327714:ILJ327736 IVF327714:IVF327736 JFB327714:JFB327736 JOX327714:JOX327736 JYT327714:JYT327736 KIP327714:KIP327736 KSL327714:KSL327736 LCH327714:LCH327736 LMD327714:LMD327736 LVZ327714:LVZ327736 MFV327714:MFV327736 MPR327714:MPR327736 MZN327714:MZN327736 NJJ327714:NJJ327736 NTF327714:NTF327736 ODB327714:ODB327736 OMX327714:OMX327736 OWT327714:OWT327736 PGP327714:PGP327736 PQL327714:PQL327736 QAH327714:QAH327736 QKD327714:QKD327736 QTZ327714:QTZ327736 RDV327714:RDV327736 RNR327714:RNR327736 RXN327714:RXN327736 SHJ327714:SHJ327736 SRF327714:SRF327736 TBB327714:TBB327736 TKX327714:TKX327736 TUT327714:TUT327736 UEP327714:UEP327736 UOL327714:UOL327736 UYH327714:UYH327736 VID327714:VID327736 VRZ327714:VRZ327736 WBV327714:WBV327736 WLR327714:WLR327736 WVN327714:WVN327736 F393250:F393272 JB393250:JB393272 SX393250:SX393272 ACT393250:ACT393272 AMP393250:AMP393272 AWL393250:AWL393272 BGH393250:BGH393272 BQD393250:BQD393272 BZZ393250:BZZ393272 CJV393250:CJV393272 CTR393250:CTR393272 DDN393250:DDN393272 DNJ393250:DNJ393272 DXF393250:DXF393272 EHB393250:EHB393272 EQX393250:EQX393272 FAT393250:FAT393272 FKP393250:FKP393272 FUL393250:FUL393272 GEH393250:GEH393272 GOD393250:GOD393272 GXZ393250:GXZ393272 HHV393250:HHV393272 HRR393250:HRR393272 IBN393250:IBN393272 ILJ393250:ILJ393272 IVF393250:IVF393272 JFB393250:JFB393272 JOX393250:JOX393272 JYT393250:JYT393272 KIP393250:KIP393272 KSL393250:KSL393272 LCH393250:LCH393272 LMD393250:LMD393272 LVZ393250:LVZ393272 MFV393250:MFV393272 MPR393250:MPR393272 MZN393250:MZN393272 NJJ393250:NJJ393272 NTF393250:NTF393272 ODB393250:ODB393272 OMX393250:OMX393272 OWT393250:OWT393272 PGP393250:PGP393272 PQL393250:PQL393272 QAH393250:QAH393272 QKD393250:QKD393272 QTZ393250:QTZ393272 RDV393250:RDV393272 RNR393250:RNR393272 RXN393250:RXN393272 SHJ393250:SHJ393272 SRF393250:SRF393272 TBB393250:TBB393272 TKX393250:TKX393272 TUT393250:TUT393272 UEP393250:UEP393272 UOL393250:UOL393272 UYH393250:UYH393272 VID393250:VID393272 VRZ393250:VRZ393272 WBV393250:WBV393272 WLR393250:WLR393272 WVN393250:WVN393272 F458786:F458808 JB458786:JB458808 SX458786:SX458808 ACT458786:ACT458808 AMP458786:AMP458808 AWL458786:AWL458808 BGH458786:BGH458808 BQD458786:BQD458808 BZZ458786:BZZ458808 CJV458786:CJV458808 CTR458786:CTR458808 DDN458786:DDN458808 DNJ458786:DNJ458808 DXF458786:DXF458808 EHB458786:EHB458808 EQX458786:EQX458808 FAT458786:FAT458808 FKP458786:FKP458808 FUL458786:FUL458808 GEH458786:GEH458808 GOD458786:GOD458808 GXZ458786:GXZ458808 HHV458786:HHV458808 HRR458786:HRR458808 IBN458786:IBN458808 ILJ458786:ILJ458808 IVF458786:IVF458808 JFB458786:JFB458808 JOX458786:JOX458808 JYT458786:JYT458808 KIP458786:KIP458808 KSL458786:KSL458808 LCH458786:LCH458808 LMD458786:LMD458808 LVZ458786:LVZ458808 MFV458786:MFV458808 MPR458786:MPR458808 MZN458786:MZN458808 NJJ458786:NJJ458808 NTF458786:NTF458808 ODB458786:ODB458808 OMX458786:OMX458808 OWT458786:OWT458808 PGP458786:PGP458808 PQL458786:PQL458808 QAH458786:QAH458808 QKD458786:QKD458808 QTZ458786:QTZ458808 RDV458786:RDV458808 RNR458786:RNR458808 RXN458786:RXN458808 SHJ458786:SHJ458808 SRF458786:SRF458808 TBB458786:TBB458808 TKX458786:TKX458808 TUT458786:TUT458808 UEP458786:UEP458808 UOL458786:UOL458808 UYH458786:UYH458808 VID458786:VID458808 VRZ458786:VRZ458808 WBV458786:WBV458808 WLR458786:WLR458808 WVN458786:WVN458808 F524322:F524344 JB524322:JB524344 SX524322:SX524344 ACT524322:ACT524344 AMP524322:AMP524344 AWL524322:AWL524344 BGH524322:BGH524344 BQD524322:BQD524344 BZZ524322:BZZ524344 CJV524322:CJV524344 CTR524322:CTR524344 DDN524322:DDN524344 DNJ524322:DNJ524344 DXF524322:DXF524344 EHB524322:EHB524344 EQX524322:EQX524344 FAT524322:FAT524344 FKP524322:FKP524344 FUL524322:FUL524344 GEH524322:GEH524344 GOD524322:GOD524344 GXZ524322:GXZ524344 HHV524322:HHV524344 HRR524322:HRR524344 IBN524322:IBN524344 ILJ524322:ILJ524344 IVF524322:IVF524344 JFB524322:JFB524344 JOX524322:JOX524344 JYT524322:JYT524344 KIP524322:KIP524344 KSL524322:KSL524344 LCH524322:LCH524344 LMD524322:LMD524344 LVZ524322:LVZ524344 MFV524322:MFV524344 MPR524322:MPR524344 MZN524322:MZN524344 NJJ524322:NJJ524344 NTF524322:NTF524344 ODB524322:ODB524344 OMX524322:OMX524344 OWT524322:OWT524344 PGP524322:PGP524344 PQL524322:PQL524344 QAH524322:QAH524344 QKD524322:QKD524344 QTZ524322:QTZ524344 RDV524322:RDV524344 RNR524322:RNR524344 RXN524322:RXN524344 SHJ524322:SHJ524344 SRF524322:SRF524344 TBB524322:TBB524344 TKX524322:TKX524344 TUT524322:TUT524344 UEP524322:UEP524344 UOL524322:UOL524344 UYH524322:UYH524344 VID524322:VID524344 VRZ524322:VRZ524344 WBV524322:WBV524344 WLR524322:WLR524344 WVN524322:WVN524344 F589858:F589880 JB589858:JB589880 SX589858:SX589880 ACT589858:ACT589880 AMP589858:AMP589880 AWL589858:AWL589880 BGH589858:BGH589880 BQD589858:BQD589880 BZZ589858:BZZ589880 CJV589858:CJV589880 CTR589858:CTR589880 DDN589858:DDN589880 DNJ589858:DNJ589880 DXF589858:DXF589880 EHB589858:EHB589880 EQX589858:EQX589880 FAT589858:FAT589880 FKP589858:FKP589880 FUL589858:FUL589880 GEH589858:GEH589880 GOD589858:GOD589880 GXZ589858:GXZ589880 HHV589858:HHV589880 HRR589858:HRR589880 IBN589858:IBN589880 ILJ589858:ILJ589880 IVF589858:IVF589880 JFB589858:JFB589880 JOX589858:JOX589880 JYT589858:JYT589880 KIP589858:KIP589880 KSL589858:KSL589880 LCH589858:LCH589880 LMD589858:LMD589880 LVZ589858:LVZ589880 MFV589858:MFV589880 MPR589858:MPR589880 MZN589858:MZN589880 NJJ589858:NJJ589880 NTF589858:NTF589880 ODB589858:ODB589880 OMX589858:OMX589880 OWT589858:OWT589880 PGP589858:PGP589880 PQL589858:PQL589880 QAH589858:QAH589880 QKD589858:QKD589880 QTZ589858:QTZ589880 RDV589858:RDV589880 RNR589858:RNR589880 RXN589858:RXN589880 SHJ589858:SHJ589880 SRF589858:SRF589880 TBB589858:TBB589880 TKX589858:TKX589880 TUT589858:TUT589880 UEP589858:UEP589880 UOL589858:UOL589880 UYH589858:UYH589880 VID589858:VID589880 VRZ589858:VRZ589880 WBV589858:WBV589880 WLR589858:WLR589880 WVN589858:WVN589880 F655394:F655416 JB655394:JB655416 SX655394:SX655416 ACT655394:ACT655416 AMP655394:AMP655416 AWL655394:AWL655416 BGH655394:BGH655416 BQD655394:BQD655416 BZZ655394:BZZ655416 CJV655394:CJV655416 CTR655394:CTR655416 DDN655394:DDN655416 DNJ655394:DNJ655416 DXF655394:DXF655416 EHB655394:EHB655416 EQX655394:EQX655416 FAT655394:FAT655416 FKP655394:FKP655416 FUL655394:FUL655416 GEH655394:GEH655416 GOD655394:GOD655416 GXZ655394:GXZ655416 HHV655394:HHV655416 HRR655394:HRR655416 IBN655394:IBN655416 ILJ655394:ILJ655416 IVF655394:IVF655416 JFB655394:JFB655416 JOX655394:JOX655416 JYT655394:JYT655416 KIP655394:KIP655416 KSL655394:KSL655416 LCH655394:LCH655416 LMD655394:LMD655416 LVZ655394:LVZ655416 MFV655394:MFV655416 MPR655394:MPR655416 MZN655394:MZN655416 NJJ655394:NJJ655416 NTF655394:NTF655416 ODB655394:ODB655416 OMX655394:OMX655416 OWT655394:OWT655416 PGP655394:PGP655416 PQL655394:PQL655416 QAH655394:QAH655416 QKD655394:QKD655416 QTZ655394:QTZ655416 RDV655394:RDV655416 RNR655394:RNR655416 RXN655394:RXN655416 SHJ655394:SHJ655416 SRF655394:SRF655416 TBB655394:TBB655416 TKX655394:TKX655416 TUT655394:TUT655416 UEP655394:UEP655416 UOL655394:UOL655416 UYH655394:UYH655416 VID655394:VID655416 VRZ655394:VRZ655416 WBV655394:WBV655416 WLR655394:WLR655416 WVN655394:WVN655416 F720930:F720952 JB720930:JB720952 SX720930:SX720952 ACT720930:ACT720952 AMP720930:AMP720952 AWL720930:AWL720952 BGH720930:BGH720952 BQD720930:BQD720952 BZZ720930:BZZ720952 CJV720930:CJV720952 CTR720930:CTR720952 DDN720930:DDN720952 DNJ720930:DNJ720952 DXF720930:DXF720952 EHB720930:EHB720952 EQX720930:EQX720952 FAT720930:FAT720952 FKP720930:FKP720952 FUL720930:FUL720952 GEH720930:GEH720952 GOD720930:GOD720952 GXZ720930:GXZ720952 HHV720930:HHV720952 HRR720930:HRR720952 IBN720930:IBN720952 ILJ720930:ILJ720952 IVF720930:IVF720952 JFB720930:JFB720952 JOX720930:JOX720952 JYT720930:JYT720952 KIP720930:KIP720952 KSL720930:KSL720952 LCH720930:LCH720952 LMD720930:LMD720952 LVZ720930:LVZ720952 MFV720930:MFV720952 MPR720930:MPR720952 MZN720930:MZN720952 NJJ720930:NJJ720952 NTF720930:NTF720952 ODB720930:ODB720952 OMX720930:OMX720952 OWT720930:OWT720952 PGP720930:PGP720952 PQL720930:PQL720952 QAH720930:QAH720952 QKD720930:QKD720952 QTZ720930:QTZ720952 RDV720930:RDV720952 RNR720930:RNR720952 RXN720930:RXN720952 SHJ720930:SHJ720952 SRF720930:SRF720952 TBB720930:TBB720952 TKX720930:TKX720952 TUT720930:TUT720952 UEP720930:UEP720952 UOL720930:UOL720952 UYH720930:UYH720952 VID720930:VID720952 VRZ720930:VRZ720952 WBV720930:WBV720952 WLR720930:WLR720952 WVN720930:WVN720952 F786466:F786488 JB786466:JB786488 SX786466:SX786488 ACT786466:ACT786488 AMP786466:AMP786488 AWL786466:AWL786488 BGH786466:BGH786488 BQD786466:BQD786488 BZZ786466:BZZ786488 CJV786466:CJV786488 CTR786466:CTR786488 DDN786466:DDN786488 DNJ786466:DNJ786488 DXF786466:DXF786488 EHB786466:EHB786488 EQX786466:EQX786488 FAT786466:FAT786488 FKP786466:FKP786488 FUL786466:FUL786488 GEH786466:GEH786488 GOD786466:GOD786488 GXZ786466:GXZ786488 HHV786466:HHV786488 HRR786466:HRR786488 IBN786466:IBN786488 ILJ786466:ILJ786488 IVF786466:IVF786488 JFB786466:JFB786488 JOX786466:JOX786488 JYT786466:JYT786488 KIP786466:KIP786488 KSL786466:KSL786488 LCH786466:LCH786488 LMD786466:LMD786488 LVZ786466:LVZ786488 MFV786466:MFV786488 MPR786466:MPR786488 MZN786466:MZN786488 NJJ786466:NJJ786488 NTF786466:NTF786488 ODB786466:ODB786488 OMX786466:OMX786488 OWT786466:OWT786488 PGP786466:PGP786488 PQL786466:PQL786488 QAH786466:QAH786488 QKD786466:QKD786488 QTZ786466:QTZ786488 RDV786466:RDV786488 RNR786466:RNR786488 RXN786466:RXN786488 SHJ786466:SHJ786488 SRF786466:SRF786488 TBB786466:TBB786488 TKX786466:TKX786488 TUT786466:TUT786488 UEP786466:UEP786488 UOL786466:UOL786488 UYH786466:UYH786488 VID786466:VID786488 VRZ786466:VRZ786488 WBV786466:WBV786488 WLR786466:WLR786488 WVN786466:WVN786488 F852002:F852024 JB852002:JB852024 SX852002:SX852024 ACT852002:ACT852024 AMP852002:AMP852024 AWL852002:AWL852024 BGH852002:BGH852024 BQD852002:BQD852024 BZZ852002:BZZ852024 CJV852002:CJV852024 CTR852002:CTR852024 DDN852002:DDN852024 DNJ852002:DNJ852024 DXF852002:DXF852024 EHB852002:EHB852024 EQX852002:EQX852024 FAT852002:FAT852024 FKP852002:FKP852024 FUL852002:FUL852024 GEH852002:GEH852024 GOD852002:GOD852024 GXZ852002:GXZ852024 HHV852002:HHV852024 HRR852002:HRR852024 IBN852002:IBN852024 ILJ852002:ILJ852024 IVF852002:IVF852024 JFB852002:JFB852024 JOX852002:JOX852024 JYT852002:JYT852024 KIP852002:KIP852024 KSL852002:KSL852024 LCH852002:LCH852024 LMD852002:LMD852024 LVZ852002:LVZ852024 MFV852002:MFV852024 MPR852002:MPR852024 MZN852002:MZN852024 NJJ852002:NJJ852024 NTF852002:NTF852024 ODB852002:ODB852024 OMX852002:OMX852024 OWT852002:OWT852024 PGP852002:PGP852024 PQL852002:PQL852024 QAH852002:QAH852024 QKD852002:QKD852024 QTZ852002:QTZ852024 RDV852002:RDV852024 RNR852002:RNR852024 RXN852002:RXN852024 SHJ852002:SHJ852024 SRF852002:SRF852024 TBB852002:TBB852024 TKX852002:TKX852024 TUT852002:TUT852024 UEP852002:UEP852024 UOL852002:UOL852024 UYH852002:UYH852024 VID852002:VID852024 VRZ852002:VRZ852024 WBV852002:WBV852024 WLR852002:WLR852024 WVN852002:WVN852024 F917538:F917560 JB917538:JB917560 SX917538:SX917560 ACT917538:ACT917560 AMP917538:AMP917560 AWL917538:AWL917560 BGH917538:BGH917560 BQD917538:BQD917560 BZZ917538:BZZ917560 CJV917538:CJV917560 CTR917538:CTR917560 DDN917538:DDN917560 DNJ917538:DNJ917560 DXF917538:DXF917560 EHB917538:EHB917560 EQX917538:EQX917560 FAT917538:FAT917560 FKP917538:FKP917560 FUL917538:FUL917560 GEH917538:GEH917560 GOD917538:GOD917560 GXZ917538:GXZ917560 HHV917538:HHV917560 HRR917538:HRR917560 IBN917538:IBN917560 ILJ917538:ILJ917560 IVF917538:IVF917560 JFB917538:JFB917560 JOX917538:JOX917560 JYT917538:JYT917560 KIP917538:KIP917560 KSL917538:KSL917560 LCH917538:LCH917560 LMD917538:LMD917560 LVZ917538:LVZ917560 MFV917538:MFV917560 MPR917538:MPR917560 MZN917538:MZN917560 NJJ917538:NJJ917560 NTF917538:NTF917560 ODB917538:ODB917560 OMX917538:OMX917560 OWT917538:OWT917560 PGP917538:PGP917560 PQL917538:PQL917560 QAH917538:QAH917560 QKD917538:QKD917560 QTZ917538:QTZ917560 RDV917538:RDV917560 RNR917538:RNR917560 RXN917538:RXN917560 SHJ917538:SHJ917560 SRF917538:SRF917560 TBB917538:TBB917560 TKX917538:TKX917560 TUT917538:TUT917560 UEP917538:UEP917560 UOL917538:UOL917560 UYH917538:UYH917560 VID917538:VID917560 VRZ917538:VRZ917560 WBV917538:WBV917560 WLR917538:WLR917560 WVN917538:WVN917560 F983074:F983096 JB983074:JB983096 SX983074:SX983096 ACT983074:ACT983096 AMP983074:AMP983096 AWL983074:AWL983096 BGH983074:BGH983096 BQD983074:BQD983096 BZZ983074:BZZ983096 CJV983074:CJV983096 CTR983074:CTR983096 DDN983074:DDN983096 DNJ983074:DNJ983096 DXF983074:DXF983096 EHB983074:EHB983096 EQX983074:EQX983096 FAT983074:FAT983096 FKP983074:FKP983096 FUL983074:FUL983096 GEH983074:GEH983096 GOD983074:GOD983096 GXZ983074:GXZ983096 HHV983074:HHV983096 HRR983074:HRR983096 IBN983074:IBN983096 ILJ983074:ILJ983096 IVF983074:IVF983096 JFB983074:JFB983096 JOX983074:JOX983096 JYT983074:JYT983096 KIP983074:KIP983096 KSL983074:KSL983096 LCH983074:LCH983096 LMD983074:LMD983096 LVZ983074:LVZ983096 MFV983074:MFV983096 MPR983074:MPR983096 MZN983074:MZN983096 NJJ983074:NJJ983096 NTF983074:NTF983096 ODB983074:ODB983096 OMX983074:OMX983096 OWT983074:OWT983096 PGP983074:PGP983096 PQL983074:PQL983096 QAH983074:QAH983096 QKD983074:QKD983096 QTZ983074:QTZ983096 RDV983074:RDV983096 RNR983074:RNR983096 RXN983074:RXN983096 SHJ983074:SHJ983096 SRF983074:SRF983096 TBB983074:TBB983096 TKX983074:TKX983096 TUT983074:TUT983096 UEP983074:UEP983096 UOL983074:UOL983096 UYH983074:UYH983096 VID983074:VID983096 VRZ983074:VRZ983096 WBV983074:WBV983096 WLR983074:WLR983096 WVN983074:WVN983096 F14:F26 JB14:JB26 SX14:SX26 ACT14:ACT26 AMP14:AMP26 AWL14:AWL26 BGH14:BGH26 BQD14:BQD26 BZZ14:BZZ26 CJV14:CJV26 CTR14:CTR26 DDN14:DDN26 DNJ14:DNJ26 DXF14:DXF26 EHB14:EHB26 EQX14:EQX26 FAT14:FAT26 FKP14:FKP26 FUL14:FUL26 GEH14:GEH26 GOD14:GOD26 GXZ14:GXZ26 HHV14:HHV26 HRR14:HRR26 IBN14:IBN26 ILJ14:ILJ26 IVF14:IVF26 JFB14:JFB26 JOX14:JOX26 JYT14:JYT26 KIP14:KIP26 KSL14:KSL26 LCH14:LCH26 LMD14:LMD26 LVZ14:LVZ26 MFV14:MFV26 MPR14:MPR26 MZN14:MZN26 NJJ14:NJJ26 NTF14:NTF26 ODB14:ODB26 OMX14:OMX26 OWT14:OWT26 PGP14:PGP26 PQL14:PQL26 QAH14:QAH26 QKD14:QKD26 QTZ14:QTZ26 RDV14:RDV26 RNR14:RNR26 RXN14:RXN26 SHJ14:SHJ26 SRF14:SRF26 TBB14:TBB26 TKX14:TKX26 TUT14:TUT26 UEP14:UEP26 UOL14:UOL26 UYH14:UYH26 VID14:VID26 VRZ14:VRZ26 WBV14:WBV26 WLR14:WLR26 WVN14:WVN26 F65550:F65562 JB65550:JB65562 SX65550:SX65562 ACT65550:ACT65562 AMP65550:AMP65562 AWL65550:AWL65562 BGH65550:BGH65562 BQD65550:BQD65562 BZZ65550:BZZ65562 CJV65550:CJV65562 CTR65550:CTR65562 DDN65550:DDN65562 DNJ65550:DNJ65562 DXF65550:DXF65562 EHB65550:EHB65562 EQX65550:EQX65562 FAT65550:FAT65562 FKP65550:FKP65562 FUL65550:FUL65562 GEH65550:GEH65562 GOD65550:GOD65562 GXZ65550:GXZ65562 HHV65550:HHV65562 HRR65550:HRR65562 IBN65550:IBN65562 ILJ65550:ILJ65562 IVF65550:IVF65562 JFB65550:JFB65562 JOX65550:JOX65562 JYT65550:JYT65562 KIP65550:KIP65562 KSL65550:KSL65562 LCH65550:LCH65562 LMD65550:LMD65562 LVZ65550:LVZ65562 MFV65550:MFV65562 MPR65550:MPR65562 MZN65550:MZN65562 NJJ65550:NJJ65562 NTF65550:NTF65562 ODB65550:ODB65562 OMX65550:OMX65562 OWT65550:OWT65562 PGP65550:PGP65562 PQL65550:PQL65562 QAH65550:QAH65562 QKD65550:QKD65562 QTZ65550:QTZ65562 RDV65550:RDV65562 RNR65550:RNR65562 RXN65550:RXN65562 SHJ65550:SHJ65562 SRF65550:SRF65562 TBB65550:TBB65562 TKX65550:TKX65562 TUT65550:TUT65562 UEP65550:UEP65562 UOL65550:UOL65562 UYH65550:UYH65562 VID65550:VID65562 VRZ65550:VRZ65562 WBV65550:WBV65562 WLR65550:WLR65562 WVN65550:WVN65562 F131086:F131098 JB131086:JB131098 SX131086:SX131098 ACT131086:ACT131098 AMP131086:AMP131098 AWL131086:AWL131098 BGH131086:BGH131098 BQD131086:BQD131098 BZZ131086:BZZ131098 CJV131086:CJV131098 CTR131086:CTR131098 DDN131086:DDN131098 DNJ131086:DNJ131098 DXF131086:DXF131098 EHB131086:EHB131098 EQX131086:EQX131098 FAT131086:FAT131098 FKP131086:FKP131098 FUL131086:FUL131098 GEH131086:GEH131098 GOD131086:GOD131098 GXZ131086:GXZ131098 HHV131086:HHV131098 HRR131086:HRR131098 IBN131086:IBN131098 ILJ131086:ILJ131098 IVF131086:IVF131098 JFB131086:JFB131098 JOX131086:JOX131098 JYT131086:JYT131098 KIP131086:KIP131098 KSL131086:KSL131098 LCH131086:LCH131098 LMD131086:LMD131098 LVZ131086:LVZ131098 MFV131086:MFV131098 MPR131086:MPR131098 MZN131086:MZN131098 NJJ131086:NJJ131098 NTF131086:NTF131098 ODB131086:ODB131098 OMX131086:OMX131098 OWT131086:OWT131098 PGP131086:PGP131098 PQL131086:PQL131098 QAH131086:QAH131098 QKD131086:QKD131098 QTZ131086:QTZ131098 RDV131086:RDV131098 RNR131086:RNR131098 RXN131086:RXN131098 SHJ131086:SHJ131098 SRF131086:SRF131098 TBB131086:TBB131098 TKX131086:TKX131098 TUT131086:TUT131098 UEP131086:UEP131098 UOL131086:UOL131098 UYH131086:UYH131098 VID131086:VID131098 VRZ131086:VRZ131098 WBV131086:WBV131098 WLR131086:WLR131098 WVN131086:WVN131098 F196622:F196634 JB196622:JB196634 SX196622:SX196634 ACT196622:ACT196634 AMP196622:AMP196634 AWL196622:AWL196634 BGH196622:BGH196634 BQD196622:BQD196634 BZZ196622:BZZ196634 CJV196622:CJV196634 CTR196622:CTR196634 DDN196622:DDN196634 DNJ196622:DNJ196634 DXF196622:DXF196634 EHB196622:EHB196634 EQX196622:EQX196634 FAT196622:FAT196634 FKP196622:FKP196634 FUL196622:FUL196634 GEH196622:GEH196634 GOD196622:GOD196634 GXZ196622:GXZ196634 HHV196622:HHV196634 HRR196622:HRR196634 IBN196622:IBN196634 ILJ196622:ILJ196634 IVF196622:IVF196634 JFB196622:JFB196634 JOX196622:JOX196634 JYT196622:JYT196634 KIP196622:KIP196634 KSL196622:KSL196634 LCH196622:LCH196634 LMD196622:LMD196634 LVZ196622:LVZ196634 MFV196622:MFV196634 MPR196622:MPR196634 MZN196622:MZN196634 NJJ196622:NJJ196634 NTF196622:NTF196634 ODB196622:ODB196634 OMX196622:OMX196634 OWT196622:OWT196634 PGP196622:PGP196634 PQL196622:PQL196634 QAH196622:QAH196634 QKD196622:QKD196634 QTZ196622:QTZ196634 RDV196622:RDV196634 RNR196622:RNR196634 RXN196622:RXN196634 SHJ196622:SHJ196634 SRF196622:SRF196634 TBB196622:TBB196634 TKX196622:TKX196634 TUT196622:TUT196634 UEP196622:UEP196634 UOL196622:UOL196634 UYH196622:UYH196634 VID196622:VID196634 VRZ196622:VRZ196634 WBV196622:WBV196634 WLR196622:WLR196634 WVN196622:WVN196634 F262158:F262170 JB262158:JB262170 SX262158:SX262170 ACT262158:ACT262170 AMP262158:AMP262170 AWL262158:AWL262170 BGH262158:BGH262170 BQD262158:BQD262170 BZZ262158:BZZ262170 CJV262158:CJV262170 CTR262158:CTR262170 DDN262158:DDN262170 DNJ262158:DNJ262170 DXF262158:DXF262170 EHB262158:EHB262170 EQX262158:EQX262170 FAT262158:FAT262170 FKP262158:FKP262170 FUL262158:FUL262170 GEH262158:GEH262170 GOD262158:GOD262170 GXZ262158:GXZ262170 HHV262158:HHV262170 HRR262158:HRR262170 IBN262158:IBN262170 ILJ262158:ILJ262170 IVF262158:IVF262170 JFB262158:JFB262170 JOX262158:JOX262170 JYT262158:JYT262170 KIP262158:KIP262170 KSL262158:KSL262170 LCH262158:LCH262170 LMD262158:LMD262170 LVZ262158:LVZ262170 MFV262158:MFV262170 MPR262158:MPR262170 MZN262158:MZN262170 NJJ262158:NJJ262170 NTF262158:NTF262170 ODB262158:ODB262170 OMX262158:OMX262170 OWT262158:OWT262170 PGP262158:PGP262170 PQL262158:PQL262170 QAH262158:QAH262170 QKD262158:QKD262170 QTZ262158:QTZ262170 RDV262158:RDV262170 RNR262158:RNR262170 RXN262158:RXN262170 SHJ262158:SHJ262170 SRF262158:SRF262170 TBB262158:TBB262170 TKX262158:TKX262170 TUT262158:TUT262170 UEP262158:UEP262170 UOL262158:UOL262170 UYH262158:UYH262170 VID262158:VID262170 VRZ262158:VRZ262170 WBV262158:WBV262170 WLR262158:WLR262170 WVN262158:WVN262170 F327694:F327706 JB327694:JB327706 SX327694:SX327706 ACT327694:ACT327706 AMP327694:AMP327706 AWL327694:AWL327706 BGH327694:BGH327706 BQD327694:BQD327706 BZZ327694:BZZ327706 CJV327694:CJV327706 CTR327694:CTR327706 DDN327694:DDN327706 DNJ327694:DNJ327706 DXF327694:DXF327706 EHB327694:EHB327706 EQX327694:EQX327706 FAT327694:FAT327706 FKP327694:FKP327706 FUL327694:FUL327706 GEH327694:GEH327706 GOD327694:GOD327706 GXZ327694:GXZ327706 HHV327694:HHV327706 HRR327694:HRR327706 IBN327694:IBN327706 ILJ327694:ILJ327706 IVF327694:IVF327706 JFB327694:JFB327706 JOX327694:JOX327706 JYT327694:JYT327706 KIP327694:KIP327706 KSL327694:KSL327706 LCH327694:LCH327706 LMD327694:LMD327706 LVZ327694:LVZ327706 MFV327694:MFV327706 MPR327694:MPR327706 MZN327694:MZN327706 NJJ327694:NJJ327706 NTF327694:NTF327706 ODB327694:ODB327706 OMX327694:OMX327706 OWT327694:OWT327706 PGP327694:PGP327706 PQL327694:PQL327706 QAH327694:QAH327706 QKD327694:QKD327706 QTZ327694:QTZ327706 RDV327694:RDV327706 RNR327694:RNR327706 RXN327694:RXN327706 SHJ327694:SHJ327706 SRF327694:SRF327706 TBB327694:TBB327706 TKX327694:TKX327706 TUT327694:TUT327706 UEP327694:UEP327706 UOL327694:UOL327706 UYH327694:UYH327706 VID327694:VID327706 VRZ327694:VRZ327706 WBV327694:WBV327706 WLR327694:WLR327706 WVN327694:WVN327706 F393230:F393242 JB393230:JB393242 SX393230:SX393242 ACT393230:ACT393242 AMP393230:AMP393242 AWL393230:AWL393242 BGH393230:BGH393242 BQD393230:BQD393242 BZZ393230:BZZ393242 CJV393230:CJV393242 CTR393230:CTR393242 DDN393230:DDN393242 DNJ393230:DNJ393242 DXF393230:DXF393242 EHB393230:EHB393242 EQX393230:EQX393242 FAT393230:FAT393242 FKP393230:FKP393242 FUL393230:FUL393242 GEH393230:GEH393242 GOD393230:GOD393242 GXZ393230:GXZ393242 HHV393230:HHV393242 HRR393230:HRR393242 IBN393230:IBN393242 ILJ393230:ILJ393242 IVF393230:IVF393242 JFB393230:JFB393242 JOX393230:JOX393242 JYT393230:JYT393242 KIP393230:KIP393242 KSL393230:KSL393242 LCH393230:LCH393242 LMD393230:LMD393242 LVZ393230:LVZ393242 MFV393230:MFV393242 MPR393230:MPR393242 MZN393230:MZN393242 NJJ393230:NJJ393242 NTF393230:NTF393242 ODB393230:ODB393242 OMX393230:OMX393242 OWT393230:OWT393242 PGP393230:PGP393242 PQL393230:PQL393242 QAH393230:QAH393242 QKD393230:QKD393242 QTZ393230:QTZ393242 RDV393230:RDV393242 RNR393230:RNR393242 RXN393230:RXN393242 SHJ393230:SHJ393242 SRF393230:SRF393242 TBB393230:TBB393242 TKX393230:TKX393242 TUT393230:TUT393242 UEP393230:UEP393242 UOL393230:UOL393242 UYH393230:UYH393242 VID393230:VID393242 VRZ393230:VRZ393242 WBV393230:WBV393242 WLR393230:WLR393242 WVN393230:WVN393242 F458766:F458778 JB458766:JB458778 SX458766:SX458778 ACT458766:ACT458778 AMP458766:AMP458778 AWL458766:AWL458778 BGH458766:BGH458778 BQD458766:BQD458778 BZZ458766:BZZ458778 CJV458766:CJV458778 CTR458766:CTR458778 DDN458766:DDN458778 DNJ458766:DNJ458778 DXF458766:DXF458778 EHB458766:EHB458778 EQX458766:EQX458778 FAT458766:FAT458778 FKP458766:FKP458778 FUL458766:FUL458778 GEH458766:GEH458778 GOD458766:GOD458778 GXZ458766:GXZ458778 HHV458766:HHV458778 HRR458766:HRR458778 IBN458766:IBN458778 ILJ458766:ILJ458778 IVF458766:IVF458778 JFB458766:JFB458778 JOX458766:JOX458778 JYT458766:JYT458778 KIP458766:KIP458778 KSL458766:KSL458778 LCH458766:LCH458778 LMD458766:LMD458778 LVZ458766:LVZ458778 MFV458766:MFV458778 MPR458766:MPR458778 MZN458766:MZN458778 NJJ458766:NJJ458778 NTF458766:NTF458778 ODB458766:ODB458778 OMX458766:OMX458778 OWT458766:OWT458778 PGP458766:PGP458778 PQL458766:PQL458778 QAH458766:QAH458778 QKD458766:QKD458778 QTZ458766:QTZ458778 RDV458766:RDV458778 RNR458766:RNR458778 RXN458766:RXN458778 SHJ458766:SHJ458778 SRF458766:SRF458778 TBB458766:TBB458778 TKX458766:TKX458778 TUT458766:TUT458778 UEP458766:UEP458778 UOL458766:UOL458778 UYH458766:UYH458778 VID458766:VID458778 VRZ458766:VRZ458778 WBV458766:WBV458778 WLR458766:WLR458778 WVN458766:WVN458778 F524302:F524314 JB524302:JB524314 SX524302:SX524314 ACT524302:ACT524314 AMP524302:AMP524314 AWL524302:AWL524314 BGH524302:BGH524314 BQD524302:BQD524314 BZZ524302:BZZ524314 CJV524302:CJV524314 CTR524302:CTR524314 DDN524302:DDN524314 DNJ524302:DNJ524314 DXF524302:DXF524314 EHB524302:EHB524314 EQX524302:EQX524314 FAT524302:FAT524314 FKP524302:FKP524314 FUL524302:FUL524314 GEH524302:GEH524314 GOD524302:GOD524314 GXZ524302:GXZ524314 HHV524302:HHV524314 HRR524302:HRR524314 IBN524302:IBN524314 ILJ524302:ILJ524314 IVF524302:IVF524314 JFB524302:JFB524314 JOX524302:JOX524314 JYT524302:JYT524314 KIP524302:KIP524314 KSL524302:KSL524314 LCH524302:LCH524314 LMD524302:LMD524314 LVZ524302:LVZ524314 MFV524302:MFV524314 MPR524302:MPR524314 MZN524302:MZN524314 NJJ524302:NJJ524314 NTF524302:NTF524314 ODB524302:ODB524314 OMX524302:OMX524314 OWT524302:OWT524314 PGP524302:PGP524314 PQL524302:PQL524314 QAH524302:QAH524314 QKD524302:QKD524314 QTZ524302:QTZ524314 RDV524302:RDV524314 RNR524302:RNR524314 RXN524302:RXN524314 SHJ524302:SHJ524314 SRF524302:SRF524314 TBB524302:TBB524314 TKX524302:TKX524314 TUT524302:TUT524314 UEP524302:UEP524314 UOL524302:UOL524314 UYH524302:UYH524314 VID524302:VID524314 VRZ524302:VRZ524314 WBV524302:WBV524314 WLR524302:WLR524314 WVN524302:WVN524314 F589838:F589850 JB589838:JB589850 SX589838:SX589850 ACT589838:ACT589850 AMP589838:AMP589850 AWL589838:AWL589850 BGH589838:BGH589850 BQD589838:BQD589850 BZZ589838:BZZ589850 CJV589838:CJV589850 CTR589838:CTR589850 DDN589838:DDN589850 DNJ589838:DNJ589850 DXF589838:DXF589850 EHB589838:EHB589850 EQX589838:EQX589850 FAT589838:FAT589850 FKP589838:FKP589850 FUL589838:FUL589850 GEH589838:GEH589850 GOD589838:GOD589850 GXZ589838:GXZ589850 HHV589838:HHV589850 HRR589838:HRR589850 IBN589838:IBN589850 ILJ589838:ILJ589850 IVF589838:IVF589850 JFB589838:JFB589850 JOX589838:JOX589850 JYT589838:JYT589850 KIP589838:KIP589850 KSL589838:KSL589850 LCH589838:LCH589850 LMD589838:LMD589850 LVZ589838:LVZ589850 MFV589838:MFV589850 MPR589838:MPR589850 MZN589838:MZN589850 NJJ589838:NJJ589850 NTF589838:NTF589850 ODB589838:ODB589850 OMX589838:OMX589850 OWT589838:OWT589850 PGP589838:PGP589850 PQL589838:PQL589850 QAH589838:QAH589850 QKD589838:QKD589850 QTZ589838:QTZ589850 RDV589838:RDV589850 RNR589838:RNR589850 RXN589838:RXN589850 SHJ589838:SHJ589850 SRF589838:SRF589850 TBB589838:TBB589850 TKX589838:TKX589850 TUT589838:TUT589850 UEP589838:UEP589850 UOL589838:UOL589850 UYH589838:UYH589850 VID589838:VID589850 VRZ589838:VRZ589850 WBV589838:WBV589850 WLR589838:WLR589850 WVN589838:WVN589850 F655374:F655386 JB655374:JB655386 SX655374:SX655386 ACT655374:ACT655386 AMP655374:AMP655386 AWL655374:AWL655386 BGH655374:BGH655386 BQD655374:BQD655386 BZZ655374:BZZ655386 CJV655374:CJV655386 CTR655374:CTR655386 DDN655374:DDN655386 DNJ655374:DNJ655386 DXF655374:DXF655386 EHB655374:EHB655386 EQX655374:EQX655386 FAT655374:FAT655386 FKP655374:FKP655386 FUL655374:FUL655386 GEH655374:GEH655386 GOD655374:GOD655386 GXZ655374:GXZ655386 HHV655374:HHV655386 HRR655374:HRR655386 IBN655374:IBN655386 ILJ655374:ILJ655386 IVF655374:IVF655386 JFB655374:JFB655386 JOX655374:JOX655386 JYT655374:JYT655386 KIP655374:KIP655386 KSL655374:KSL655386 LCH655374:LCH655386 LMD655374:LMD655386 LVZ655374:LVZ655386 MFV655374:MFV655386 MPR655374:MPR655386 MZN655374:MZN655386 NJJ655374:NJJ655386 NTF655374:NTF655386 ODB655374:ODB655386 OMX655374:OMX655386 OWT655374:OWT655386 PGP655374:PGP655386 PQL655374:PQL655386 QAH655374:QAH655386 QKD655374:QKD655386 QTZ655374:QTZ655386 RDV655374:RDV655386 RNR655374:RNR655386 RXN655374:RXN655386 SHJ655374:SHJ655386 SRF655374:SRF655386 TBB655374:TBB655386 TKX655374:TKX655386 TUT655374:TUT655386 UEP655374:UEP655386 UOL655374:UOL655386 UYH655374:UYH655386 VID655374:VID655386 VRZ655374:VRZ655386 WBV655374:WBV655386 WLR655374:WLR655386 WVN655374:WVN655386 F720910:F720922 JB720910:JB720922 SX720910:SX720922 ACT720910:ACT720922 AMP720910:AMP720922 AWL720910:AWL720922 BGH720910:BGH720922 BQD720910:BQD720922 BZZ720910:BZZ720922 CJV720910:CJV720922 CTR720910:CTR720922 DDN720910:DDN720922 DNJ720910:DNJ720922 DXF720910:DXF720922 EHB720910:EHB720922 EQX720910:EQX720922 FAT720910:FAT720922 FKP720910:FKP720922 FUL720910:FUL720922 GEH720910:GEH720922 GOD720910:GOD720922 GXZ720910:GXZ720922 HHV720910:HHV720922 HRR720910:HRR720922 IBN720910:IBN720922 ILJ720910:ILJ720922 IVF720910:IVF720922 JFB720910:JFB720922 JOX720910:JOX720922 JYT720910:JYT720922 KIP720910:KIP720922 KSL720910:KSL720922 LCH720910:LCH720922 LMD720910:LMD720922 LVZ720910:LVZ720922 MFV720910:MFV720922 MPR720910:MPR720922 MZN720910:MZN720922 NJJ720910:NJJ720922 NTF720910:NTF720922 ODB720910:ODB720922 OMX720910:OMX720922 OWT720910:OWT720922 PGP720910:PGP720922 PQL720910:PQL720922 QAH720910:QAH720922 QKD720910:QKD720922 QTZ720910:QTZ720922 RDV720910:RDV720922 RNR720910:RNR720922 RXN720910:RXN720922 SHJ720910:SHJ720922 SRF720910:SRF720922 TBB720910:TBB720922 TKX720910:TKX720922 TUT720910:TUT720922 UEP720910:UEP720922 UOL720910:UOL720922 UYH720910:UYH720922 VID720910:VID720922 VRZ720910:VRZ720922 WBV720910:WBV720922 WLR720910:WLR720922 WVN720910:WVN720922 F786446:F786458 JB786446:JB786458 SX786446:SX786458 ACT786446:ACT786458 AMP786446:AMP786458 AWL786446:AWL786458 BGH786446:BGH786458 BQD786446:BQD786458 BZZ786446:BZZ786458 CJV786446:CJV786458 CTR786446:CTR786458 DDN786446:DDN786458 DNJ786446:DNJ786458 DXF786446:DXF786458 EHB786446:EHB786458 EQX786446:EQX786458 FAT786446:FAT786458 FKP786446:FKP786458 FUL786446:FUL786458 GEH786446:GEH786458 GOD786446:GOD786458 GXZ786446:GXZ786458 HHV786446:HHV786458 HRR786446:HRR786458 IBN786446:IBN786458 ILJ786446:ILJ786458 IVF786446:IVF786458 JFB786446:JFB786458 JOX786446:JOX786458 JYT786446:JYT786458 KIP786446:KIP786458 KSL786446:KSL786458 LCH786446:LCH786458 LMD786446:LMD786458 LVZ786446:LVZ786458 MFV786446:MFV786458 MPR786446:MPR786458 MZN786446:MZN786458 NJJ786446:NJJ786458 NTF786446:NTF786458 ODB786446:ODB786458 OMX786446:OMX786458 OWT786446:OWT786458 PGP786446:PGP786458 PQL786446:PQL786458 QAH786446:QAH786458 QKD786446:QKD786458 QTZ786446:QTZ786458 RDV786446:RDV786458 RNR786446:RNR786458 RXN786446:RXN786458 SHJ786446:SHJ786458 SRF786446:SRF786458 TBB786446:TBB786458 TKX786446:TKX786458 TUT786446:TUT786458 UEP786446:UEP786458 UOL786446:UOL786458 UYH786446:UYH786458 VID786446:VID786458 VRZ786446:VRZ786458 WBV786446:WBV786458 WLR786446:WLR786458 WVN786446:WVN786458 F851982:F851994 JB851982:JB851994 SX851982:SX851994 ACT851982:ACT851994 AMP851982:AMP851994 AWL851982:AWL851994 BGH851982:BGH851994 BQD851982:BQD851994 BZZ851982:BZZ851994 CJV851982:CJV851994 CTR851982:CTR851994 DDN851982:DDN851994 DNJ851982:DNJ851994 DXF851982:DXF851994 EHB851982:EHB851994 EQX851982:EQX851994 FAT851982:FAT851994 FKP851982:FKP851994 FUL851982:FUL851994 GEH851982:GEH851994 GOD851982:GOD851994 GXZ851982:GXZ851994 HHV851982:HHV851994 HRR851982:HRR851994 IBN851982:IBN851994 ILJ851982:ILJ851994 IVF851982:IVF851994 JFB851982:JFB851994 JOX851982:JOX851994 JYT851982:JYT851994 KIP851982:KIP851994 KSL851982:KSL851994 LCH851982:LCH851994 LMD851982:LMD851994 LVZ851982:LVZ851994 MFV851982:MFV851994 MPR851982:MPR851994 MZN851982:MZN851994 NJJ851982:NJJ851994 NTF851982:NTF851994 ODB851982:ODB851994 OMX851982:OMX851994 OWT851982:OWT851994 PGP851982:PGP851994 PQL851982:PQL851994 QAH851982:QAH851994 QKD851982:QKD851994 QTZ851982:QTZ851994 RDV851982:RDV851994 RNR851982:RNR851994 RXN851982:RXN851994 SHJ851982:SHJ851994 SRF851982:SRF851994 TBB851982:TBB851994 TKX851982:TKX851994 TUT851982:TUT851994 UEP851982:UEP851994 UOL851982:UOL851994 UYH851982:UYH851994 VID851982:VID851994 VRZ851982:VRZ851994 WBV851982:WBV851994 WLR851982:WLR851994 WVN851982:WVN851994 F917518:F917530 JB917518:JB917530 SX917518:SX917530 ACT917518:ACT917530 AMP917518:AMP917530 AWL917518:AWL917530 BGH917518:BGH917530 BQD917518:BQD917530 BZZ917518:BZZ917530 CJV917518:CJV917530 CTR917518:CTR917530 DDN917518:DDN917530 DNJ917518:DNJ917530 DXF917518:DXF917530 EHB917518:EHB917530 EQX917518:EQX917530 FAT917518:FAT917530 FKP917518:FKP917530 FUL917518:FUL917530 GEH917518:GEH917530 GOD917518:GOD917530 GXZ917518:GXZ917530 HHV917518:HHV917530 HRR917518:HRR917530 IBN917518:IBN917530 ILJ917518:ILJ917530 IVF917518:IVF917530 JFB917518:JFB917530 JOX917518:JOX917530 JYT917518:JYT917530 KIP917518:KIP917530 KSL917518:KSL917530 LCH917518:LCH917530 LMD917518:LMD917530 LVZ917518:LVZ917530 MFV917518:MFV917530 MPR917518:MPR917530 MZN917518:MZN917530 NJJ917518:NJJ917530 NTF917518:NTF917530 ODB917518:ODB917530 OMX917518:OMX917530 OWT917518:OWT917530 PGP917518:PGP917530 PQL917518:PQL917530 QAH917518:QAH917530 QKD917518:QKD917530 QTZ917518:QTZ917530 RDV917518:RDV917530 RNR917518:RNR917530 RXN917518:RXN917530 SHJ917518:SHJ917530 SRF917518:SRF917530 TBB917518:TBB917530 TKX917518:TKX917530 TUT917518:TUT917530 UEP917518:UEP917530 UOL917518:UOL917530 UYH917518:UYH917530 VID917518:VID917530 VRZ917518:VRZ917530 WBV917518:WBV917530 WLR917518:WLR917530 WVN917518:WVN917530 F983054:F983066 JB983054:JB983066 SX983054:SX983066 ACT983054:ACT983066 AMP983054:AMP983066 AWL983054:AWL983066 BGH983054:BGH983066 BQD983054:BQD983066 BZZ983054:BZZ983066 CJV983054:CJV983066 CTR983054:CTR983066 DDN983054:DDN983066 DNJ983054:DNJ983066 DXF983054:DXF983066 EHB983054:EHB983066 EQX983054:EQX983066 FAT983054:FAT983066 FKP983054:FKP983066 FUL983054:FUL983066 GEH983054:GEH983066 GOD983054:GOD983066 GXZ983054:GXZ983066 HHV983054:HHV983066 HRR983054:HRR983066 IBN983054:IBN983066 ILJ983054:ILJ983066 IVF983054:IVF983066 JFB983054:JFB983066 JOX983054:JOX983066 JYT983054:JYT983066 KIP983054:KIP983066 KSL983054:KSL983066 LCH983054:LCH983066 LMD983054:LMD983066 LVZ983054:LVZ983066 MFV983054:MFV983066 MPR983054:MPR983066 MZN983054:MZN983066 NJJ983054:NJJ983066 NTF983054:NTF983066 ODB983054:ODB983066 OMX983054:OMX983066 OWT983054:OWT983066 PGP983054:PGP983066 PQL983054:PQL983066 QAH983054:QAH983066 QKD983054:QKD983066 QTZ983054:QTZ983066 RDV983054:RDV983066 RNR983054:RNR983066 RXN983054:RXN983066 SHJ983054:SHJ983066 SRF983054:SRF983066 TBB983054:TBB983066 TKX983054:TKX983066 TUT983054:TUT983066 UEP983054:UEP983066 UOL983054:UOL983066 UYH983054:UYH983066 VID983054:VID983066 VRZ983054:VRZ983066 WBV983054:WBV983066 WLR983054:WLR983066 WVN983054:WVN983066 WVN983119:WVN983120 JE34:JE56 TA34:TA56 ACW34:ACW56 AMS34:AMS56 AWO34:AWO56 BGK34:BGK56 BQG34:BQG56 CAC34:CAC56 CJY34:CJY56 CTU34:CTU56 DDQ34:DDQ56 DNM34:DNM56 DXI34:DXI56 EHE34:EHE56 ERA34:ERA56 FAW34:FAW56 FKS34:FKS56 FUO34:FUO56 GEK34:GEK56 GOG34:GOG56 GYC34:GYC56 HHY34:HHY56 HRU34:HRU56 IBQ34:IBQ56 ILM34:ILM56 IVI34:IVI56 JFE34:JFE56 JPA34:JPA56 JYW34:JYW56 KIS34:KIS56 KSO34:KSO56 LCK34:LCK56 LMG34:LMG56 LWC34:LWC56 MFY34:MFY56 MPU34:MPU56 MZQ34:MZQ56 NJM34:NJM56 NTI34:NTI56 ODE34:ODE56 ONA34:ONA56 OWW34:OWW56 PGS34:PGS56 PQO34:PQO56 QAK34:QAK56 QKG34:QKG56 QUC34:QUC56 RDY34:RDY56 RNU34:RNU56 RXQ34:RXQ56 SHM34:SHM56 SRI34:SRI56 TBE34:TBE56 TLA34:TLA56 TUW34:TUW56 UES34:UES56 UOO34:UOO56 UYK34:UYK56 VIG34:VIG56 VSC34:VSC56 WBY34:WBY56 WLU34:WLU56 WVQ34:WVQ56 I65570:I65592 JE65570:JE65592 TA65570:TA65592 ACW65570:ACW65592 AMS65570:AMS65592 AWO65570:AWO65592 BGK65570:BGK65592 BQG65570:BQG65592 CAC65570:CAC65592 CJY65570:CJY65592 CTU65570:CTU65592 DDQ65570:DDQ65592 DNM65570:DNM65592 DXI65570:DXI65592 EHE65570:EHE65592 ERA65570:ERA65592 FAW65570:FAW65592 FKS65570:FKS65592 FUO65570:FUO65592 GEK65570:GEK65592 GOG65570:GOG65592 GYC65570:GYC65592 HHY65570:HHY65592 HRU65570:HRU65592 IBQ65570:IBQ65592 ILM65570:ILM65592 IVI65570:IVI65592 JFE65570:JFE65592 JPA65570:JPA65592 JYW65570:JYW65592 KIS65570:KIS65592 KSO65570:KSO65592 LCK65570:LCK65592 LMG65570:LMG65592 LWC65570:LWC65592 MFY65570:MFY65592 MPU65570:MPU65592 MZQ65570:MZQ65592 NJM65570:NJM65592 NTI65570:NTI65592 ODE65570:ODE65592 ONA65570:ONA65592 OWW65570:OWW65592 PGS65570:PGS65592 PQO65570:PQO65592 QAK65570:QAK65592 QKG65570:QKG65592 QUC65570:QUC65592 RDY65570:RDY65592 RNU65570:RNU65592 RXQ65570:RXQ65592 SHM65570:SHM65592 SRI65570:SRI65592 TBE65570:TBE65592 TLA65570:TLA65592 TUW65570:TUW65592 UES65570:UES65592 UOO65570:UOO65592 UYK65570:UYK65592 VIG65570:VIG65592 VSC65570:VSC65592 WBY65570:WBY65592 WLU65570:WLU65592 WVQ65570:WVQ65592 I131106:I131128 JE131106:JE131128 TA131106:TA131128 ACW131106:ACW131128 AMS131106:AMS131128 AWO131106:AWO131128 BGK131106:BGK131128 BQG131106:BQG131128 CAC131106:CAC131128 CJY131106:CJY131128 CTU131106:CTU131128 DDQ131106:DDQ131128 DNM131106:DNM131128 DXI131106:DXI131128 EHE131106:EHE131128 ERA131106:ERA131128 FAW131106:FAW131128 FKS131106:FKS131128 FUO131106:FUO131128 GEK131106:GEK131128 GOG131106:GOG131128 GYC131106:GYC131128 HHY131106:HHY131128 HRU131106:HRU131128 IBQ131106:IBQ131128 ILM131106:ILM131128 IVI131106:IVI131128 JFE131106:JFE131128 JPA131106:JPA131128 JYW131106:JYW131128 KIS131106:KIS131128 KSO131106:KSO131128 LCK131106:LCK131128 LMG131106:LMG131128 LWC131106:LWC131128 MFY131106:MFY131128 MPU131106:MPU131128 MZQ131106:MZQ131128 NJM131106:NJM131128 NTI131106:NTI131128 ODE131106:ODE131128 ONA131106:ONA131128 OWW131106:OWW131128 PGS131106:PGS131128 PQO131106:PQO131128 QAK131106:QAK131128 QKG131106:QKG131128 QUC131106:QUC131128 RDY131106:RDY131128 RNU131106:RNU131128 RXQ131106:RXQ131128 SHM131106:SHM131128 SRI131106:SRI131128 TBE131106:TBE131128 TLA131106:TLA131128 TUW131106:TUW131128 UES131106:UES131128 UOO131106:UOO131128 UYK131106:UYK131128 VIG131106:VIG131128 VSC131106:VSC131128 WBY131106:WBY131128 WLU131106:WLU131128 WVQ131106:WVQ131128 I196642:I196664 JE196642:JE196664 TA196642:TA196664 ACW196642:ACW196664 AMS196642:AMS196664 AWO196642:AWO196664 BGK196642:BGK196664 BQG196642:BQG196664 CAC196642:CAC196664 CJY196642:CJY196664 CTU196642:CTU196664 DDQ196642:DDQ196664 DNM196642:DNM196664 DXI196642:DXI196664 EHE196642:EHE196664 ERA196642:ERA196664 FAW196642:FAW196664 FKS196642:FKS196664 FUO196642:FUO196664 GEK196642:GEK196664 GOG196642:GOG196664 GYC196642:GYC196664 HHY196642:HHY196664 HRU196642:HRU196664 IBQ196642:IBQ196664 ILM196642:ILM196664 IVI196642:IVI196664 JFE196642:JFE196664 JPA196642:JPA196664 JYW196642:JYW196664 KIS196642:KIS196664 KSO196642:KSO196664 LCK196642:LCK196664 LMG196642:LMG196664 LWC196642:LWC196664 MFY196642:MFY196664 MPU196642:MPU196664 MZQ196642:MZQ196664 NJM196642:NJM196664 NTI196642:NTI196664 ODE196642:ODE196664 ONA196642:ONA196664 OWW196642:OWW196664 PGS196642:PGS196664 PQO196642:PQO196664 QAK196642:QAK196664 QKG196642:QKG196664 QUC196642:QUC196664 RDY196642:RDY196664 RNU196642:RNU196664 RXQ196642:RXQ196664 SHM196642:SHM196664 SRI196642:SRI196664 TBE196642:TBE196664 TLA196642:TLA196664 TUW196642:TUW196664 UES196642:UES196664 UOO196642:UOO196664 UYK196642:UYK196664 VIG196642:VIG196664 VSC196642:VSC196664 WBY196642:WBY196664 WLU196642:WLU196664 WVQ196642:WVQ196664 I262178:I262200 JE262178:JE262200 TA262178:TA262200 ACW262178:ACW262200 AMS262178:AMS262200 AWO262178:AWO262200 BGK262178:BGK262200 BQG262178:BQG262200 CAC262178:CAC262200 CJY262178:CJY262200 CTU262178:CTU262200 DDQ262178:DDQ262200 DNM262178:DNM262200 DXI262178:DXI262200 EHE262178:EHE262200 ERA262178:ERA262200 FAW262178:FAW262200 FKS262178:FKS262200 FUO262178:FUO262200 GEK262178:GEK262200 GOG262178:GOG262200 GYC262178:GYC262200 HHY262178:HHY262200 HRU262178:HRU262200 IBQ262178:IBQ262200 ILM262178:ILM262200 IVI262178:IVI262200 JFE262178:JFE262200 JPA262178:JPA262200 JYW262178:JYW262200 KIS262178:KIS262200 KSO262178:KSO262200 LCK262178:LCK262200 LMG262178:LMG262200 LWC262178:LWC262200 MFY262178:MFY262200 MPU262178:MPU262200 MZQ262178:MZQ262200 NJM262178:NJM262200 NTI262178:NTI262200 ODE262178:ODE262200 ONA262178:ONA262200 OWW262178:OWW262200 PGS262178:PGS262200 PQO262178:PQO262200 QAK262178:QAK262200 QKG262178:QKG262200 QUC262178:QUC262200 RDY262178:RDY262200 RNU262178:RNU262200 RXQ262178:RXQ262200 SHM262178:SHM262200 SRI262178:SRI262200 TBE262178:TBE262200 TLA262178:TLA262200 TUW262178:TUW262200 UES262178:UES262200 UOO262178:UOO262200 UYK262178:UYK262200 VIG262178:VIG262200 VSC262178:VSC262200 WBY262178:WBY262200 WLU262178:WLU262200 WVQ262178:WVQ262200 I327714:I327736 JE327714:JE327736 TA327714:TA327736 ACW327714:ACW327736 AMS327714:AMS327736 AWO327714:AWO327736 BGK327714:BGK327736 BQG327714:BQG327736 CAC327714:CAC327736 CJY327714:CJY327736 CTU327714:CTU327736 DDQ327714:DDQ327736 DNM327714:DNM327736 DXI327714:DXI327736 EHE327714:EHE327736 ERA327714:ERA327736 FAW327714:FAW327736 FKS327714:FKS327736 FUO327714:FUO327736 GEK327714:GEK327736 GOG327714:GOG327736 GYC327714:GYC327736 HHY327714:HHY327736 HRU327714:HRU327736 IBQ327714:IBQ327736 ILM327714:ILM327736 IVI327714:IVI327736 JFE327714:JFE327736 JPA327714:JPA327736 JYW327714:JYW327736 KIS327714:KIS327736 KSO327714:KSO327736 LCK327714:LCK327736 LMG327714:LMG327736 LWC327714:LWC327736 MFY327714:MFY327736 MPU327714:MPU327736 MZQ327714:MZQ327736 NJM327714:NJM327736 NTI327714:NTI327736 ODE327714:ODE327736 ONA327714:ONA327736 OWW327714:OWW327736 PGS327714:PGS327736 PQO327714:PQO327736 QAK327714:QAK327736 QKG327714:QKG327736 QUC327714:QUC327736 RDY327714:RDY327736 RNU327714:RNU327736 RXQ327714:RXQ327736 SHM327714:SHM327736 SRI327714:SRI327736 TBE327714:TBE327736 TLA327714:TLA327736 TUW327714:TUW327736 UES327714:UES327736 UOO327714:UOO327736 UYK327714:UYK327736 VIG327714:VIG327736 VSC327714:VSC327736 WBY327714:WBY327736 WLU327714:WLU327736 WVQ327714:WVQ327736 I393250:I393272 JE393250:JE393272 TA393250:TA393272 ACW393250:ACW393272 AMS393250:AMS393272 AWO393250:AWO393272 BGK393250:BGK393272 BQG393250:BQG393272 CAC393250:CAC393272 CJY393250:CJY393272 CTU393250:CTU393272 DDQ393250:DDQ393272 DNM393250:DNM393272 DXI393250:DXI393272 EHE393250:EHE393272 ERA393250:ERA393272 FAW393250:FAW393272 FKS393250:FKS393272 FUO393250:FUO393272 GEK393250:GEK393272 GOG393250:GOG393272 GYC393250:GYC393272 HHY393250:HHY393272 HRU393250:HRU393272 IBQ393250:IBQ393272 ILM393250:ILM393272 IVI393250:IVI393272 JFE393250:JFE393272 JPA393250:JPA393272 JYW393250:JYW393272 KIS393250:KIS393272 KSO393250:KSO393272 LCK393250:LCK393272 LMG393250:LMG393272 LWC393250:LWC393272 MFY393250:MFY393272 MPU393250:MPU393272 MZQ393250:MZQ393272 NJM393250:NJM393272 NTI393250:NTI393272 ODE393250:ODE393272 ONA393250:ONA393272 OWW393250:OWW393272 PGS393250:PGS393272 PQO393250:PQO393272 QAK393250:QAK393272 QKG393250:QKG393272 QUC393250:QUC393272 RDY393250:RDY393272 RNU393250:RNU393272 RXQ393250:RXQ393272 SHM393250:SHM393272 SRI393250:SRI393272 TBE393250:TBE393272 TLA393250:TLA393272 TUW393250:TUW393272 UES393250:UES393272 UOO393250:UOO393272 UYK393250:UYK393272 VIG393250:VIG393272 VSC393250:VSC393272 WBY393250:WBY393272 WLU393250:WLU393272 WVQ393250:WVQ393272 I458786:I458808 JE458786:JE458808 TA458786:TA458808 ACW458786:ACW458808 AMS458786:AMS458808 AWO458786:AWO458808 BGK458786:BGK458808 BQG458786:BQG458808 CAC458786:CAC458808 CJY458786:CJY458808 CTU458786:CTU458808 DDQ458786:DDQ458808 DNM458786:DNM458808 DXI458786:DXI458808 EHE458786:EHE458808 ERA458786:ERA458808 FAW458786:FAW458808 FKS458786:FKS458808 FUO458786:FUO458808 GEK458786:GEK458808 GOG458786:GOG458808 GYC458786:GYC458808 HHY458786:HHY458808 HRU458786:HRU458808 IBQ458786:IBQ458808 ILM458786:ILM458808 IVI458786:IVI458808 JFE458786:JFE458808 JPA458786:JPA458808 JYW458786:JYW458808 KIS458786:KIS458808 KSO458786:KSO458808 LCK458786:LCK458808 LMG458786:LMG458808 LWC458786:LWC458808 MFY458786:MFY458808 MPU458786:MPU458808 MZQ458786:MZQ458808 NJM458786:NJM458808 NTI458786:NTI458808 ODE458786:ODE458808 ONA458786:ONA458808 OWW458786:OWW458808 PGS458786:PGS458808 PQO458786:PQO458808 QAK458786:QAK458808 QKG458786:QKG458808 QUC458786:QUC458808 RDY458786:RDY458808 RNU458786:RNU458808 RXQ458786:RXQ458808 SHM458786:SHM458808 SRI458786:SRI458808 TBE458786:TBE458808 TLA458786:TLA458808 TUW458786:TUW458808 UES458786:UES458808 UOO458786:UOO458808 UYK458786:UYK458808 VIG458786:VIG458808 VSC458786:VSC458808 WBY458786:WBY458808 WLU458786:WLU458808 WVQ458786:WVQ458808 I524322:I524344 JE524322:JE524344 TA524322:TA524344 ACW524322:ACW524344 AMS524322:AMS524344 AWO524322:AWO524344 BGK524322:BGK524344 BQG524322:BQG524344 CAC524322:CAC524344 CJY524322:CJY524344 CTU524322:CTU524344 DDQ524322:DDQ524344 DNM524322:DNM524344 DXI524322:DXI524344 EHE524322:EHE524344 ERA524322:ERA524344 FAW524322:FAW524344 FKS524322:FKS524344 FUO524322:FUO524344 GEK524322:GEK524344 GOG524322:GOG524344 GYC524322:GYC524344 HHY524322:HHY524344 HRU524322:HRU524344 IBQ524322:IBQ524344 ILM524322:ILM524344 IVI524322:IVI524344 JFE524322:JFE524344 JPA524322:JPA524344 JYW524322:JYW524344 KIS524322:KIS524344 KSO524322:KSO524344 LCK524322:LCK524344 LMG524322:LMG524344 LWC524322:LWC524344 MFY524322:MFY524344 MPU524322:MPU524344 MZQ524322:MZQ524344 NJM524322:NJM524344 NTI524322:NTI524344 ODE524322:ODE524344 ONA524322:ONA524344 OWW524322:OWW524344 PGS524322:PGS524344 PQO524322:PQO524344 QAK524322:QAK524344 QKG524322:QKG524344 QUC524322:QUC524344 RDY524322:RDY524344 RNU524322:RNU524344 RXQ524322:RXQ524344 SHM524322:SHM524344 SRI524322:SRI524344 TBE524322:TBE524344 TLA524322:TLA524344 TUW524322:TUW524344 UES524322:UES524344 UOO524322:UOO524344 UYK524322:UYK524344 VIG524322:VIG524344 VSC524322:VSC524344 WBY524322:WBY524344 WLU524322:WLU524344 WVQ524322:WVQ524344 I589858:I589880 JE589858:JE589880 TA589858:TA589880 ACW589858:ACW589880 AMS589858:AMS589880 AWO589858:AWO589880 BGK589858:BGK589880 BQG589858:BQG589880 CAC589858:CAC589880 CJY589858:CJY589880 CTU589858:CTU589880 DDQ589858:DDQ589880 DNM589858:DNM589880 DXI589858:DXI589880 EHE589858:EHE589880 ERA589858:ERA589880 FAW589858:FAW589880 FKS589858:FKS589880 FUO589858:FUO589880 GEK589858:GEK589880 GOG589858:GOG589880 GYC589858:GYC589880 HHY589858:HHY589880 HRU589858:HRU589880 IBQ589858:IBQ589880 ILM589858:ILM589880 IVI589858:IVI589880 JFE589858:JFE589880 JPA589858:JPA589880 JYW589858:JYW589880 KIS589858:KIS589880 KSO589858:KSO589880 LCK589858:LCK589880 LMG589858:LMG589880 LWC589858:LWC589880 MFY589858:MFY589880 MPU589858:MPU589880 MZQ589858:MZQ589880 NJM589858:NJM589880 NTI589858:NTI589880 ODE589858:ODE589880 ONA589858:ONA589880 OWW589858:OWW589880 PGS589858:PGS589880 PQO589858:PQO589880 QAK589858:QAK589880 QKG589858:QKG589880 QUC589858:QUC589880 RDY589858:RDY589880 RNU589858:RNU589880 RXQ589858:RXQ589880 SHM589858:SHM589880 SRI589858:SRI589880 TBE589858:TBE589880 TLA589858:TLA589880 TUW589858:TUW589880 UES589858:UES589880 UOO589858:UOO589880 UYK589858:UYK589880 VIG589858:VIG589880 VSC589858:VSC589880 WBY589858:WBY589880 WLU589858:WLU589880 WVQ589858:WVQ589880 I655394:I655416 JE655394:JE655416 TA655394:TA655416 ACW655394:ACW655416 AMS655394:AMS655416 AWO655394:AWO655416 BGK655394:BGK655416 BQG655394:BQG655416 CAC655394:CAC655416 CJY655394:CJY655416 CTU655394:CTU655416 DDQ655394:DDQ655416 DNM655394:DNM655416 DXI655394:DXI655416 EHE655394:EHE655416 ERA655394:ERA655416 FAW655394:FAW655416 FKS655394:FKS655416 FUO655394:FUO655416 GEK655394:GEK655416 GOG655394:GOG655416 GYC655394:GYC655416 HHY655394:HHY655416 HRU655394:HRU655416 IBQ655394:IBQ655416 ILM655394:ILM655416 IVI655394:IVI655416 JFE655394:JFE655416 JPA655394:JPA655416 JYW655394:JYW655416 KIS655394:KIS655416 KSO655394:KSO655416 LCK655394:LCK655416 LMG655394:LMG655416 LWC655394:LWC655416 MFY655394:MFY655416 MPU655394:MPU655416 MZQ655394:MZQ655416 NJM655394:NJM655416 NTI655394:NTI655416 ODE655394:ODE655416 ONA655394:ONA655416 OWW655394:OWW655416 PGS655394:PGS655416 PQO655394:PQO655416 QAK655394:QAK655416 QKG655394:QKG655416 QUC655394:QUC655416 RDY655394:RDY655416 RNU655394:RNU655416 RXQ655394:RXQ655416 SHM655394:SHM655416 SRI655394:SRI655416 TBE655394:TBE655416 TLA655394:TLA655416 TUW655394:TUW655416 UES655394:UES655416 UOO655394:UOO655416 UYK655394:UYK655416 VIG655394:VIG655416 VSC655394:VSC655416 WBY655394:WBY655416 WLU655394:WLU655416 WVQ655394:WVQ655416 I720930:I720952 JE720930:JE720952 TA720930:TA720952 ACW720930:ACW720952 AMS720930:AMS720952 AWO720930:AWO720952 BGK720930:BGK720952 BQG720930:BQG720952 CAC720930:CAC720952 CJY720930:CJY720952 CTU720930:CTU720952 DDQ720930:DDQ720952 DNM720930:DNM720952 DXI720930:DXI720952 EHE720930:EHE720952 ERA720930:ERA720952 FAW720930:FAW720952 FKS720930:FKS720952 FUO720930:FUO720952 GEK720930:GEK720952 GOG720930:GOG720952 GYC720930:GYC720952 HHY720930:HHY720952 HRU720930:HRU720952 IBQ720930:IBQ720952 ILM720930:ILM720952 IVI720930:IVI720952 JFE720930:JFE720952 JPA720930:JPA720952 JYW720930:JYW720952 KIS720930:KIS720952 KSO720930:KSO720952 LCK720930:LCK720952 LMG720930:LMG720952 LWC720930:LWC720952 MFY720930:MFY720952 MPU720930:MPU720952 MZQ720930:MZQ720952 NJM720930:NJM720952 NTI720930:NTI720952 ODE720930:ODE720952 ONA720930:ONA720952 OWW720930:OWW720952 PGS720930:PGS720952 PQO720930:PQO720952 QAK720930:QAK720952 QKG720930:QKG720952 QUC720930:QUC720952 RDY720930:RDY720952 RNU720930:RNU720952 RXQ720930:RXQ720952 SHM720930:SHM720952 SRI720930:SRI720952 TBE720930:TBE720952 TLA720930:TLA720952 TUW720930:TUW720952 UES720930:UES720952 UOO720930:UOO720952 UYK720930:UYK720952 VIG720930:VIG720952 VSC720930:VSC720952 WBY720930:WBY720952 WLU720930:WLU720952 WVQ720930:WVQ720952 I786466:I786488 JE786466:JE786488 TA786466:TA786488 ACW786466:ACW786488 AMS786466:AMS786488 AWO786466:AWO786488 BGK786466:BGK786488 BQG786466:BQG786488 CAC786466:CAC786488 CJY786466:CJY786488 CTU786466:CTU786488 DDQ786466:DDQ786488 DNM786466:DNM786488 DXI786466:DXI786488 EHE786466:EHE786488 ERA786466:ERA786488 FAW786466:FAW786488 FKS786466:FKS786488 FUO786466:FUO786488 GEK786466:GEK786488 GOG786466:GOG786488 GYC786466:GYC786488 HHY786466:HHY786488 HRU786466:HRU786488 IBQ786466:IBQ786488 ILM786466:ILM786488 IVI786466:IVI786488 JFE786466:JFE786488 JPA786466:JPA786488 JYW786466:JYW786488 KIS786466:KIS786488 KSO786466:KSO786488 LCK786466:LCK786488 LMG786466:LMG786488 LWC786466:LWC786488 MFY786466:MFY786488 MPU786466:MPU786488 MZQ786466:MZQ786488 NJM786466:NJM786488 NTI786466:NTI786488 ODE786466:ODE786488 ONA786466:ONA786488 OWW786466:OWW786488 PGS786466:PGS786488 PQO786466:PQO786488 QAK786466:QAK786488 QKG786466:QKG786488 QUC786466:QUC786488 RDY786466:RDY786488 RNU786466:RNU786488 RXQ786466:RXQ786488 SHM786466:SHM786488 SRI786466:SRI786488 TBE786466:TBE786488 TLA786466:TLA786488 TUW786466:TUW786488 UES786466:UES786488 UOO786466:UOO786488 UYK786466:UYK786488 VIG786466:VIG786488 VSC786466:VSC786488 WBY786466:WBY786488 WLU786466:WLU786488 WVQ786466:WVQ786488 I852002:I852024 JE852002:JE852024 TA852002:TA852024 ACW852002:ACW852024 AMS852002:AMS852024 AWO852002:AWO852024 BGK852002:BGK852024 BQG852002:BQG852024 CAC852002:CAC852024 CJY852002:CJY852024 CTU852002:CTU852024 DDQ852002:DDQ852024 DNM852002:DNM852024 DXI852002:DXI852024 EHE852002:EHE852024 ERA852002:ERA852024 FAW852002:FAW852024 FKS852002:FKS852024 FUO852002:FUO852024 GEK852002:GEK852024 GOG852002:GOG852024 GYC852002:GYC852024 HHY852002:HHY852024 HRU852002:HRU852024 IBQ852002:IBQ852024 ILM852002:ILM852024 IVI852002:IVI852024 JFE852002:JFE852024 JPA852002:JPA852024 JYW852002:JYW852024 KIS852002:KIS852024 KSO852002:KSO852024 LCK852002:LCK852024 LMG852002:LMG852024 LWC852002:LWC852024 MFY852002:MFY852024 MPU852002:MPU852024 MZQ852002:MZQ852024 NJM852002:NJM852024 NTI852002:NTI852024 ODE852002:ODE852024 ONA852002:ONA852024 OWW852002:OWW852024 PGS852002:PGS852024 PQO852002:PQO852024 QAK852002:QAK852024 QKG852002:QKG852024 QUC852002:QUC852024 RDY852002:RDY852024 RNU852002:RNU852024 RXQ852002:RXQ852024 SHM852002:SHM852024 SRI852002:SRI852024 TBE852002:TBE852024 TLA852002:TLA852024 TUW852002:TUW852024 UES852002:UES852024 UOO852002:UOO852024 UYK852002:UYK852024 VIG852002:VIG852024 VSC852002:VSC852024 WBY852002:WBY852024 WLU852002:WLU852024 WVQ852002:WVQ852024 I917538:I917560 JE917538:JE917560 TA917538:TA917560 ACW917538:ACW917560 AMS917538:AMS917560 AWO917538:AWO917560 BGK917538:BGK917560 BQG917538:BQG917560 CAC917538:CAC917560 CJY917538:CJY917560 CTU917538:CTU917560 DDQ917538:DDQ917560 DNM917538:DNM917560 DXI917538:DXI917560 EHE917538:EHE917560 ERA917538:ERA917560 FAW917538:FAW917560 FKS917538:FKS917560 FUO917538:FUO917560 GEK917538:GEK917560 GOG917538:GOG917560 GYC917538:GYC917560 HHY917538:HHY917560 HRU917538:HRU917560 IBQ917538:IBQ917560 ILM917538:ILM917560 IVI917538:IVI917560 JFE917538:JFE917560 JPA917538:JPA917560 JYW917538:JYW917560 KIS917538:KIS917560 KSO917538:KSO917560 LCK917538:LCK917560 LMG917538:LMG917560 LWC917538:LWC917560 MFY917538:MFY917560 MPU917538:MPU917560 MZQ917538:MZQ917560 NJM917538:NJM917560 NTI917538:NTI917560 ODE917538:ODE917560 ONA917538:ONA917560 OWW917538:OWW917560 PGS917538:PGS917560 PQO917538:PQO917560 QAK917538:QAK917560 QKG917538:QKG917560 QUC917538:QUC917560 RDY917538:RDY917560 RNU917538:RNU917560 RXQ917538:RXQ917560 SHM917538:SHM917560 SRI917538:SRI917560 TBE917538:TBE917560 TLA917538:TLA917560 TUW917538:TUW917560 UES917538:UES917560 UOO917538:UOO917560 UYK917538:UYK917560 VIG917538:VIG917560 VSC917538:VSC917560 WBY917538:WBY917560 WLU917538:WLU917560 WVQ917538:WVQ917560 I983074:I983096 JE983074:JE983096 TA983074:TA983096 ACW983074:ACW983096 AMS983074:AMS983096 AWO983074:AWO983096 BGK983074:BGK983096 BQG983074:BQG983096 CAC983074:CAC983096 CJY983074:CJY983096 CTU983074:CTU983096 DDQ983074:DDQ983096 DNM983074:DNM983096 DXI983074:DXI983096 EHE983074:EHE983096 ERA983074:ERA983096 FAW983074:FAW983096 FKS983074:FKS983096 FUO983074:FUO983096 GEK983074:GEK983096 GOG983074:GOG983096 GYC983074:GYC983096 HHY983074:HHY983096 HRU983074:HRU983096 IBQ983074:IBQ983096 ILM983074:ILM983096 IVI983074:IVI983096 JFE983074:JFE983096 JPA983074:JPA983096 JYW983074:JYW983096 KIS983074:KIS983096 KSO983074:KSO983096 LCK983074:LCK983096 LMG983074:LMG983096 LWC983074:LWC983096 MFY983074:MFY983096 MPU983074:MPU983096 MZQ983074:MZQ983096 NJM983074:NJM983096 NTI983074:NTI983096 ODE983074:ODE983096 ONA983074:ONA983096 OWW983074:OWW983096 PGS983074:PGS983096 PQO983074:PQO983096 QAK983074:QAK983096 QKG983074:QKG983096 QUC983074:QUC983096 RDY983074:RDY983096 RNU983074:RNU983096 RXQ983074:RXQ983096 SHM983074:SHM983096 SRI983074:SRI983096 TBE983074:TBE983096 TLA983074:TLA983096 TUW983074:TUW983096 UES983074:UES983096 UOO983074:UOO983096 UYK983074:UYK983096 VIG983074:VIG983096 VSC983074:VSC983096 WBY983074:WBY983096 WLU983074:WLU983096 WVQ983074:WVQ983096 I76:I80 JB29:JB31 SX29:SX31 ACT29:ACT31 AMP29:AMP31 AWL29:AWL31 BGH29:BGH31 BQD29:BQD31 BZZ29:BZZ31 CJV29:CJV31 CTR29:CTR31 DDN29:DDN31 DNJ29:DNJ31 DXF29:DXF31 EHB29:EHB31 EQX29:EQX31 FAT29:FAT31 FKP29:FKP31 FUL29:FUL31 GEH29:GEH31 GOD29:GOD31 GXZ29:GXZ31 HHV29:HHV31 HRR29:HRR31 IBN29:IBN31 ILJ29:ILJ31 IVF29:IVF31 JFB29:JFB31 JOX29:JOX31 JYT29:JYT31 KIP29:KIP31 KSL29:KSL31 LCH29:LCH31 LMD29:LMD31 LVZ29:LVZ31 MFV29:MFV31 MPR29:MPR31 MZN29:MZN31 NJJ29:NJJ31 NTF29:NTF31 ODB29:ODB31 OMX29:OMX31 OWT29:OWT31 PGP29:PGP31 PQL29:PQL31 QAH29:QAH31 QKD29:QKD31 QTZ29:QTZ31 RDV29:RDV31 RNR29:RNR31 RXN29:RXN31 SHJ29:SHJ31 SRF29:SRF31 TBB29:TBB31 TKX29:TKX31 TUT29:TUT31 UEP29:UEP31 UOL29:UOL31 UYH29:UYH31 VID29:VID31 VRZ29:VRZ31 WBV29:WBV31 WLR29:WLR31 WVN29:WVN31 F65565:F65567 JB65565:JB65567 SX65565:SX65567 ACT65565:ACT65567 AMP65565:AMP65567 AWL65565:AWL65567 BGH65565:BGH65567 BQD65565:BQD65567 BZZ65565:BZZ65567 CJV65565:CJV65567 CTR65565:CTR65567 DDN65565:DDN65567 DNJ65565:DNJ65567 DXF65565:DXF65567 EHB65565:EHB65567 EQX65565:EQX65567 FAT65565:FAT65567 FKP65565:FKP65567 FUL65565:FUL65567 GEH65565:GEH65567 GOD65565:GOD65567 GXZ65565:GXZ65567 HHV65565:HHV65567 HRR65565:HRR65567 IBN65565:IBN65567 ILJ65565:ILJ65567 IVF65565:IVF65567 JFB65565:JFB65567 JOX65565:JOX65567 JYT65565:JYT65567 KIP65565:KIP65567 KSL65565:KSL65567 LCH65565:LCH65567 LMD65565:LMD65567 LVZ65565:LVZ65567 MFV65565:MFV65567 MPR65565:MPR65567 MZN65565:MZN65567 NJJ65565:NJJ65567 NTF65565:NTF65567 ODB65565:ODB65567 OMX65565:OMX65567 OWT65565:OWT65567 PGP65565:PGP65567 PQL65565:PQL65567 QAH65565:QAH65567 QKD65565:QKD65567 QTZ65565:QTZ65567 RDV65565:RDV65567 RNR65565:RNR65567 RXN65565:RXN65567 SHJ65565:SHJ65567 SRF65565:SRF65567 TBB65565:TBB65567 TKX65565:TKX65567 TUT65565:TUT65567 UEP65565:UEP65567 UOL65565:UOL65567 UYH65565:UYH65567 VID65565:VID65567 VRZ65565:VRZ65567 WBV65565:WBV65567 WLR65565:WLR65567 WVN65565:WVN65567 F131101:F131103 JB131101:JB131103 SX131101:SX131103 ACT131101:ACT131103 AMP131101:AMP131103 AWL131101:AWL131103 BGH131101:BGH131103 BQD131101:BQD131103 BZZ131101:BZZ131103 CJV131101:CJV131103 CTR131101:CTR131103 DDN131101:DDN131103 DNJ131101:DNJ131103 DXF131101:DXF131103 EHB131101:EHB131103 EQX131101:EQX131103 FAT131101:FAT131103 FKP131101:FKP131103 FUL131101:FUL131103 GEH131101:GEH131103 GOD131101:GOD131103 GXZ131101:GXZ131103 HHV131101:HHV131103 HRR131101:HRR131103 IBN131101:IBN131103 ILJ131101:ILJ131103 IVF131101:IVF131103 JFB131101:JFB131103 JOX131101:JOX131103 JYT131101:JYT131103 KIP131101:KIP131103 KSL131101:KSL131103 LCH131101:LCH131103 LMD131101:LMD131103 LVZ131101:LVZ131103 MFV131101:MFV131103 MPR131101:MPR131103 MZN131101:MZN131103 NJJ131101:NJJ131103 NTF131101:NTF131103 ODB131101:ODB131103 OMX131101:OMX131103 OWT131101:OWT131103 PGP131101:PGP131103 PQL131101:PQL131103 QAH131101:QAH131103 QKD131101:QKD131103 QTZ131101:QTZ131103 RDV131101:RDV131103 RNR131101:RNR131103 RXN131101:RXN131103 SHJ131101:SHJ131103 SRF131101:SRF131103 TBB131101:TBB131103 TKX131101:TKX131103 TUT131101:TUT131103 UEP131101:UEP131103 UOL131101:UOL131103 UYH131101:UYH131103 VID131101:VID131103 VRZ131101:VRZ131103 WBV131101:WBV131103 WLR131101:WLR131103 WVN131101:WVN131103 F196637:F196639 JB196637:JB196639 SX196637:SX196639 ACT196637:ACT196639 AMP196637:AMP196639 AWL196637:AWL196639 BGH196637:BGH196639 BQD196637:BQD196639 BZZ196637:BZZ196639 CJV196637:CJV196639 CTR196637:CTR196639 DDN196637:DDN196639 DNJ196637:DNJ196639 DXF196637:DXF196639 EHB196637:EHB196639 EQX196637:EQX196639 FAT196637:FAT196639 FKP196637:FKP196639 FUL196637:FUL196639 GEH196637:GEH196639 GOD196637:GOD196639 GXZ196637:GXZ196639 HHV196637:HHV196639 HRR196637:HRR196639 IBN196637:IBN196639 ILJ196637:ILJ196639 IVF196637:IVF196639 JFB196637:JFB196639 JOX196637:JOX196639 JYT196637:JYT196639 KIP196637:KIP196639 KSL196637:KSL196639 LCH196637:LCH196639 LMD196637:LMD196639 LVZ196637:LVZ196639 MFV196637:MFV196639 MPR196637:MPR196639 MZN196637:MZN196639 NJJ196637:NJJ196639 NTF196637:NTF196639 ODB196637:ODB196639 OMX196637:OMX196639 OWT196637:OWT196639 PGP196637:PGP196639 PQL196637:PQL196639 QAH196637:QAH196639 QKD196637:QKD196639 QTZ196637:QTZ196639 RDV196637:RDV196639 RNR196637:RNR196639 RXN196637:RXN196639 SHJ196637:SHJ196639 SRF196637:SRF196639 TBB196637:TBB196639 TKX196637:TKX196639 TUT196637:TUT196639 UEP196637:UEP196639 UOL196637:UOL196639 UYH196637:UYH196639 VID196637:VID196639 VRZ196637:VRZ196639 WBV196637:WBV196639 WLR196637:WLR196639 WVN196637:WVN196639 F262173:F262175 JB262173:JB262175 SX262173:SX262175 ACT262173:ACT262175 AMP262173:AMP262175 AWL262173:AWL262175 BGH262173:BGH262175 BQD262173:BQD262175 BZZ262173:BZZ262175 CJV262173:CJV262175 CTR262173:CTR262175 DDN262173:DDN262175 DNJ262173:DNJ262175 DXF262173:DXF262175 EHB262173:EHB262175 EQX262173:EQX262175 FAT262173:FAT262175 FKP262173:FKP262175 FUL262173:FUL262175 GEH262173:GEH262175 GOD262173:GOD262175 GXZ262173:GXZ262175 HHV262173:HHV262175 HRR262173:HRR262175 IBN262173:IBN262175 ILJ262173:ILJ262175 IVF262173:IVF262175 JFB262173:JFB262175 JOX262173:JOX262175 JYT262173:JYT262175 KIP262173:KIP262175 KSL262173:KSL262175 LCH262173:LCH262175 LMD262173:LMD262175 LVZ262173:LVZ262175 MFV262173:MFV262175 MPR262173:MPR262175 MZN262173:MZN262175 NJJ262173:NJJ262175 NTF262173:NTF262175 ODB262173:ODB262175 OMX262173:OMX262175 OWT262173:OWT262175 PGP262173:PGP262175 PQL262173:PQL262175 QAH262173:QAH262175 QKD262173:QKD262175 QTZ262173:QTZ262175 RDV262173:RDV262175 RNR262173:RNR262175 RXN262173:RXN262175 SHJ262173:SHJ262175 SRF262173:SRF262175 TBB262173:TBB262175 TKX262173:TKX262175 TUT262173:TUT262175 UEP262173:UEP262175 UOL262173:UOL262175 UYH262173:UYH262175 VID262173:VID262175 VRZ262173:VRZ262175 WBV262173:WBV262175 WLR262173:WLR262175 WVN262173:WVN262175 F327709:F327711 JB327709:JB327711 SX327709:SX327711 ACT327709:ACT327711 AMP327709:AMP327711 AWL327709:AWL327711 BGH327709:BGH327711 BQD327709:BQD327711 BZZ327709:BZZ327711 CJV327709:CJV327711 CTR327709:CTR327711 DDN327709:DDN327711 DNJ327709:DNJ327711 DXF327709:DXF327711 EHB327709:EHB327711 EQX327709:EQX327711 FAT327709:FAT327711 FKP327709:FKP327711 FUL327709:FUL327711 GEH327709:GEH327711 GOD327709:GOD327711 GXZ327709:GXZ327711 HHV327709:HHV327711 HRR327709:HRR327711 IBN327709:IBN327711 ILJ327709:ILJ327711 IVF327709:IVF327711 JFB327709:JFB327711 JOX327709:JOX327711 JYT327709:JYT327711 KIP327709:KIP327711 KSL327709:KSL327711 LCH327709:LCH327711 LMD327709:LMD327711 LVZ327709:LVZ327711 MFV327709:MFV327711 MPR327709:MPR327711 MZN327709:MZN327711 NJJ327709:NJJ327711 NTF327709:NTF327711 ODB327709:ODB327711 OMX327709:OMX327711 OWT327709:OWT327711 PGP327709:PGP327711 PQL327709:PQL327711 QAH327709:QAH327711 QKD327709:QKD327711 QTZ327709:QTZ327711 RDV327709:RDV327711 RNR327709:RNR327711 RXN327709:RXN327711 SHJ327709:SHJ327711 SRF327709:SRF327711 TBB327709:TBB327711 TKX327709:TKX327711 TUT327709:TUT327711 UEP327709:UEP327711 UOL327709:UOL327711 UYH327709:UYH327711 VID327709:VID327711 VRZ327709:VRZ327711 WBV327709:WBV327711 WLR327709:WLR327711 WVN327709:WVN327711 F393245:F393247 JB393245:JB393247 SX393245:SX393247 ACT393245:ACT393247 AMP393245:AMP393247 AWL393245:AWL393247 BGH393245:BGH393247 BQD393245:BQD393247 BZZ393245:BZZ393247 CJV393245:CJV393247 CTR393245:CTR393247 DDN393245:DDN393247 DNJ393245:DNJ393247 DXF393245:DXF393247 EHB393245:EHB393247 EQX393245:EQX393247 FAT393245:FAT393247 FKP393245:FKP393247 FUL393245:FUL393247 GEH393245:GEH393247 GOD393245:GOD393247 GXZ393245:GXZ393247 HHV393245:HHV393247 HRR393245:HRR393247 IBN393245:IBN393247 ILJ393245:ILJ393247 IVF393245:IVF393247 JFB393245:JFB393247 JOX393245:JOX393247 JYT393245:JYT393247 KIP393245:KIP393247 KSL393245:KSL393247 LCH393245:LCH393247 LMD393245:LMD393247 LVZ393245:LVZ393247 MFV393245:MFV393247 MPR393245:MPR393247 MZN393245:MZN393247 NJJ393245:NJJ393247 NTF393245:NTF393247 ODB393245:ODB393247 OMX393245:OMX393247 OWT393245:OWT393247 PGP393245:PGP393247 PQL393245:PQL393247 QAH393245:QAH393247 QKD393245:QKD393247 QTZ393245:QTZ393247 RDV393245:RDV393247 RNR393245:RNR393247 RXN393245:RXN393247 SHJ393245:SHJ393247 SRF393245:SRF393247 TBB393245:TBB393247 TKX393245:TKX393247 TUT393245:TUT393247 UEP393245:UEP393247 UOL393245:UOL393247 UYH393245:UYH393247 VID393245:VID393247 VRZ393245:VRZ393247 WBV393245:WBV393247 WLR393245:WLR393247 WVN393245:WVN393247 F458781:F458783 JB458781:JB458783 SX458781:SX458783 ACT458781:ACT458783 AMP458781:AMP458783 AWL458781:AWL458783 BGH458781:BGH458783 BQD458781:BQD458783 BZZ458781:BZZ458783 CJV458781:CJV458783 CTR458781:CTR458783 DDN458781:DDN458783 DNJ458781:DNJ458783 DXF458781:DXF458783 EHB458781:EHB458783 EQX458781:EQX458783 FAT458781:FAT458783 FKP458781:FKP458783 FUL458781:FUL458783 GEH458781:GEH458783 GOD458781:GOD458783 GXZ458781:GXZ458783 HHV458781:HHV458783 HRR458781:HRR458783 IBN458781:IBN458783 ILJ458781:ILJ458783 IVF458781:IVF458783 JFB458781:JFB458783 JOX458781:JOX458783 JYT458781:JYT458783 KIP458781:KIP458783 KSL458781:KSL458783 LCH458781:LCH458783 LMD458781:LMD458783 LVZ458781:LVZ458783 MFV458781:MFV458783 MPR458781:MPR458783 MZN458781:MZN458783 NJJ458781:NJJ458783 NTF458781:NTF458783 ODB458781:ODB458783 OMX458781:OMX458783 OWT458781:OWT458783 PGP458781:PGP458783 PQL458781:PQL458783 QAH458781:QAH458783 QKD458781:QKD458783 QTZ458781:QTZ458783 RDV458781:RDV458783 RNR458781:RNR458783 RXN458781:RXN458783 SHJ458781:SHJ458783 SRF458781:SRF458783 TBB458781:TBB458783 TKX458781:TKX458783 TUT458781:TUT458783 UEP458781:UEP458783 UOL458781:UOL458783 UYH458781:UYH458783 VID458781:VID458783 VRZ458781:VRZ458783 WBV458781:WBV458783 WLR458781:WLR458783 WVN458781:WVN458783 F524317:F524319 JB524317:JB524319 SX524317:SX524319 ACT524317:ACT524319 AMP524317:AMP524319 AWL524317:AWL524319 BGH524317:BGH524319 BQD524317:BQD524319 BZZ524317:BZZ524319 CJV524317:CJV524319 CTR524317:CTR524319 DDN524317:DDN524319 DNJ524317:DNJ524319 DXF524317:DXF524319 EHB524317:EHB524319 EQX524317:EQX524319 FAT524317:FAT524319 FKP524317:FKP524319 FUL524317:FUL524319 GEH524317:GEH524319 GOD524317:GOD524319 GXZ524317:GXZ524319 HHV524317:HHV524319 HRR524317:HRR524319 IBN524317:IBN524319 ILJ524317:ILJ524319 IVF524317:IVF524319 JFB524317:JFB524319 JOX524317:JOX524319 JYT524317:JYT524319 KIP524317:KIP524319 KSL524317:KSL524319 LCH524317:LCH524319 LMD524317:LMD524319 LVZ524317:LVZ524319 MFV524317:MFV524319 MPR524317:MPR524319 MZN524317:MZN524319 NJJ524317:NJJ524319 NTF524317:NTF524319 ODB524317:ODB524319 OMX524317:OMX524319 OWT524317:OWT524319 PGP524317:PGP524319 PQL524317:PQL524319 QAH524317:QAH524319 QKD524317:QKD524319 QTZ524317:QTZ524319 RDV524317:RDV524319 RNR524317:RNR524319 RXN524317:RXN524319 SHJ524317:SHJ524319 SRF524317:SRF524319 TBB524317:TBB524319 TKX524317:TKX524319 TUT524317:TUT524319 UEP524317:UEP524319 UOL524317:UOL524319 UYH524317:UYH524319 VID524317:VID524319 VRZ524317:VRZ524319 WBV524317:WBV524319 WLR524317:WLR524319 WVN524317:WVN524319 F589853:F589855 JB589853:JB589855 SX589853:SX589855 ACT589853:ACT589855 AMP589853:AMP589855 AWL589853:AWL589855 BGH589853:BGH589855 BQD589853:BQD589855 BZZ589853:BZZ589855 CJV589853:CJV589855 CTR589853:CTR589855 DDN589853:DDN589855 DNJ589853:DNJ589855 DXF589853:DXF589855 EHB589853:EHB589855 EQX589853:EQX589855 FAT589853:FAT589855 FKP589853:FKP589855 FUL589853:FUL589855 GEH589853:GEH589855 GOD589853:GOD589855 GXZ589853:GXZ589855 HHV589853:HHV589855 HRR589853:HRR589855 IBN589853:IBN589855 ILJ589853:ILJ589855 IVF589853:IVF589855 JFB589853:JFB589855 JOX589853:JOX589855 JYT589853:JYT589855 KIP589853:KIP589855 KSL589853:KSL589855 LCH589853:LCH589855 LMD589853:LMD589855 LVZ589853:LVZ589855 MFV589853:MFV589855 MPR589853:MPR589855 MZN589853:MZN589855 NJJ589853:NJJ589855 NTF589853:NTF589855 ODB589853:ODB589855 OMX589853:OMX589855 OWT589853:OWT589855 PGP589853:PGP589855 PQL589853:PQL589855 QAH589853:QAH589855 QKD589853:QKD589855 QTZ589853:QTZ589855 RDV589853:RDV589855 RNR589853:RNR589855 RXN589853:RXN589855 SHJ589853:SHJ589855 SRF589853:SRF589855 TBB589853:TBB589855 TKX589853:TKX589855 TUT589853:TUT589855 UEP589853:UEP589855 UOL589853:UOL589855 UYH589853:UYH589855 VID589853:VID589855 VRZ589853:VRZ589855 WBV589853:WBV589855 WLR589853:WLR589855 WVN589853:WVN589855 F655389:F655391 JB655389:JB655391 SX655389:SX655391 ACT655389:ACT655391 AMP655389:AMP655391 AWL655389:AWL655391 BGH655389:BGH655391 BQD655389:BQD655391 BZZ655389:BZZ655391 CJV655389:CJV655391 CTR655389:CTR655391 DDN655389:DDN655391 DNJ655389:DNJ655391 DXF655389:DXF655391 EHB655389:EHB655391 EQX655389:EQX655391 FAT655389:FAT655391 FKP655389:FKP655391 FUL655389:FUL655391 GEH655389:GEH655391 GOD655389:GOD655391 GXZ655389:GXZ655391 HHV655389:HHV655391 HRR655389:HRR655391 IBN655389:IBN655391 ILJ655389:ILJ655391 IVF655389:IVF655391 JFB655389:JFB655391 JOX655389:JOX655391 JYT655389:JYT655391 KIP655389:KIP655391 KSL655389:KSL655391 LCH655389:LCH655391 LMD655389:LMD655391 LVZ655389:LVZ655391 MFV655389:MFV655391 MPR655389:MPR655391 MZN655389:MZN655391 NJJ655389:NJJ655391 NTF655389:NTF655391 ODB655389:ODB655391 OMX655389:OMX655391 OWT655389:OWT655391 PGP655389:PGP655391 PQL655389:PQL655391 QAH655389:QAH655391 QKD655389:QKD655391 QTZ655389:QTZ655391 RDV655389:RDV655391 RNR655389:RNR655391 RXN655389:RXN655391 SHJ655389:SHJ655391 SRF655389:SRF655391 TBB655389:TBB655391 TKX655389:TKX655391 TUT655389:TUT655391 UEP655389:UEP655391 UOL655389:UOL655391 UYH655389:UYH655391 VID655389:VID655391 VRZ655389:VRZ655391 WBV655389:WBV655391 WLR655389:WLR655391 WVN655389:WVN655391 F720925:F720927 JB720925:JB720927 SX720925:SX720927 ACT720925:ACT720927 AMP720925:AMP720927 AWL720925:AWL720927 BGH720925:BGH720927 BQD720925:BQD720927 BZZ720925:BZZ720927 CJV720925:CJV720927 CTR720925:CTR720927 DDN720925:DDN720927 DNJ720925:DNJ720927 DXF720925:DXF720927 EHB720925:EHB720927 EQX720925:EQX720927 FAT720925:FAT720927 FKP720925:FKP720927 FUL720925:FUL720927 GEH720925:GEH720927 GOD720925:GOD720927 GXZ720925:GXZ720927 HHV720925:HHV720927 HRR720925:HRR720927 IBN720925:IBN720927 ILJ720925:ILJ720927 IVF720925:IVF720927 JFB720925:JFB720927 JOX720925:JOX720927 JYT720925:JYT720927 KIP720925:KIP720927 KSL720925:KSL720927 LCH720925:LCH720927 LMD720925:LMD720927 LVZ720925:LVZ720927 MFV720925:MFV720927 MPR720925:MPR720927 MZN720925:MZN720927 NJJ720925:NJJ720927 NTF720925:NTF720927 ODB720925:ODB720927 OMX720925:OMX720927 OWT720925:OWT720927 PGP720925:PGP720927 PQL720925:PQL720927 QAH720925:QAH720927 QKD720925:QKD720927 QTZ720925:QTZ720927 RDV720925:RDV720927 RNR720925:RNR720927 RXN720925:RXN720927 SHJ720925:SHJ720927 SRF720925:SRF720927 TBB720925:TBB720927 TKX720925:TKX720927 TUT720925:TUT720927 UEP720925:UEP720927 UOL720925:UOL720927 UYH720925:UYH720927 VID720925:VID720927 VRZ720925:VRZ720927 WBV720925:WBV720927 WLR720925:WLR720927 WVN720925:WVN720927 F786461:F786463 JB786461:JB786463 SX786461:SX786463 ACT786461:ACT786463 AMP786461:AMP786463 AWL786461:AWL786463 BGH786461:BGH786463 BQD786461:BQD786463 BZZ786461:BZZ786463 CJV786461:CJV786463 CTR786461:CTR786463 DDN786461:DDN786463 DNJ786461:DNJ786463 DXF786461:DXF786463 EHB786461:EHB786463 EQX786461:EQX786463 FAT786461:FAT786463 FKP786461:FKP786463 FUL786461:FUL786463 GEH786461:GEH786463 GOD786461:GOD786463 GXZ786461:GXZ786463 HHV786461:HHV786463 HRR786461:HRR786463 IBN786461:IBN786463 ILJ786461:ILJ786463 IVF786461:IVF786463 JFB786461:JFB786463 JOX786461:JOX786463 JYT786461:JYT786463 KIP786461:KIP786463 KSL786461:KSL786463 LCH786461:LCH786463 LMD786461:LMD786463 LVZ786461:LVZ786463 MFV786461:MFV786463 MPR786461:MPR786463 MZN786461:MZN786463 NJJ786461:NJJ786463 NTF786461:NTF786463 ODB786461:ODB786463 OMX786461:OMX786463 OWT786461:OWT786463 PGP786461:PGP786463 PQL786461:PQL786463 QAH786461:QAH786463 QKD786461:QKD786463 QTZ786461:QTZ786463 RDV786461:RDV786463 RNR786461:RNR786463 RXN786461:RXN786463 SHJ786461:SHJ786463 SRF786461:SRF786463 TBB786461:TBB786463 TKX786461:TKX786463 TUT786461:TUT786463 UEP786461:UEP786463 UOL786461:UOL786463 UYH786461:UYH786463 VID786461:VID786463 VRZ786461:VRZ786463 WBV786461:WBV786463 WLR786461:WLR786463 WVN786461:WVN786463 F851997:F851999 JB851997:JB851999 SX851997:SX851999 ACT851997:ACT851999 AMP851997:AMP851999 AWL851997:AWL851999 BGH851997:BGH851999 BQD851997:BQD851999 BZZ851997:BZZ851999 CJV851997:CJV851999 CTR851997:CTR851999 DDN851997:DDN851999 DNJ851997:DNJ851999 DXF851997:DXF851999 EHB851997:EHB851999 EQX851997:EQX851999 FAT851997:FAT851999 FKP851997:FKP851999 FUL851997:FUL851999 GEH851997:GEH851999 GOD851997:GOD851999 GXZ851997:GXZ851999 HHV851997:HHV851999 HRR851997:HRR851999 IBN851997:IBN851999 ILJ851997:ILJ851999 IVF851997:IVF851999 JFB851997:JFB851999 JOX851997:JOX851999 JYT851997:JYT851999 KIP851997:KIP851999 KSL851997:KSL851999 LCH851997:LCH851999 LMD851997:LMD851999 LVZ851997:LVZ851999 MFV851997:MFV851999 MPR851997:MPR851999 MZN851997:MZN851999 NJJ851997:NJJ851999 NTF851997:NTF851999 ODB851997:ODB851999 OMX851997:OMX851999 OWT851997:OWT851999 PGP851997:PGP851999 PQL851997:PQL851999 QAH851997:QAH851999 QKD851997:QKD851999 QTZ851997:QTZ851999 RDV851997:RDV851999 RNR851997:RNR851999 RXN851997:RXN851999 SHJ851997:SHJ851999 SRF851997:SRF851999 TBB851997:TBB851999 TKX851997:TKX851999 TUT851997:TUT851999 UEP851997:UEP851999 UOL851997:UOL851999 UYH851997:UYH851999 VID851997:VID851999 VRZ851997:VRZ851999 WBV851997:WBV851999 WLR851997:WLR851999 WVN851997:WVN851999 F917533:F917535 JB917533:JB917535 SX917533:SX917535 ACT917533:ACT917535 AMP917533:AMP917535 AWL917533:AWL917535 BGH917533:BGH917535 BQD917533:BQD917535 BZZ917533:BZZ917535 CJV917533:CJV917535 CTR917533:CTR917535 DDN917533:DDN917535 DNJ917533:DNJ917535 DXF917533:DXF917535 EHB917533:EHB917535 EQX917533:EQX917535 FAT917533:FAT917535 FKP917533:FKP917535 FUL917533:FUL917535 GEH917533:GEH917535 GOD917533:GOD917535 GXZ917533:GXZ917535 HHV917533:HHV917535 HRR917533:HRR917535 IBN917533:IBN917535 ILJ917533:ILJ917535 IVF917533:IVF917535 JFB917533:JFB917535 JOX917533:JOX917535 JYT917533:JYT917535 KIP917533:KIP917535 KSL917533:KSL917535 LCH917533:LCH917535 LMD917533:LMD917535 LVZ917533:LVZ917535 MFV917533:MFV917535 MPR917533:MPR917535 MZN917533:MZN917535 NJJ917533:NJJ917535 NTF917533:NTF917535 ODB917533:ODB917535 OMX917533:OMX917535 OWT917533:OWT917535 PGP917533:PGP917535 PQL917533:PQL917535 QAH917533:QAH917535 QKD917533:QKD917535 QTZ917533:QTZ917535 RDV917533:RDV917535 RNR917533:RNR917535 RXN917533:RXN917535 SHJ917533:SHJ917535 SRF917533:SRF917535 TBB917533:TBB917535 TKX917533:TKX917535 TUT917533:TUT917535 UEP917533:UEP917535 UOL917533:UOL917535 UYH917533:UYH917535 VID917533:VID917535 VRZ917533:VRZ917535 WBV917533:WBV917535 WLR917533:WLR917535 WVN917533:WVN917535 F983069:F983071 JB983069:JB983071 SX983069:SX983071 ACT983069:ACT983071 AMP983069:AMP983071 AWL983069:AWL983071 BGH983069:BGH983071 BQD983069:BQD983071 BZZ983069:BZZ983071 CJV983069:CJV983071 CTR983069:CTR983071 DDN983069:DDN983071 DNJ983069:DNJ983071 DXF983069:DXF983071 EHB983069:EHB983071 EQX983069:EQX983071 FAT983069:FAT983071 FKP983069:FKP983071 FUL983069:FUL983071 GEH983069:GEH983071 GOD983069:GOD983071 GXZ983069:GXZ983071 HHV983069:HHV983071 HRR983069:HRR983071 IBN983069:IBN983071 ILJ983069:ILJ983071 IVF983069:IVF983071 JFB983069:JFB983071 JOX983069:JOX983071 JYT983069:JYT983071 KIP983069:KIP983071 KSL983069:KSL983071 LCH983069:LCH983071 LMD983069:LMD983071 LVZ983069:LVZ983071 MFV983069:MFV983071 MPR983069:MPR983071 MZN983069:MZN983071 NJJ983069:NJJ983071 NTF983069:NTF983071 ODB983069:ODB983071 OMX983069:OMX983071 OWT983069:OWT983071 PGP983069:PGP983071 PQL983069:PQL983071 QAH983069:QAH983071 QKD983069:QKD983071 QTZ983069:QTZ983071 RDV983069:RDV983071 RNR983069:RNR983071 RXN983069:RXN983071 SHJ983069:SHJ983071 SRF983069:SRF983071 TBB983069:TBB983071 TKX983069:TKX983071 TUT983069:TUT983071 UEP983069:UEP983071 UOL983069:UOL983071 UYH983069:UYH983071 VID983069:VID983071 VRZ983069:VRZ983071 WBV983069:WBV983071 WLR983069:WLR983071 WVN983069:WVN983071 JB79:JB80 SX79:SX80 ACT79:ACT80 AMP79:AMP80 AWL79:AWL80 BGH79:BGH80 BQD79:BQD80 BZZ79:BZZ80 CJV79:CJV80 CTR79:CTR80 DDN79:DDN80 DNJ79:DNJ80 DXF79:DXF80 EHB79:EHB80 EQX79:EQX80 FAT79:FAT80 FKP79:FKP80 FUL79:FUL80 GEH79:GEH80 GOD79:GOD80 GXZ79:GXZ80 HHV79:HHV80 HRR79:HRR80 IBN79:IBN80 ILJ79:ILJ80 IVF79:IVF80 JFB79:JFB80 JOX79:JOX80 JYT79:JYT80 KIP79:KIP80 KSL79:KSL80 LCH79:LCH80 LMD79:LMD80 LVZ79:LVZ80 MFV79:MFV80 MPR79:MPR80 MZN79:MZN80 NJJ79:NJJ80 NTF79:NTF80 ODB79:ODB80 OMX79:OMX80 OWT79:OWT80 PGP79:PGP80 PQL79:PQL80 QAH79:QAH80 QKD79:QKD80 QTZ79:QTZ80 RDV79:RDV80 RNR79:RNR80 RXN79:RXN80 SHJ79:SHJ80 SRF79:SRF80 TBB79:TBB80 TKX79:TKX80 TUT79:TUT80 UEP79:UEP80 UOL79:UOL80 UYH79:UYH80 VID79:VID80 VRZ79:VRZ80 WBV79:WBV80 WLR79:WLR80 WVN79:WVN80 F65615:F65616 JB65615:JB65616 SX65615:SX65616 ACT65615:ACT65616 AMP65615:AMP65616 AWL65615:AWL65616 BGH65615:BGH65616 BQD65615:BQD65616 BZZ65615:BZZ65616 CJV65615:CJV65616 CTR65615:CTR65616 DDN65615:DDN65616 DNJ65615:DNJ65616 DXF65615:DXF65616 EHB65615:EHB65616 EQX65615:EQX65616 FAT65615:FAT65616 FKP65615:FKP65616 FUL65615:FUL65616 GEH65615:GEH65616 GOD65615:GOD65616 GXZ65615:GXZ65616 HHV65615:HHV65616 HRR65615:HRR65616 IBN65615:IBN65616 ILJ65615:ILJ65616 IVF65615:IVF65616 JFB65615:JFB65616 JOX65615:JOX65616 JYT65615:JYT65616 KIP65615:KIP65616 KSL65615:KSL65616 LCH65615:LCH65616 LMD65615:LMD65616 LVZ65615:LVZ65616 MFV65615:MFV65616 MPR65615:MPR65616 MZN65615:MZN65616 NJJ65615:NJJ65616 NTF65615:NTF65616 ODB65615:ODB65616 OMX65615:OMX65616 OWT65615:OWT65616 PGP65615:PGP65616 PQL65615:PQL65616 QAH65615:QAH65616 QKD65615:QKD65616 QTZ65615:QTZ65616 RDV65615:RDV65616 RNR65615:RNR65616 RXN65615:RXN65616 SHJ65615:SHJ65616 SRF65615:SRF65616 TBB65615:TBB65616 TKX65615:TKX65616 TUT65615:TUT65616 UEP65615:UEP65616 UOL65615:UOL65616 UYH65615:UYH65616 VID65615:VID65616 VRZ65615:VRZ65616 WBV65615:WBV65616 WLR65615:WLR65616 WVN65615:WVN65616 F131151:F131152 JB131151:JB131152 SX131151:SX131152 ACT131151:ACT131152 AMP131151:AMP131152 AWL131151:AWL131152 BGH131151:BGH131152 BQD131151:BQD131152 BZZ131151:BZZ131152 CJV131151:CJV131152 CTR131151:CTR131152 DDN131151:DDN131152 DNJ131151:DNJ131152 DXF131151:DXF131152 EHB131151:EHB131152 EQX131151:EQX131152 FAT131151:FAT131152 FKP131151:FKP131152 FUL131151:FUL131152 GEH131151:GEH131152 GOD131151:GOD131152 GXZ131151:GXZ131152 HHV131151:HHV131152 HRR131151:HRR131152 IBN131151:IBN131152 ILJ131151:ILJ131152 IVF131151:IVF131152 JFB131151:JFB131152 JOX131151:JOX131152 JYT131151:JYT131152 KIP131151:KIP131152 KSL131151:KSL131152 LCH131151:LCH131152 LMD131151:LMD131152 LVZ131151:LVZ131152 MFV131151:MFV131152 MPR131151:MPR131152 MZN131151:MZN131152 NJJ131151:NJJ131152 NTF131151:NTF131152 ODB131151:ODB131152 OMX131151:OMX131152 OWT131151:OWT131152 PGP131151:PGP131152 PQL131151:PQL131152 QAH131151:QAH131152 QKD131151:QKD131152 QTZ131151:QTZ131152 RDV131151:RDV131152 RNR131151:RNR131152 RXN131151:RXN131152 SHJ131151:SHJ131152 SRF131151:SRF131152 TBB131151:TBB131152 TKX131151:TKX131152 TUT131151:TUT131152 UEP131151:UEP131152 UOL131151:UOL131152 UYH131151:UYH131152 VID131151:VID131152 VRZ131151:VRZ131152 WBV131151:WBV131152 WLR131151:WLR131152 WVN131151:WVN131152 F196687:F196688 JB196687:JB196688 SX196687:SX196688 ACT196687:ACT196688 AMP196687:AMP196688 AWL196687:AWL196688 BGH196687:BGH196688 BQD196687:BQD196688 BZZ196687:BZZ196688 CJV196687:CJV196688 CTR196687:CTR196688 DDN196687:DDN196688 DNJ196687:DNJ196688 DXF196687:DXF196688 EHB196687:EHB196688 EQX196687:EQX196688 FAT196687:FAT196688 FKP196687:FKP196688 FUL196687:FUL196688 GEH196687:GEH196688 GOD196687:GOD196688 GXZ196687:GXZ196688 HHV196687:HHV196688 HRR196687:HRR196688 IBN196687:IBN196688 ILJ196687:ILJ196688 IVF196687:IVF196688 JFB196687:JFB196688 JOX196687:JOX196688 JYT196687:JYT196688 KIP196687:KIP196688 KSL196687:KSL196688 LCH196687:LCH196688 LMD196687:LMD196688 LVZ196687:LVZ196688 MFV196687:MFV196688 MPR196687:MPR196688 MZN196687:MZN196688 NJJ196687:NJJ196688 NTF196687:NTF196688 ODB196687:ODB196688 OMX196687:OMX196688 OWT196687:OWT196688 PGP196687:PGP196688 PQL196687:PQL196688 QAH196687:QAH196688 QKD196687:QKD196688 QTZ196687:QTZ196688 RDV196687:RDV196688 RNR196687:RNR196688 RXN196687:RXN196688 SHJ196687:SHJ196688 SRF196687:SRF196688 TBB196687:TBB196688 TKX196687:TKX196688 TUT196687:TUT196688 UEP196687:UEP196688 UOL196687:UOL196688 UYH196687:UYH196688 VID196687:VID196688 VRZ196687:VRZ196688 WBV196687:WBV196688 WLR196687:WLR196688 WVN196687:WVN196688 F262223:F262224 JB262223:JB262224 SX262223:SX262224 ACT262223:ACT262224 AMP262223:AMP262224 AWL262223:AWL262224 BGH262223:BGH262224 BQD262223:BQD262224 BZZ262223:BZZ262224 CJV262223:CJV262224 CTR262223:CTR262224 DDN262223:DDN262224 DNJ262223:DNJ262224 DXF262223:DXF262224 EHB262223:EHB262224 EQX262223:EQX262224 FAT262223:FAT262224 FKP262223:FKP262224 FUL262223:FUL262224 GEH262223:GEH262224 GOD262223:GOD262224 GXZ262223:GXZ262224 HHV262223:HHV262224 HRR262223:HRR262224 IBN262223:IBN262224 ILJ262223:ILJ262224 IVF262223:IVF262224 JFB262223:JFB262224 JOX262223:JOX262224 JYT262223:JYT262224 KIP262223:KIP262224 KSL262223:KSL262224 LCH262223:LCH262224 LMD262223:LMD262224 LVZ262223:LVZ262224 MFV262223:MFV262224 MPR262223:MPR262224 MZN262223:MZN262224 NJJ262223:NJJ262224 NTF262223:NTF262224 ODB262223:ODB262224 OMX262223:OMX262224 OWT262223:OWT262224 PGP262223:PGP262224 PQL262223:PQL262224 QAH262223:QAH262224 QKD262223:QKD262224 QTZ262223:QTZ262224 RDV262223:RDV262224 RNR262223:RNR262224 RXN262223:RXN262224 SHJ262223:SHJ262224 SRF262223:SRF262224 TBB262223:TBB262224 TKX262223:TKX262224 TUT262223:TUT262224 UEP262223:UEP262224 UOL262223:UOL262224 UYH262223:UYH262224 VID262223:VID262224 VRZ262223:VRZ262224 WBV262223:WBV262224 WLR262223:WLR262224 WVN262223:WVN262224 F327759:F327760 JB327759:JB327760 SX327759:SX327760 ACT327759:ACT327760 AMP327759:AMP327760 AWL327759:AWL327760 BGH327759:BGH327760 BQD327759:BQD327760 BZZ327759:BZZ327760 CJV327759:CJV327760 CTR327759:CTR327760 DDN327759:DDN327760 DNJ327759:DNJ327760 DXF327759:DXF327760 EHB327759:EHB327760 EQX327759:EQX327760 FAT327759:FAT327760 FKP327759:FKP327760 FUL327759:FUL327760 GEH327759:GEH327760 GOD327759:GOD327760 GXZ327759:GXZ327760 HHV327759:HHV327760 HRR327759:HRR327760 IBN327759:IBN327760 ILJ327759:ILJ327760 IVF327759:IVF327760 JFB327759:JFB327760 JOX327759:JOX327760 JYT327759:JYT327760 KIP327759:KIP327760 KSL327759:KSL327760 LCH327759:LCH327760 LMD327759:LMD327760 LVZ327759:LVZ327760 MFV327759:MFV327760 MPR327759:MPR327760 MZN327759:MZN327760 NJJ327759:NJJ327760 NTF327759:NTF327760 ODB327759:ODB327760 OMX327759:OMX327760 OWT327759:OWT327760 PGP327759:PGP327760 PQL327759:PQL327760 QAH327759:QAH327760 QKD327759:QKD327760 QTZ327759:QTZ327760 RDV327759:RDV327760 RNR327759:RNR327760 RXN327759:RXN327760 SHJ327759:SHJ327760 SRF327759:SRF327760 TBB327759:TBB327760 TKX327759:TKX327760 TUT327759:TUT327760 UEP327759:UEP327760 UOL327759:UOL327760 UYH327759:UYH327760 VID327759:VID327760 VRZ327759:VRZ327760 WBV327759:WBV327760 WLR327759:WLR327760 WVN327759:WVN327760 F393295:F393296 JB393295:JB393296 SX393295:SX393296 ACT393295:ACT393296 AMP393295:AMP393296 AWL393295:AWL393296 BGH393295:BGH393296 BQD393295:BQD393296 BZZ393295:BZZ393296 CJV393295:CJV393296 CTR393295:CTR393296 DDN393295:DDN393296 DNJ393295:DNJ393296 DXF393295:DXF393296 EHB393295:EHB393296 EQX393295:EQX393296 FAT393295:FAT393296 FKP393295:FKP393296 FUL393295:FUL393296 GEH393295:GEH393296 GOD393295:GOD393296 GXZ393295:GXZ393296 HHV393295:HHV393296 HRR393295:HRR393296 IBN393295:IBN393296 ILJ393295:ILJ393296 IVF393295:IVF393296 JFB393295:JFB393296 JOX393295:JOX393296 JYT393295:JYT393296 KIP393295:KIP393296 KSL393295:KSL393296 LCH393295:LCH393296 LMD393295:LMD393296 LVZ393295:LVZ393296 MFV393295:MFV393296 MPR393295:MPR393296 MZN393295:MZN393296 NJJ393295:NJJ393296 NTF393295:NTF393296 ODB393295:ODB393296 OMX393295:OMX393296 OWT393295:OWT393296 PGP393295:PGP393296 PQL393295:PQL393296 QAH393295:QAH393296 QKD393295:QKD393296 QTZ393295:QTZ393296 RDV393295:RDV393296 RNR393295:RNR393296 RXN393295:RXN393296 SHJ393295:SHJ393296 SRF393295:SRF393296 TBB393295:TBB393296 TKX393295:TKX393296 TUT393295:TUT393296 UEP393295:UEP393296 UOL393295:UOL393296 UYH393295:UYH393296 VID393295:VID393296 VRZ393295:VRZ393296 WBV393295:WBV393296 WLR393295:WLR393296 WVN393295:WVN393296 F458831:F458832 JB458831:JB458832 SX458831:SX458832 ACT458831:ACT458832 AMP458831:AMP458832 AWL458831:AWL458832 BGH458831:BGH458832 BQD458831:BQD458832 BZZ458831:BZZ458832 CJV458831:CJV458832 CTR458831:CTR458832 DDN458831:DDN458832 DNJ458831:DNJ458832 DXF458831:DXF458832 EHB458831:EHB458832 EQX458831:EQX458832 FAT458831:FAT458832 FKP458831:FKP458832 FUL458831:FUL458832 GEH458831:GEH458832 GOD458831:GOD458832 GXZ458831:GXZ458832 HHV458831:HHV458832 HRR458831:HRR458832 IBN458831:IBN458832 ILJ458831:ILJ458832 IVF458831:IVF458832 JFB458831:JFB458832 JOX458831:JOX458832 JYT458831:JYT458832 KIP458831:KIP458832 KSL458831:KSL458832 LCH458831:LCH458832 LMD458831:LMD458832 LVZ458831:LVZ458832 MFV458831:MFV458832 MPR458831:MPR458832 MZN458831:MZN458832 NJJ458831:NJJ458832 NTF458831:NTF458832 ODB458831:ODB458832 OMX458831:OMX458832 OWT458831:OWT458832 PGP458831:PGP458832 PQL458831:PQL458832 QAH458831:QAH458832 QKD458831:QKD458832 QTZ458831:QTZ458832 RDV458831:RDV458832 RNR458831:RNR458832 RXN458831:RXN458832 SHJ458831:SHJ458832 SRF458831:SRF458832 TBB458831:TBB458832 TKX458831:TKX458832 TUT458831:TUT458832 UEP458831:UEP458832 UOL458831:UOL458832 UYH458831:UYH458832 VID458831:VID458832 VRZ458831:VRZ458832 WBV458831:WBV458832 WLR458831:WLR458832 WVN458831:WVN458832 F524367:F524368 JB524367:JB524368 SX524367:SX524368 ACT524367:ACT524368 AMP524367:AMP524368 AWL524367:AWL524368 BGH524367:BGH524368 BQD524367:BQD524368 BZZ524367:BZZ524368 CJV524367:CJV524368 CTR524367:CTR524368 DDN524367:DDN524368 DNJ524367:DNJ524368 DXF524367:DXF524368 EHB524367:EHB524368 EQX524367:EQX524368 FAT524367:FAT524368 FKP524367:FKP524368 FUL524367:FUL524368 GEH524367:GEH524368 GOD524367:GOD524368 GXZ524367:GXZ524368 HHV524367:HHV524368 HRR524367:HRR524368 IBN524367:IBN524368 ILJ524367:ILJ524368 IVF524367:IVF524368 JFB524367:JFB524368 JOX524367:JOX524368 JYT524367:JYT524368 KIP524367:KIP524368 KSL524367:KSL524368 LCH524367:LCH524368 LMD524367:LMD524368 LVZ524367:LVZ524368 MFV524367:MFV524368 MPR524367:MPR524368 MZN524367:MZN524368 NJJ524367:NJJ524368 NTF524367:NTF524368 ODB524367:ODB524368 OMX524367:OMX524368 OWT524367:OWT524368 PGP524367:PGP524368 PQL524367:PQL524368 QAH524367:QAH524368 QKD524367:QKD524368 QTZ524367:QTZ524368 RDV524367:RDV524368 RNR524367:RNR524368 RXN524367:RXN524368 SHJ524367:SHJ524368 SRF524367:SRF524368 TBB524367:TBB524368 TKX524367:TKX524368 TUT524367:TUT524368 UEP524367:UEP524368 UOL524367:UOL524368 UYH524367:UYH524368 VID524367:VID524368 VRZ524367:VRZ524368 WBV524367:WBV524368 WLR524367:WLR524368 WVN524367:WVN524368 F589903:F589904 JB589903:JB589904 SX589903:SX589904 ACT589903:ACT589904 AMP589903:AMP589904 AWL589903:AWL589904 BGH589903:BGH589904 BQD589903:BQD589904 BZZ589903:BZZ589904 CJV589903:CJV589904 CTR589903:CTR589904 DDN589903:DDN589904 DNJ589903:DNJ589904 DXF589903:DXF589904 EHB589903:EHB589904 EQX589903:EQX589904 FAT589903:FAT589904 FKP589903:FKP589904 FUL589903:FUL589904 GEH589903:GEH589904 GOD589903:GOD589904 GXZ589903:GXZ589904 HHV589903:HHV589904 HRR589903:HRR589904 IBN589903:IBN589904 ILJ589903:ILJ589904 IVF589903:IVF589904 JFB589903:JFB589904 JOX589903:JOX589904 JYT589903:JYT589904 KIP589903:KIP589904 KSL589903:KSL589904 LCH589903:LCH589904 LMD589903:LMD589904 LVZ589903:LVZ589904 MFV589903:MFV589904 MPR589903:MPR589904 MZN589903:MZN589904 NJJ589903:NJJ589904 NTF589903:NTF589904 ODB589903:ODB589904 OMX589903:OMX589904 OWT589903:OWT589904 PGP589903:PGP589904 PQL589903:PQL589904 QAH589903:QAH589904 QKD589903:QKD589904 QTZ589903:QTZ589904 RDV589903:RDV589904 RNR589903:RNR589904 RXN589903:RXN589904 SHJ589903:SHJ589904 SRF589903:SRF589904 TBB589903:TBB589904 TKX589903:TKX589904 TUT589903:TUT589904 UEP589903:UEP589904 UOL589903:UOL589904 UYH589903:UYH589904 VID589903:VID589904 VRZ589903:VRZ589904 WBV589903:WBV589904 WLR589903:WLR589904 WVN589903:WVN589904 F655439:F655440 JB655439:JB655440 SX655439:SX655440 ACT655439:ACT655440 AMP655439:AMP655440 AWL655439:AWL655440 BGH655439:BGH655440 BQD655439:BQD655440 BZZ655439:BZZ655440 CJV655439:CJV655440 CTR655439:CTR655440 DDN655439:DDN655440 DNJ655439:DNJ655440 DXF655439:DXF655440 EHB655439:EHB655440 EQX655439:EQX655440 FAT655439:FAT655440 FKP655439:FKP655440 FUL655439:FUL655440 GEH655439:GEH655440 GOD655439:GOD655440 GXZ655439:GXZ655440 HHV655439:HHV655440 HRR655439:HRR655440 IBN655439:IBN655440 ILJ655439:ILJ655440 IVF655439:IVF655440 JFB655439:JFB655440 JOX655439:JOX655440 JYT655439:JYT655440 KIP655439:KIP655440 KSL655439:KSL655440 LCH655439:LCH655440 LMD655439:LMD655440 LVZ655439:LVZ655440 MFV655439:MFV655440 MPR655439:MPR655440 MZN655439:MZN655440 NJJ655439:NJJ655440 NTF655439:NTF655440 ODB655439:ODB655440 OMX655439:OMX655440 OWT655439:OWT655440 PGP655439:PGP655440 PQL655439:PQL655440 QAH655439:QAH655440 QKD655439:QKD655440 QTZ655439:QTZ655440 RDV655439:RDV655440 RNR655439:RNR655440 RXN655439:RXN655440 SHJ655439:SHJ655440 SRF655439:SRF655440 TBB655439:TBB655440 TKX655439:TKX655440 TUT655439:TUT655440 UEP655439:UEP655440 UOL655439:UOL655440 UYH655439:UYH655440 VID655439:VID655440 VRZ655439:VRZ655440 WBV655439:WBV655440 WLR655439:WLR655440 WVN655439:WVN655440 F720975:F720976 JB720975:JB720976 SX720975:SX720976 ACT720975:ACT720976 AMP720975:AMP720976 AWL720975:AWL720976 BGH720975:BGH720976 BQD720975:BQD720976 BZZ720975:BZZ720976 CJV720975:CJV720976 CTR720975:CTR720976 DDN720975:DDN720976 DNJ720975:DNJ720976 DXF720975:DXF720976 EHB720975:EHB720976 EQX720975:EQX720976 FAT720975:FAT720976 FKP720975:FKP720976 FUL720975:FUL720976 GEH720975:GEH720976 GOD720975:GOD720976 GXZ720975:GXZ720976 HHV720975:HHV720976 HRR720975:HRR720976 IBN720975:IBN720976 ILJ720975:ILJ720976 IVF720975:IVF720976 JFB720975:JFB720976 JOX720975:JOX720976 JYT720975:JYT720976 KIP720975:KIP720976 KSL720975:KSL720976 LCH720975:LCH720976 LMD720975:LMD720976 LVZ720975:LVZ720976 MFV720975:MFV720976 MPR720975:MPR720976 MZN720975:MZN720976 NJJ720975:NJJ720976 NTF720975:NTF720976 ODB720975:ODB720976 OMX720975:OMX720976 OWT720975:OWT720976 PGP720975:PGP720976 PQL720975:PQL720976 QAH720975:QAH720976 QKD720975:QKD720976 QTZ720975:QTZ720976 RDV720975:RDV720976 RNR720975:RNR720976 RXN720975:RXN720976 SHJ720975:SHJ720976 SRF720975:SRF720976 TBB720975:TBB720976 TKX720975:TKX720976 TUT720975:TUT720976 UEP720975:UEP720976 UOL720975:UOL720976 UYH720975:UYH720976 VID720975:VID720976 VRZ720975:VRZ720976 WBV720975:WBV720976 WLR720975:WLR720976 WVN720975:WVN720976 F786511:F786512 JB786511:JB786512 SX786511:SX786512 ACT786511:ACT786512 AMP786511:AMP786512 AWL786511:AWL786512 BGH786511:BGH786512 BQD786511:BQD786512 BZZ786511:BZZ786512 CJV786511:CJV786512 CTR786511:CTR786512 DDN786511:DDN786512 DNJ786511:DNJ786512 DXF786511:DXF786512 EHB786511:EHB786512 EQX786511:EQX786512 FAT786511:FAT786512 FKP786511:FKP786512 FUL786511:FUL786512 GEH786511:GEH786512 GOD786511:GOD786512 GXZ786511:GXZ786512 HHV786511:HHV786512 HRR786511:HRR786512 IBN786511:IBN786512 ILJ786511:ILJ786512 IVF786511:IVF786512 JFB786511:JFB786512 JOX786511:JOX786512 JYT786511:JYT786512 KIP786511:KIP786512 KSL786511:KSL786512 LCH786511:LCH786512 LMD786511:LMD786512 LVZ786511:LVZ786512 MFV786511:MFV786512 MPR786511:MPR786512 MZN786511:MZN786512 NJJ786511:NJJ786512 NTF786511:NTF786512 ODB786511:ODB786512 OMX786511:OMX786512 OWT786511:OWT786512 PGP786511:PGP786512 PQL786511:PQL786512 QAH786511:QAH786512 QKD786511:QKD786512 QTZ786511:QTZ786512 RDV786511:RDV786512 RNR786511:RNR786512 RXN786511:RXN786512 SHJ786511:SHJ786512 SRF786511:SRF786512 TBB786511:TBB786512 TKX786511:TKX786512 TUT786511:TUT786512 UEP786511:UEP786512 UOL786511:UOL786512 UYH786511:UYH786512 VID786511:VID786512 VRZ786511:VRZ786512 WBV786511:WBV786512 WLR786511:WLR786512 WVN786511:WVN786512 F852047:F852048 JB852047:JB852048 SX852047:SX852048 ACT852047:ACT852048 AMP852047:AMP852048 AWL852047:AWL852048 BGH852047:BGH852048 BQD852047:BQD852048 BZZ852047:BZZ852048 CJV852047:CJV852048 CTR852047:CTR852048 DDN852047:DDN852048 DNJ852047:DNJ852048 DXF852047:DXF852048 EHB852047:EHB852048 EQX852047:EQX852048 FAT852047:FAT852048 FKP852047:FKP852048 FUL852047:FUL852048 GEH852047:GEH852048 GOD852047:GOD852048 GXZ852047:GXZ852048 HHV852047:HHV852048 HRR852047:HRR852048 IBN852047:IBN852048 ILJ852047:ILJ852048 IVF852047:IVF852048 JFB852047:JFB852048 JOX852047:JOX852048 JYT852047:JYT852048 KIP852047:KIP852048 KSL852047:KSL852048 LCH852047:LCH852048 LMD852047:LMD852048 LVZ852047:LVZ852048 MFV852047:MFV852048 MPR852047:MPR852048 MZN852047:MZN852048 NJJ852047:NJJ852048 NTF852047:NTF852048 ODB852047:ODB852048 OMX852047:OMX852048 OWT852047:OWT852048 PGP852047:PGP852048 PQL852047:PQL852048 QAH852047:QAH852048 QKD852047:QKD852048 QTZ852047:QTZ852048 RDV852047:RDV852048 RNR852047:RNR852048 RXN852047:RXN852048 SHJ852047:SHJ852048 SRF852047:SRF852048 TBB852047:TBB852048 TKX852047:TKX852048 TUT852047:TUT852048 UEP852047:UEP852048 UOL852047:UOL852048 UYH852047:UYH852048 VID852047:VID852048 VRZ852047:VRZ852048 WBV852047:WBV852048 WLR852047:WLR852048 WVN852047:WVN852048 F917583:F917584 JB917583:JB917584 SX917583:SX917584 ACT917583:ACT917584 AMP917583:AMP917584 AWL917583:AWL917584 BGH917583:BGH917584 BQD917583:BQD917584 BZZ917583:BZZ917584 CJV917583:CJV917584 CTR917583:CTR917584 DDN917583:DDN917584 DNJ917583:DNJ917584 DXF917583:DXF917584 EHB917583:EHB917584 EQX917583:EQX917584 FAT917583:FAT917584 FKP917583:FKP917584 FUL917583:FUL917584 GEH917583:GEH917584 GOD917583:GOD917584 GXZ917583:GXZ917584 HHV917583:HHV917584 HRR917583:HRR917584 IBN917583:IBN917584 ILJ917583:ILJ917584 IVF917583:IVF917584 JFB917583:JFB917584 JOX917583:JOX917584 JYT917583:JYT917584 KIP917583:KIP917584 KSL917583:KSL917584 LCH917583:LCH917584 LMD917583:LMD917584 LVZ917583:LVZ917584 MFV917583:MFV917584 MPR917583:MPR917584 MZN917583:MZN917584 NJJ917583:NJJ917584 NTF917583:NTF917584 ODB917583:ODB917584 OMX917583:OMX917584 OWT917583:OWT917584 PGP917583:PGP917584 PQL917583:PQL917584 QAH917583:QAH917584 QKD917583:QKD917584 QTZ917583:QTZ917584 RDV917583:RDV917584 RNR917583:RNR917584 RXN917583:RXN917584 SHJ917583:SHJ917584 SRF917583:SRF917584 TBB917583:TBB917584 TKX917583:TKX917584 TUT917583:TUT917584 UEP917583:UEP917584 UOL917583:UOL917584 UYH917583:UYH917584 VID917583:VID917584 VRZ917583:VRZ917584 WBV917583:WBV917584 WLR917583:WLR917584 WVN917583:WVN917584 F983119:F983120 JB983119:JB983120 SX983119:SX983120 ACT983119:ACT983120 AMP983119:AMP983120 AWL983119:AWL983120 BGH983119:BGH983120 BQD983119:BQD983120 BZZ983119:BZZ983120 CJV983119:CJV983120 CTR983119:CTR983120 DDN983119:DDN983120 DNJ983119:DNJ983120 DXF983119:DXF983120 EHB983119:EHB983120 EQX983119:EQX983120 FAT983119:FAT983120 FKP983119:FKP983120 FUL983119:FUL983120 GEH983119:GEH983120 GOD983119:GOD983120 GXZ983119:GXZ983120 HHV983119:HHV983120 HRR983119:HRR983120 IBN983119:IBN983120 ILJ983119:ILJ983120 IVF983119:IVF983120 JFB983119:JFB983120 JOX983119:JOX983120 JYT983119:JYT983120 KIP983119:KIP983120 KSL983119:KSL983120 LCH983119:LCH983120 LMD983119:LMD983120 LVZ983119:LVZ983120 MFV983119:MFV983120 MPR983119:MPR983120 MZN983119:MZN983120 NJJ983119:NJJ983120 NTF983119:NTF983120 ODB983119:ODB983120 OMX983119:OMX983120 OWT983119:OWT983120 PGP983119:PGP983120 PQL983119:PQL983120 QAH983119:QAH983120 QKD983119:QKD983120 QTZ983119:QTZ983120 RDV983119:RDV983120 RNR983119:RNR983120 RXN983119:RXN983120 SHJ983119:SHJ983120 SRF983119:SRF983120 TBB983119:TBB983120 TKX983119:TKX983120 TUT983119:TUT983120 UEP983119:UEP983120 UOL983119:UOL983120 UYH983119:UYH983120 VID983119:VID983120 VRZ983119:VRZ983120 WBV983119:WBV983120 F77 F29:F31 I29:I31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7030A0"/>
  </sheetPr>
  <dimension ref="A1:L70"/>
  <sheetViews>
    <sheetView zoomScale="85" zoomScaleNormal="85" workbookViewId="0">
      <selection activeCell="A3" sqref="A3"/>
    </sheetView>
  </sheetViews>
  <sheetFormatPr defaultColWidth="8.88671875" defaultRowHeight="12.75"/>
  <cols>
    <col min="1" max="1" width="5.109375" style="146" customWidth="1"/>
    <col min="2" max="2" width="18.6640625" style="146" bestFit="1" customWidth="1"/>
    <col min="3" max="3" width="9.33203125" style="146" customWidth="1"/>
    <col min="4" max="4" width="38.33203125" style="146" customWidth="1"/>
    <col min="5" max="5" width="37.6640625" style="146" customWidth="1"/>
    <col min="6" max="6" width="24.77734375" style="146" customWidth="1"/>
    <col min="7" max="7" width="45.44140625" style="146" customWidth="1"/>
    <col min="8" max="8" width="38.21875" style="146" customWidth="1"/>
    <col min="9" max="9" width="25.21875" style="146" customWidth="1"/>
    <col min="10" max="16384" width="8.88671875" style="146"/>
  </cols>
  <sheetData>
    <row r="1" spans="1:9" ht="42">
      <c r="A1" s="48" t="s">
        <v>246</v>
      </c>
      <c r="B1" s="143" t="s">
        <v>247</v>
      </c>
      <c r="C1" s="144" t="s">
        <v>248</v>
      </c>
      <c r="D1" s="145" t="s">
        <v>249</v>
      </c>
      <c r="E1" s="145" t="s">
        <v>250</v>
      </c>
      <c r="F1" s="145" t="s">
        <v>251</v>
      </c>
      <c r="G1" s="145" t="s">
        <v>252</v>
      </c>
      <c r="H1" s="145" t="s">
        <v>253</v>
      </c>
      <c r="I1" s="145" t="s">
        <v>254</v>
      </c>
    </row>
    <row r="2" spans="1:9" ht="16.5" hidden="1">
      <c r="A2" s="147" t="s">
        <v>73</v>
      </c>
      <c r="B2" s="147" t="s">
        <v>74</v>
      </c>
      <c r="C2" s="148" t="s">
        <v>75</v>
      </c>
      <c r="D2" s="149" t="s">
        <v>76</v>
      </c>
      <c r="E2" s="149" t="s">
        <v>77</v>
      </c>
      <c r="F2" s="149" t="s">
        <v>78</v>
      </c>
      <c r="G2" s="149" t="s">
        <v>79</v>
      </c>
      <c r="H2" s="149" t="s">
        <v>80</v>
      </c>
      <c r="I2" s="149" t="s">
        <v>81</v>
      </c>
    </row>
    <row r="3" spans="1:9" ht="16.5">
      <c r="A3" s="147" t="s">
        <v>255</v>
      </c>
      <c r="B3" s="147" t="s">
        <v>4</v>
      </c>
      <c r="C3" s="148" t="s">
        <v>256</v>
      </c>
      <c r="D3" s="14" t="s">
        <v>257</v>
      </c>
      <c r="E3" s="149">
        <v>0</v>
      </c>
      <c r="F3" s="149"/>
      <c r="G3" s="150" t="s">
        <v>258</v>
      </c>
      <c r="H3" s="150" t="s">
        <v>258</v>
      </c>
      <c r="I3" s="150" t="s">
        <v>258</v>
      </c>
    </row>
    <row r="4" spans="1:9" ht="16.5">
      <c r="A4" s="147" t="s">
        <v>255</v>
      </c>
      <c r="B4" s="147" t="s">
        <v>4</v>
      </c>
      <c r="C4" s="148" t="s">
        <v>259</v>
      </c>
      <c r="D4" s="14" t="s">
        <v>260</v>
      </c>
      <c r="E4" s="149">
        <v>0</v>
      </c>
      <c r="F4" s="149"/>
      <c r="G4" s="150" t="s">
        <v>258</v>
      </c>
      <c r="H4" s="150" t="s">
        <v>258</v>
      </c>
      <c r="I4" s="150" t="s">
        <v>258</v>
      </c>
    </row>
    <row r="5" spans="1:9" ht="16.5">
      <c r="A5" s="147" t="s">
        <v>255</v>
      </c>
      <c r="B5" s="147" t="s">
        <v>4</v>
      </c>
      <c r="C5" s="148" t="s">
        <v>261</v>
      </c>
      <c r="D5" s="31" t="s">
        <v>262</v>
      </c>
      <c r="E5" s="149">
        <v>0</v>
      </c>
      <c r="F5" s="149"/>
      <c r="G5" s="150" t="s">
        <v>258</v>
      </c>
      <c r="H5" s="150" t="s">
        <v>258</v>
      </c>
      <c r="I5" s="150" t="s">
        <v>258</v>
      </c>
    </row>
    <row r="6" spans="1:9" ht="16.5">
      <c r="A6" s="147" t="s">
        <v>255</v>
      </c>
      <c r="B6" s="147" t="s">
        <v>5</v>
      </c>
      <c r="C6" s="148" t="s">
        <v>263</v>
      </c>
      <c r="D6" s="31" t="s">
        <v>262</v>
      </c>
      <c r="E6" s="149">
        <v>0</v>
      </c>
      <c r="F6" s="149"/>
      <c r="G6" s="150" t="s">
        <v>258</v>
      </c>
      <c r="H6" s="150" t="s">
        <v>258</v>
      </c>
      <c r="I6" s="150" t="s">
        <v>258</v>
      </c>
    </row>
    <row r="7" spans="1:9" ht="33">
      <c r="A7" s="147" t="s">
        <v>72</v>
      </c>
      <c r="B7" s="147" t="s">
        <v>4</v>
      </c>
      <c r="C7" s="148" t="s">
        <v>264</v>
      </c>
      <c r="D7" s="31" t="s">
        <v>265</v>
      </c>
      <c r="E7" s="149"/>
      <c r="F7" s="149"/>
      <c r="G7" s="150" t="s">
        <v>266</v>
      </c>
      <c r="H7" s="150"/>
      <c r="I7" s="150"/>
    </row>
    <row r="8" spans="1:9" ht="49.5">
      <c r="A8" s="147" t="s">
        <v>72</v>
      </c>
      <c r="B8" s="147" t="s">
        <v>4</v>
      </c>
      <c r="C8" s="148" t="s">
        <v>267</v>
      </c>
      <c r="D8" s="31" t="s">
        <v>268</v>
      </c>
      <c r="E8" s="149"/>
      <c r="F8" s="149"/>
      <c r="G8" s="151" t="s">
        <v>269</v>
      </c>
      <c r="H8" s="150"/>
      <c r="I8" s="150"/>
    </row>
    <row r="9" spans="1:9" ht="33">
      <c r="A9" s="147" t="s">
        <v>72</v>
      </c>
      <c r="B9" s="147" t="s">
        <v>4</v>
      </c>
      <c r="C9" s="148" t="s">
        <v>270</v>
      </c>
      <c r="D9" s="31" t="s">
        <v>271</v>
      </c>
      <c r="E9" s="149"/>
      <c r="F9" s="149"/>
      <c r="G9" s="150" t="s">
        <v>272</v>
      </c>
      <c r="H9" s="150"/>
      <c r="I9" s="150"/>
    </row>
    <row r="10" spans="1:9" ht="33">
      <c r="A10" s="147" t="s">
        <v>72</v>
      </c>
      <c r="B10" s="147" t="s">
        <v>4</v>
      </c>
      <c r="C10" s="148" t="s">
        <v>273</v>
      </c>
      <c r="D10" s="31" t="s">
        <v>274</v>
      </c>
      <c r="E10" s="149"/>
      <c r="F10" s="149"/>
      <c r="G10" s="151" t="s">
        <v>275</v>
      </c>
      <c r="H10" s="150"/>
      <c r="I10" s="150"/>
    </row>
    <row r="11" spans="1:9" ht="66">
      <c r="A11" s="147" t="s">
        <v>72</v>
      </c>
      <c r="B11" s="147" t="s">
        <v>4</v>
      </c>
      <c r="C11" s="148" t="s">
        <v>276</v>
      </c>
      <c r="D11" s="31" t="s">
        <v>277</v>
      </c>
      <c r="E11" s="149"/>
      <c r="F11" s="149"/>
      <c r="G11" s="150" t="s">
        <v>278</v>
      </c>
      <c r="H11" s="150"/>
      <c r="I11" s="150"/>
    </row>
    <row r="12" spans="1:9" ht="33">
      <c r="A12" s="147" t="s">
        <v>72</v>
      </c>
      <c r="B12" s="147" t="s">
        <v>4</v>
      </c>
      <c r="C12" s="148" t="s">
        <v>279</v>
      </c>
      <c r="D12" s="31" t="s">
        <v>280</v>
      </c>
      <c r="E12" s="149"/>
      <c r="F12" s="149"/>
      <c r="G12" s="151" t="s">
        <v>281</v>
      </c>
      <c r="H12" s="150"/>
      <c r="I12" s="150"/>
    </row>
    <row r="13" spans="1:9" ht="51">
      <c r="A13" s="147" t="s">
        <v>72</v>
      </c>
      <c r="B13" s="147" t="s">
        <v>4</v>
      </c>
      <c r="C13" s="148" t="s">
        <v>282</v>
      </c>
      <c r="D13" s="31" t="s">
        <v>283</v>
      </c>
      <c r="E13" s="149"/>
      <c r="F13" s="149"/>
      <c r="G13" s="150" t="s">
        <v>284</v>
      </c>
      <c r="H13" s="150"/>
      <c r="I13" s="150"/>
    </row>
    <row r="14" spans="1:9" ht="51">
      <c r="A14" s="147" t="s">
        <v>72</v>
      </c>
      <c r="B14" s="147" t="s">
        <v>4</v>
      </c>
      <c r="C14" s="148" t="s">
        <v>285</v>
      </c>
      <c r="D14" s="31" t="s">
        <v>286</v>
      </c>
      <c r="E14" s="149"/>
      <c r="F14" s="149"/>
      <c r="G14" s="151" t="s">
        <v>287</v>
      </c>
      <c r="H14" s="150"/>
      <c r="I14" s="150"/>
    </row>
    <row r="15" spans="1:9" ht="51">
      <c r="A15" s="147" t="s">
        <v>72</v>
      </c>
      <c r="B15" s="147" t="s">
        <v>4</v>
      </c>
      <c r="C15" s="148" t="s">
        <v>288</v>
      </c>
      <c r="D15" s="31" t="s">
        <v>289</v>
      </c>
      <c r="E15" s="149"/>
      <c r="F15" s="149"/>
      <c r="G15" s="151" t="s">
        <v>290</v>
      </c>
      <c r="H15" s="150"/>
      <c r="I15" s="150"/>
    </row>
    <row r="16" spans="1:9" ht="227.25">
      <c r="A16" s="147" t="s">
        <v>72</v>
      </c>
      <c r="B16" s="147" t="s">
        <v>4</v>
      </c>
      <c r="C16" s="148" t="s">
        <v>291</v>
      </c>
      <c r="D16" s="31" t="s">
        <v>292</v>
      </c>
      <c r="E16" s="149"/>
      <c r="F16" s="149"/>
      <c r="G16" s="150" t="s">
        <v>293</v>
      </c>
      <c r="H16" s="150"/>
      <c r="I16" s="150"/>
    </row>
    <row r="17" spans="1:9" ht="82.5">
      <c r="A17" s="147" t="s">
        <v>72</v>
      </c>
      <c r="B17" s="147" t="s">
        <v>4</v>
      </c>
      <c r="C17" s="148" t="s">
        <v>294</v>
      </c>
      <c r="D17" s="31" t="s">
        <v>295</v>
      </c>
      <c r="E17" s="149"/>
      <c r="F17" s="149"/>
      <c r="G17" s="150" t="s">
        <v>296</v>
      </c>
      <c r="H17" s="150"/>
      <c r="I17" s="150"/>
    </row>
    <row r="18" spans="1:9" ht="115.5">
      <c r="A18" s="147" t="s">
        <v>72</v>
      </c>
      <c r="B18" s="147" t="s">
        <v>4</v>
      </c>
      <c r="C18" s="148" t="s">
        <v>297</v>
      </c>
      <c r="D18" s="31" t="s">
        <v>298</v>
      </c>
      <c r="E18" s="149"/>
      <c r="F18" s="149"/>
      <c r="G18" s="150" t="s">
        <v>299</v>
      </c>
      <c r="H18" s="150"/>
      <c r="I18" s="150"/>
    </row>
    <row r="19" spans="1:9" ht="33">
      <c r="A19" s="147" t="s">
        <v>72</v>
      </c>
      <c r="B19" s="147" t="s">
        <v>4</v>
      </c>
      <c r="C19" s="148" t="s">
        <v>300</v>
      </c>
      <c r="D19" s="31" t="s">
        <v>301</v>
      </c>
      <c r="E19" s="149"/>
      <c r="F19" s="149"/>
      <c r="G19" s="150" t="s">
        <v>302</v>
      </c>
      <c r="H19" s="150"/>
      <c r="I19" s="150"/>
    </row>
    <row r="20" spans="1:9" ht="33">
      <c r="A20" s="147" t="s">
        <v>72</v>
      </c>
      <c r="B20" s="147" t="s">
        <v>4</v>
      </c>
      <c r="C20" s="148" t="s">
        <v>303</v>
      </c>
      <c r="D20" s="31" t="s">
        <v>304</v>
      </c>
      <c r="E20" s="149"/>
      <c r="F20" s="149"/>
      <c r="G20" s="150" t="s">
        <v>305</v>
      </c>
      <c r="H20" s="150"/>
      <c r="I20" s="150"/>
    </row>
    <row r="21" spans="1:9" ht="33">
      <c r="A21" s="147" t="s">
        <v>72</v>
      </c>
      <c r="B21" s="147" t="s">
        <v>4</v>
      </c>
      <c r="C21" s="148" t="s">
        <v>306</v>
      </c>
      <c r="D21" s="31" t="s">
        <v>307</v>
      </c>
      <c r="E21" s="149"/>
      <c r="F21" s="149"/>
      <c r="G21" s="150" t="s">
        <v>308</v>
      </c>
      <c r="H21" s="150"/>
      <c r="I21" s="150"/>
    </row>
    <row r="22" spans="1:9" ht="16.5">
      <c r="A22" s="147" t="s">
        <v>72</v>
      </c>
      <c r="B22" s="147" t="s">
        <v>4</v>
      </c>
      <c r="C22" s="148" t="s">
        <v>309</v>
      </c>
      <c r="D22" s="31" t="s">
        <v>310</v>
      </c>
      <c r="E22" s="149"/>
      <c r="F22" s="149"/>
      <c r="G22" s="150" t="s">
        <v>311</v>
      </c>
      <c r="H22" s="150"/>
      <c r="I22" s="150"/>
    </row>
    <row r="23" spans="1:9" ht="33">
      <c r="A23" s="152" t="s">
        <v>72</v>
      </c>
      <c r="B23" s="152" t="s">
        <v>4</v>
      </c>
      <c r="C23" s="153" t="s">
        <v>312</v>
      </c>
      <c r="D23" s="31" t="s">
        <v>313</v>
      </c>
      <c r="E23" s="151"/>
      <c r="F23" s="151"/>
      <c r="G23" s="151" t="s">
        <v>314</v>
      </c>
      <c r="H23" s="151"/>
      <c r="I23" s="151"/>
    </row>
    <row r="24" spans="1:9" ht="33">
      <c r="A24" s="152" t="s">
        <v>72</v>
      </c>
      <c r="B24" s="152" t="s">
        <v>4</v>
      </c>
      <c r="C24" s="153" t="s">
        <v>315</v>
      </c>
      <c r="D24" s="31" t="s">
        <v>316</v>
      </c>
      <c r="E24" s="151"/>
      <c r="F24" s="151"/>
      <c r="G24" s="151" t="s">
        <v>317</v>
      </c>
      <c r="H24" s="151"/>
      <c r="I24" s="151"/>
    </row>
    <row r="25" spans="1:9" ht="33">
      <c r="A25" s="152" t="s">
        <v>72</v>
      </c>
      <c r="B25" s="152" t="s">
        <v>4</v>
      </c>
      <c r="C25" s="153" t="s">
        <v>318</v>
      </c>
      <c r="D25" s="31" t="s">
        <v>319</v>
      </c>
      <c r="E25" s="151"/>
      <c r="F25" s="151"/>
      <c r="G25" s="151" t="s">
        <v>320</v>
      </c>
      <c r="H25" s="151"/>
      <c r="I25" s="151"/>
    </row>
    <row r="26" spans="1:9" ht="16.5">
      <c r="A26" s="152" t="s">
        <v>72</v>
      </c>
      <c r="B26" s="152" t="s">
        <v>4</v>
      </c>
      <c r="C26" s="153" t="s">
        <v>321</v>
      </c>
      <c r="D26" s="31" t="s">
        <v>322</v>
      </c>
      <c r="E26" s="151"/>
      <c r="F26" s="151"/>
      <c r="G26" s="151" t="s">
        <v>323</v>
      </c>
      <c r="H26" s="151"/>
      <c r="I26" s="151"/>
    </row>
    <row r="27" spans="1:9" ht="33">
      <c r="A27" s="152" t="s">
        <v>72</v>
      </c>
      <c r="B27" s="152" t="s">
        <v>4</v>
      </c>
      <c r="C27" s="153" t="s">
        <v>324</v>
      </c>
      <c r="D27" s="31" t="s">
        <v>325</v>
      </c>
      <c r="E27" s="151"/>
      <c r="F27" s="151"/>
      <c r="G27" s="151" t="s">
        <v>326</v>
      </c>
      <c r="H27" s="151"/>
      <c r="I27" s="151"/>
    </row>
    <row r="28" spans="1:9" ht="99">
      <c r="A28" s="152" t="s">
        <v>72</v>
      </c>
      <c r="B28" s="152" t="s">
        <v>4</v>
      </c>
      <c r="C28" s="153" t="s">
        <v>327</v>
      </c>
      <c r="D28" s="31" t="s">
        <v>328</v>
      </c>
      <c r="E28" s="151"/>
      <c r="F28" s="151"/>
      <c r="G28" s="151" t="s">
        <v>329</v>
      </c>
      <c r="H28" s="151"/>
      <c r="I28" s="151"/>
    </row>
    <row r="29" spans="1:9" ht="99">
      <c r="A29" s="152" t="s">
        <v>72</v>
      </c>
      <c r="B29" s="152" t="s">
        <v>4</v>
      </c>
      <c r="C29" s="153" t="s">
        <v>330</v>
      </c>
      <c r="D29" s="31" t="s">
        <v>331</v>
      </c>
      <c r="E29" s="151"/>
      <c r="F29" s="151"/>
      <c r="G29" s="151" t="s">
        <v>332</v>
      </c>
      <c r="H29" s="151"/>
      <c r="I29" s="151"/>
    </row>
    <row r="30" spans="1:9" ht="82.5">
      <c r="A30" s="152" t="s">
        <v>72</v>
      </c>
      <c r="B30" s="152" t="s">
        <v>4</v>
      </c>
      <c r="C30" s="153" t="s">
        <v>333</v>
      </c>
      <c r="D30" s="31" t="s">
        <v>334</v>
      </c>
      <c r="E30" s="151"/>
      <c r="F30" s="151"/>
      <c r="G30" s="151" t="s">
        <v>335</v>
      </c>
      <c r="H30" s="151"/>
      <c r="I30" s="151"/>
    </row>
    <row r="31" spans="1:9" ht="115.5">
      <c r="A31" s="152" t="s">
        <v>72</v>
      </c>
      <c r="B31" s="152" t="s">
        <v>4</v>
      </c>
      <c r="C31" s="153" t="s">
        <v>336</v>
      </c>
      <c r="D31" s="31" t="s">
        <v>337</v>
      </c>
      <c r="E31" s="151"/>
      <c r="F31" s="151"/>
      <c r="G31" s="151" t="s">
        <v>338</v>
      </c>
      <c r="H31" s="151"/>
      <c r="I31" s="151"/>
    </row>
    <row r="32" spans="1:9" ht="78.75">
      <c r="A32" s="152" t="s">
        <v>72</v>
      </c>
      <c r="B32" s="152" t="s">
        <v>4</v>
      </c>
      <c r="C32" s="154" t="s">
        <v>339</v>
      </c>
      <c r="D32" s="31" t="s">
        <v>340</v>
      </c>
      <c r="E32" s="155"/>
      <c r="F32" s="155"/>
      <c r="G32" s="151" t="s">
        <v>341</v>
      </c>
      <c r="H32" s="151"/>
      <c r="I32" s="151"/>
    </row>
    <row r="33" spans="1:9" ht="66">
      <c r="A33" s="152" t="s">
        <v>72</v>
      </c>
      <c r="B33" s="152" t="s">
        <v>4</v>
      </c>
      <c r="C33" s="153" t="s">
        <v>342</v>
      </c>
      <c r="D33" s="31" t="s">
        <v>343</v>
      </c>
      <c r="E33" s="151"/>
      <c r="F33" s="151"/>
      <c r="G33" s="151" t="s">
        <v>344</v>
      </c>
      <c r="H33" s="151"/>
      <c r="I33" s="151"/>
    </row>
    <row r="34" spans="1:9" ht="38.25">
      <c r="A34" s="152" t="s">
        <v>72</v>
      </c>
      <c r="B34" s="152" t="s">
        <v>4</v>
      </c>
      <c r="C34" s="154" t="s">
        <v>345</v>
      </c>
      <c r="D34" s="31" t="s">
        <v>346</v>
      </c>
      <c r="E34" s="155"/>
      <c r="F34" s="156"/>
      <c r="G34" s="151" t="s">
        <v>347</v>
      </c>
      <c r="H34" s="151"/>
      <c r="I34" s="151"/>
    </row>
    <row r="35" spans="1:9" ht="16.5">
      <c r="A35" s="147" t="s">
        <v>72</v>
      </c>
      <c r="B35" s="147" t="s">
        <v>4</v>
      </c>
      <c r="C35" s="148" t="s">
        <v>348</v>
      </c>
      <c r="D35" s="31" t="s">
        <v>349</v>
      </c>
      <c r="E35" s="149"/>
      <c r="F35" s="149"/>
      <c r="G35" s="150" t="s">
        <v>350</v>
      </c>
      <c r="H35" s="150"/>
      <c r="I35" s="150"/>
    </row>
    <row r="36" spans="1:9" ht="33">
      <c r="A36" s="147" t="s">
        <v>72</v>
      </c>
      <c r="B36" s="147" t="s">
        <v>4</v>
      </c>
      <c r="C36" s="148" t="s">
        <v>351</v>
      </c>
      <c r="D36" s="31" t="s">
        <v>352</v>
      </c>
      <c r="E36" s="149"/>
      <c r="F36" s="149"/>
      <c r="G36" s="150" t="s">
        <v>353</v>
      </c>
      <c r="H36" s="150"/>
      <c r="I36" s="150"/>
    </row>
    <row r="37" spans="1:9" ht="16.5">
      <c r="A37" s="147" t="s">
        <v>72</v>
      </c>
      <c r="B37" s="147" t="s">
        <v>4</v>
      </c>
      <c r="C37" s="148" t="s">
        <v>354</v>
      </c>
      <c r="D37" s="31" t="s">
        <v>355</v>
      </c>
      <c r="E37" s="149"/>
      <c r="F37" s="149"/>
      <c r="G37" s="150" t="s">
        <v>356</v>
      </c>
      <c r="H37" s="150"/>
      <c r="I37" s="150"/>
    </row>
    <row r="38" spans="1:9" ht="109.5">
      <c r="A38" s="147" t="s">
        <v>72</v>
      </c>
      <c r="B38" s="147" t="s">
        <v>4</v>
      </c>
      <c r="C38" s="148" t="s">
        <v>357</v>
      </c>
      <c r="D38" s="31" t="s">
        <v>358</v>
      </c>
      <c r="E38" s="31"/>
      <c r="F38" s="149"/>
      <c r="G38" s="151" t="s">
        <v>359</v>
      </c>
      <c r="H38" s="150"/>
      <c r="I38" s="150"/>
    </row>
    <row r="39" spans="1:9" ht="148.5">
      <c r="A39" s="147" t="s">
        <v>72</v>
      </c>
      <c r="B39" s="147" t="s">
        <v>4</v>
      </c>
      <c r="C39" s="148" t="s">
        <v>360</v>
      </c>
      <c r="D39" s="31" t="s">
        <v>361</v>
      </c>
      <c r="E39" s="31"/>
      <c r="F39" s="149"/>
      <c r="G39" s="150" t="s">
        <v>362</v>
      </c>
      <c r="H39" s="150"/>
      <c r="I39" s="150"/>
    </row>
    <row r="40" spans="1:9" ht="99">
      <c r="A40" s="147" t="s">
        <v>72</v>
      </c>
      <c r="B40" s="147" t="s">
        <v>4</v>
      </c>
      <c r="C40" s="148" t="s">
        <v>363</v>
      </c>
      <c r="D40" s="31" t="s">
        <v>364</v>
      </c>
      <c r="E40" s="31"/>
      <c r="F40" s="149"/>
      <c r="G40" s="150" t="s">
        <v>365</v>
      </c>
      <c r="H40" s="150"/>
      <c r="I40" s="150"/>
    </row>
    <row r="41" spans="1:9" ht="66">
      <c r="A41" s="147" t="s">
        <v>72</v>
      </c>
      <c r="B41" s="147" t="s">
        <v>4</v>
      </c>
      <c r="C41" s="148" t="s">
        <v>366</v>
      </c>
      <c r="D41" s="31" t="s">
        <v>367</v>
      </c>
      <c r="E41" s="31"/>
      <c r="F41" s="149"/>
      <c r="G41" s="150" t="s">
        <v>368</v>
      </c>
      <c r="H41" s="150"/>
      <c r="I41" s="150"/>
    </row>
    <row r="42" spans="1:9" ht="66">
      <c r="A42" s="147" t="s">
        <v>72</v>
      </c>
      <c r="B42" s="147" t="s">
        <v>4</v>
      </c>
      <c r="C42" s="148" t="s">
        <v>369</v>
      </c>
      <c r="D42" s="31" t="s">
        <v>370</v>
      </c>
      <c r="E42" s="31"/>
      <c r="F42" s="149"/>
      <c r="G42" s="150" t="s">
        <v>371</v>
      </c>
      <c r="H42" s="150"/>
      <c r="I42" s="150"/>
    </row>
    <row r="43" spans="1:9" ht="231">
      <c r="A43" s="147" t="s">
        <v>72</v>
      </c>
      <c r="B43" s="147" t="s">
        <v>4</v>
      </c>
      <c r="C43" s="148" t="s">
        <v>372</v>
      </c>
      <c r="D43" s="31" t="s">
        <v>373</v>
      </c>
      <c r="E43" s="31"/>
      <c r="F43" s="149"/>
      <c r="G43" s="150" t="s">
        <v>374</v>
      </c>
      <c r="H43" s="150"/>
      <c r="I43" s="150"/>
    </row>
    <row r="44" spans="1:9" ht="99">
      <c r="A44" s="147" t="s">
        <v>72</v>
      </c>
      <c r="B44" s="147" t="s">
        <v>4</v>
      </c>
      <c r="C44" s="148" t="s">
        <v>375</v>
      </c>
      <c r="D44" s="31" t="s">
        <v>376</v>
      </c>
      <c r="E44" s="31"/>
      <c r="F44" s="149"/>
      <c r="G44" s="150" t="s">
        <v>377</v>
      </c>
      <c r="H44" s="150"/>
      <c r="I44" s="150"/>
    </row>
    <row r="45" spans="1:9" ht="99">
      <c r="A45" s="147" t="s">
        <v>72</v>
      </c>
      <c r="B45" s="147" t="s">
        <v>4</v>
      </c>
      <c r="C45" s="148" t="s">
        <v>378</v>
      </c>
      <c r="D45" s="31" t="s">
        <v>379</v>
      </c>
      <c r="E45" s="31"/>
      <c r="F45" s="149"/>
      <c r="G45" s="150" t="s">
        <v>380</v>
      </c>
      <c r="H45" s="150"/>
      <c r="I45" s="150"/>
    </row>
    <row r="46" spans="1:9" ht="25.5">
      <c r="A46" s="147" t="s">
        <v>72</v>
      </c>
      <c r="B46" s="147" t="s">
        <v>4</v>
      </c>
      <c r="C46" s="148" t="s">
        <v>381</v>
      </c>
      <c r="D46" s="31" t="s">
        <v>382</v>
      </c>
      <c r="E46" s="149"/>
      <c r="F46" s="149"/>
      <c r="G46" s="150" t="s">
        <v>383</v>
      </c>
      <c r="H46" s="150"/>
      <c r="I46" s="150"/>
    </row>
    <row r="47" spans="1:9" ht="33">
      <c r="A47" s="147" t="s">
        <v>72</v>
      </c>
      <c r="B47" s="147" t="s">
        <v>4</v>
      </c>
      <c r="C47" s="148" t="s">
        <v>384</v>
      </c>
      <c r="D47" s="31" t="s">
        <v>385</v>
      </c>
      <c r="E47" s="149"/>
      <c r="F47" s="149"/>
      <c r="G47" s="150" t="s">
        <v>386</v>
      </c>
      <c r="H47" s="150"/>
      <c r="I47" s="150"/>
    </row>
    <row r="48" spans="1:9" ht="51">
      <c r="A48" s="147" t="s">
        <v>72</v>
      </c>
      <c r="B48" s="147" t="s">
        <v>5</v>
      </c>
      <c r="C48" s="148" t="s">
        <v>387</v>
      </c>
      <c r="D48" s="31" t="s">
        <v>388</v>
      </c>
      <c r="E48" s="149"/>
      <c r="F48" s="149"/>
      <c r="G48" s="150" t="s">
        <v>389</v>
      </c>
      <c r="H48" s="150"/>
      <c r="I48" s="150"/>
    </row>
    <row r="49" spans="1:12" ht="66">
      <c r="A49" s="147" t="s">
        <v>72</v>
      </c>
      <c r="B49" s="147" t="s">
        <v>5</v>
      </c>
      <c r="C49" s="148" t="s">
        <v>390</v>
      </c>
      <c r="D49" s="31" t="s">
        <v>391</v>
      </c>
      <c r="E49" s="149"/>
      <c r="F49" s="149"/>
      <c r="G49" s="150" t="s">
        <v>392</v>
      </c>
      <c r="H49" s="150"/>
      <c r="I49" s="150"/>
    </row>
    <row r="50" spans="1:12" ht="57">
      <c r="A50" s="152">
        <v>1</v>
      </c>
      <c r="B50" s="147" t="s">
        <v>4</v>
      </c>
      <c r="C50" s="148" t="s">
        <v>264</v>
      </c>
      <c r="D50" s="149" t="s">
        <v>393</v>
      </c>
      <c r="E50" s="149" t="s">
        <v>394</v>
      </c>
      <c r="F50" s="157" t="s">
        <v>395</v>
      </c>
      <c r="G50" s="149" t="s">
        <v>396</v>
      </c>
      <c r="H50" s="149" t="s">
        <v>397</v>
      </c>
      <c r="I50" s="158" t="s">
        <v>398</v>
      </c>
    </row>
    <row r="51" spans="1:12" ht="33">
      <c r="A51" s="152">
        <v>2</v>
      </c>
      <c r="B51" s="147" t="s">
        <v>4</v>
      </c>
      <c r="C51" s="148" t="s">
        <v>264</v>
      </c>
      <c r="D51" s="149" t="s">
        <v>399</v>
      </c>
      <c r="E51" s="149" t="s">
        <v>400</v>
      </c>
      <c r="F51" s="149"/>
      <c r="G51" s="149" t="s">
        <v>401</v>
      </c>
      <c r="H51" s="149" t="s">
        <v>402</v>
      </c>
      <c r="I51" s="149"/>
    </row>
    <row r="52" spans="1:12" ht="37.5" customHeight="1">
      <c r="A52" s="152">
        <v>3</v>
      </c>
      <c r="B52" s="147" t="s">
        <v>4</v>
      </c>
      <c r="C52" s="148" t="s">
        <v>403</v>
      </c>
      <c r="D52" s="149" t="s">
        <v>404</v>
      </c>
      <c r="E52" s="149" t="s">
        <v>405</v>
      </c>
      <c r="F52" s="157" t="s">
        <v>406</v>
      </c>
      <c r="G52" s="149" t="s">
        <v>407</v>
      </c>
      <c r="H52" s="149" t="s">
        <v>408</v>
      </c>
      <c r="I52" s="158" t="s">
        <v>409</v>
      </c>
    </row>
    <row r="53" spans="1:12" ht="49.5">
      <c r="A53" s="152">
        <v>4</v>
      </c>
      <c r="B53" s="147" t="s">
        <v>4</v>
      </c>
      <c r="C53" s="148" t="s">
        <v>6</v>
      </c>
      <c r="D53" s="149" t="s">
        <v>410</v>
      </c>
      <c r="E53" s="149" t="s">
        <v>411</v>
      </c>
      <c r="F53" s="149"/>
      <c r="G53" s="149" t="s">
        <v>412</v>
      </c>
      <c r="H53" s="149" t="s">
        <v>413</v>
      </c>
      <c r="I53" s="149"/>
    </row>
    <row r="54" spans="1:12" ht="57">
      <c r="A54" s="152">
        <v>5</v>
      </c>
      <c r="B54" s="147" t="s">
        <v>4</v>
      </c>
      <c r="C54" s="148" t="s">
        <v>414</v>
      </c>
      <c r="D54" s="149" t="s">
        <v>415</v>
      </c>
      <c r="E54" s="149" t="s">
        <v>416</v>
      </c>
      <c r="F54" s="157" t="s">
        <v>417</v>
      </c>
      <c r="G54" s="149" t="s">
        <v>418</v>
      </c>
      <c r="H54" s="149" t="s">
        <v>419</v>
      </c>
      <c r="I54" s="158" t="s">
        <v>420</v>
      </c>
    </row>
    <row r="55" spans="1:12" ht="37.5" customHeight="1">
      <c r="A55" s="152">
        <v>6</v>
      </c>
      <c r="B55" s="147" t="s">
        <v>4</v>
      </c>
      <c r="C55" s="148" t="s">
        <v>421</v>
      </c>
      <c r="D55" s="149" t="s">
        <v>422</v>
      </c>
      <c r="E55" s="149" t="s">
        <v>423</v>
      </c>
      <c r="F55" s="149"/>
      <c r="G55" s="149" t="s">
        <v>424</v>
      </c>
      <c r="H55" s="149" t="s">
        <v>425</v>
      </c>
      <c r="I55" s="149"/>
    </row>
    <row r="56" spans="1:12" ht="66">
      <c r="A56" s="152">
        <v>7</v>
      </c>
      <c r="B56" s="147" t="s">
        <v>4</v>
      </c>
      <c r="C56" s="154" t="s">
        <v>426</v>
      </c>
      <c r="D56" s="149" t="s">
        <v>427</v>
      </c>
      <c r="E56" s="149" t="s">
        <v>428</v>
      </c>
      <c r="F56" s="149"/>
      <c r="G56" s="149" t="s">
        <v>429</v>
      </c>
      <c r="H56" s="149" t="s">
        <v>430</v>
      </c>
      <c r="I56" s="149"/>
    </row>
    <row r="57" spans="1:12" ht="33">
      <c r="A57" s="152">
        <v>8</v>
      </c>
      <c r="B57" s="147" t="s">
        <v>4</v>
      </c>
      <c r="C57" s="148" t="s">
        <v>431</v>
      </c>
      <c r="D57" s="149" t="s">
        <v>432</v>
      </c>
      <c r="E57" s="149" t="s">
        <v>433</v>
      </c>
      <c r="F57" s="149"/>
      <c r="G57" s="149" t="s">
        <v>434</v>
      </c>
      <c r="H57" s="149" t="s">
        <v>435</v>
      </c>
      <c r="I57" s="149"/>
    </row>
    <row r="58" spans="1:12" ht="51">
      <c r="A58" s="152">
        <v>9</v>
      </c>
      <c r="B58" s="147" t="s">
        <v>436</v>
      </c>
      <c r="C58" s="148" t="s">
        <v>437</v>
      </c>
      <c r="D58" s="149" t="s">
        <v>438</v>
      </c>
      <c r="E58" s="149" t="s">
        <v>439</v>
      </c>
      <c r="F58" s="159" t="s">
        <v>440</v>
      </c>
      <c r="G58" s="149" t="s">
        <v>441</v>
      </c>
      <c r="H58" s="149" t="s">
        <v>442</v>
      </c>
      <c r="I58" s="159" t="s">
        <v>443</v>
      </c>
    </row>
    <row r="59" spans="1:12" ht="82.5">
      <c r="A59" s="152">
        <v>10</v>
      </c>
      <c r="B59" s="152" t="s">
        <v>436</v>
      </c>
      <c r="C59" s="154" t="s">
        <v>444</v>
      </c>
      <c r="D59" s="155" t="s">
        <v>445</v>
      </c>
      <c r="E59" s="155" t="s">
        <v>446</v>
      </c>
      <c r="F59" s="149"/>
      <c r="G59" s="155" t="s">
        <v>447</v>
      </c>
      <c r="H59" s="155" t="s">
        <v>448</v>
      </c>
      <c r="I59" s="149"/>
    </row>
    <row r="60" spans="1:12" ht="67.5">
      <c r="A60" s="152">
        <v>11</v>
      </c>
      <c r="B60" s="152" t="s">
        <v>449</v>
      </c>
      <c r="C60" s="154" t="s">
        <v>345</v>
      </c>
      <c r="D60" s="155" t="s">
        <v>450</v>
      </c>
      <c r="E60" s="155" t="s">
        <v>451</v>
      </c>
      <c r="F60" s="149"/>
      <c r="G60" s="155" t="s">
        <v>452</v>
      </c>
      <c r="H60" s="155" t="s">
        <v>453</v>
      </c>
      <c r="I60" s="160"/>
    </row>
    <row r="61" spans="1:12" ht="33">
      <c r="A61" s="152">
        <v>12</v>
      </c>
      <c r="B61" s="147" t="s">
        <v>5</v>
      </c>
      <c r="C61" s="154" t="s">
        <v>454</v>
      </c>
      <c r="D61" s="155" t="s">
        <v>455</v>
      </c>
      <c r="E61" s="155" t="s">
        <v>71</v>
      </c>
      <c r="F61" s="159" t="s">
        <v>456</v>
      </c>
      <c r="G61" s="155" t="s">
        <v>71</v>
      </c>
      <c r="H61" s="155" t="s">
        <v>71</v>
      </c>
      <c r="I61" s="159" t="s">
        <v>457</v>
      </c>
      <c r="K61" s="45"/>
      <c r="L61" s="45"/>
    </row>
    <row r="62" spans="1:12" ht="33">
      <c r="A62" s="152">
        <v>13</v>
      </c>
      <c r="B62" s="147" t="s">
        <v>5</v>
      </c>
      <c r="C62" s="154" t="s">
        <v>458</v>
      </c>
      <c r="D62" s="155" t="s">
        <v>455</v>
      </c>
      <c r="E62" s="155" t="s">
        <v>71</v>
      </c>
      <c r="F62" s="159" t="s">
        <v>456</v>
      </c>
      <c r="G62" s="155" t="s">
        <v>71</v>
      </c>
      <c r="H62" s="155" t="s">
        <v>71</v>
      </c>
      <c r="I62" s="159" t="s">
        <v>457</v>
      </c>
      <c r="K62" s="45"/>
      <c r="L62" s="45"/>
    </row>
    <row r="63" spans="1:12" ht="33">
      <c r="A63" s="152">
        <v>14</v>
      </c>
      <c r="B63" s="147" t="s">
        <v>5</v>
      </c>
      <c r="C63" s="154" t="s">
        <v>459</v>
      </c>
      <c r="D63" s="155" t="s">
        <v>455</v>
      </c>
      <c r="E63" s="155" t="s">
        <v>71</v>
      </c>
      <c r="F63" s="161" t="s">
        <v>460</v>
      </c>
      <c r="G63" s="155" t="s">
        <v>71</v>
      </c>
      <c r="H63" s="155" t="s">
        <v>71</v>
      </c>
      <c r="I63" s="162" t="s">
        <v>461</v>
      </c>
      <c r="K63" s="45"/>
      <c r="L63" s="45"/>
    </row>
    <row r="64" spans="1:12" ht="33">
      <c r="A64" s="152">
        <v>15</v>
      </c>
      <c r="B64" s="147" t="s">
        <v>5</v>
      </c>
      <c r="C64" s="154" t="s">
        <v>462</v>
      </c>
      <c r="D64" s="155" t="s">
        <v>455</v>
      </c>
      <c r="E64" s="155" t="s">
        <v>71</v>
      </c>
      <c r="F64" s="159" t="s">
        <v>463</v>
      </c>
      <c r="G64" s="155" t="s">
        <v>71</v>
      </c>
      <c r="H64" s="155" t="s">
        <v>71</v>
      </c>
      <c r="I64" s="159" t="s">
        <v>464</v>
      </c>
      <c r="K64" s="45"/>
      <c r="L64" s="45"/>
    </row>
    <row r="65" spans="1:12" ht="33">
      <c r="A65" s="152">
        <v>16</v>
      </c>
      <c r="B65" s="147" t="s">
        <v>5</v>
      </c>
      <c r="C65" s="154" t="s">
        <v>465</v>
      </c>
      <c r="D65" s="155" t="s">
        <v>455</v>
      </c>
      <c r="E65" s="155" t="s">
        <v>71</v>
      </c>
      <c r="F65" s="159" t="s">
        <v>466</v>
      </c>
      <c r="G65" s="155" t="s">
        <v>71</v>
      </c>
      <c r="H65" s="155" t="s">
        <v>71</v>
      </c>
      <c r="I65" s="159" t="s">
        <v>467</v>
      </c>
      <c r="K65" s="45"/>
      <c r="L65" s="45"/>
    </row>
    <row r="66" spans="1:12" ht="48" customHeight="1">
      <c r="A66" s="152">
        <v>17</v>
      </c>
      <c r="B66" s="147" t="s">
        <v>5</v>
      </c>
      <c r="C66" s="154" t="s">
        <v>468</v>
      </c>
      <c r="D66" s="155" t="s">
        <v>455</v>
      </c>
      <c r="E66" s="155" t="s">
        <v>71</v>
      </c>
      <c r="F66" s="159" t="s">
        <v>469</v>
      </c>
      <c r="G66" s="155" t="s">
        <v>71</v>
      </c>
      <c r="H66" s="155" t="s">
        <v>71</v>
      </c>
      <c r="I66" s="159" t="s">
        <v>470</v>
      </c>
      <c r="K66" s="45"/>
      <c r="L66" s="45"/>
    </row>
    <row r="67" spans="1:12" ht="42.75">
      <c r="A67" s="152">
        <v>18</v>
      </c>
      <c r="B67" s="147" t="s">
        <v>5</v>
      </c>
      <c r="C67" s="154" t="s">
        <v>471</v>
      </c>
      <c r="D67" s="155" t="s">
        <v>455</v>
      </c>
      <c r="E67" s="155" t="s">
        <v>71</v>
      </c>
      <c r="F67" s="159" t="s">
        <v>472</v>
      </c>
      <c r="G67" s="155" t="s">
        <v>71</v>
      </c>
      <c r="H67" s="155" t="s">
        <v>71</v>
      </c>
      <c r="I67" s="159" t="s">
        <v>473</v>
      </c>
      <c r="K67" s="45"/>
      <c r="L67" s="45"/>
    </row>
    <row r="68" spans="1:12" ht="33">
      <c r="A68" s="152">
        <v>19</v>
      </c>
      <c r="B68" s="147" t="s">
        <v>5</v>
      </c>
      <c r="C68" s="154" t="s">
        <v>474</v>
      </c>
      <c r="D68" s="155" t="s">
        <v>455</v>
      </c>
      <c r="E68" s="155" t="s">
        <v>71</v>
      </c>
      <c r="F68" s="159" t="s">
        <v>475</v>
      </c>
      <c r="G68" s="155" t="s">
        <v>71</v>
      </c>
      <c r="H68" s="155" t="s">
        <v>71</v>
      </c>
      <c r="I68" s="159" t="s">
        <v>476</v>
      </c>
      <c r="K68" s="45"/>
      <c r="L68" s="45"/>
    </row>
    <row r="69" spans="1:12" ht="16.5">
      <c r="A69" s="147"/>
      <c r="B69" s="147" t="s">
        <v>477</v>
      </c>
      <c r="C69" s="148"/>
      <c r="D69" s="149"/>
      <c r="E69" s="149"/>
      <c r="F69" s="149"/>
      <c r="G69" s="149"/>
      <c r="H69" s="149"/>
      <c r="I69" s="149"/>
      <c r="L69" s="45"/>
    </row>
    <row r="70" spans="1:12">
      <c r="L70" s="45"/>
    </row>
  </sheetData>
  <conditionalFormatting sqref="D3 D32 G32 G34:G49 D34:D37">
    <cfRule type="cellIs" dxfId="28" priority="18" operator="equal">
      <formula>"(Select)"</formula>
    </cfRule>
  </conditionalFormatting>
  <conditionalFormatting sqref="D4:D13 D46:D49 D39 D16:D22">
    <cfRule type="cellIs" dxfId="27" priority="17" operator="equal">
      <formula>"(Select)"</formula>
    </cfRule>
  </conditionalFormatting>
  <conditionalFormatting sqref="G3">
    <cfRule type="cellIs" dxfId="26" priority="16" operator="equal">
      <formula>"(Select)"</formula>
    </cfRule>
  </conditionalFormatting>
  <conditionalFormatting sqref="G4">
    <cfRule type="cellIs" dxfId="25" priority="15" operator="equal">
      <formula>"(Select)"</formula>
    </cfRule>
  </conditionalFormatting>
  <conditionalFormatting sqref="G5">
    <cfRule type="cellIs" dxfId="24" priority="14" operator="equal">
      <formula>"(Select)"</formula>
    </cfRule>
  </conditionalFormatting>
  <conditionalFormatting sqref="G6:G11 G16:G22 G13">
    <cfRule type="cellIs" dxfId="23" priority="13" operator="equal">
      <formula>"(Select)"</formula>
    </cfRule>
  </conditionalFormatting>
  <conditionalFormatting sqref="D14:D15">
    <cfRule type="cellIs" dxfId="22" priority="12" operator="equal">
      <formula>"(Select)"</formula>
    </cfRule>
  </conditionalFormatting>
  <conditionalFormatting sqref="G14:G15">
    <cfRule type="cellIs" dxfId="21" priority="11" operator="equal">
      <formula>"(Select)"</formula>
    </cfRule>
  </conditionalFormatting>
  <conditionalFormatting sqref="G12">
    <cfRule type="cellIs" dxfId="20" priority="10" operator="equal">
      <formula>"(Select)"</formula>
    </cfRule>
  </conditionalFormatting>
  <conditionalFormatting sqref="E38:E45">
    <cfRule type="cellIs" dxfId="19" priority="9" operator="equal">
      <formula>"(Select)"</formula>
    </cfRule>
  </conditionalFormatting>
  <conditionalFormatting sqref="D45">
    <cfRule type="cellIs" dxfId="18" priority="8" operator="equal">
      <formula>"(Select)"</formula>
    </cfRule>
  </conditionalFormatting>
  <conditionalFormatting sqref="D44">
    <cfRule type="cellIs" dxfId="17" priority="7" operator="equal">
      <formula>"(Select)"</formula>
    </cfRule>
  </conditionalFormatting>
  <conditionalFormatting sqref="D43">
    <cfRule type="cellIs" dxfId="16" priority="6" operator="equal">
      <formula>"(Select)"</formula>
    </cfRule>
  </conditionalFormatting>
  <conditionalFormatting sqref="D42">
    <cfRule type="cellIs" dxfId="15" priority="5" operator="equal">
      <formula>"(Select)"</formula>
    </cfRule>
  </conditionalFormatting>
  <conditionalFormatting sqref="D38">
    <cfRule type="cellIs" dxfId="14" priority="3" operator="equal">
      <formula>"(Select)"</formula>
    </cfRule>
  </conditionalFormatting>
  <conditionalFormatting sqref="D40:D41">
    <cfRule type="cellIs" dxfId="13" priority="4" operator="equal">
      <formula>"(Select)"</formula>
    </cfRule>
  </conditionalFormatting>
  <conditionalFormatting sqref="G23:G31">
    <cfRule type="cellIs" dxfId="12" priority="2" operator="equal">
      <formula>"(Select)"</formula>
    </cfRule>
  </conditionalFormatting>
  <conditionalFormatting sqref="G33">
    <cfRule type="cellIs" dxfId="11" priority="1" operator="equal">
      <formula>"(Select)"</formula>
    </cfRule>
  </conditionalFormatting>
  <hyperlinks>
    <hyperlink ref="A1" location="'Template information'!A1" display="No." xr:uid="{00000000-0004-0000-0200-000000000000}"/>
    <hyperlink ref="F58" r:id="rId1" xr:uid="{00000000-0004-0000-0200-000001000000}"/>
    <hyperlink ref="I58" r:id="rId2" xr:uid="{00000000-0004-0000-0200-000002000000}"/>
    <hyperlink ref="F61" r:id="rId3" xr:uid="{00000000-0004-0000-0200-000003000000}"/>
    <hyperlink ref="F64" r:id="rId4" xr:uid="{00000000-0004-0000-0200-000004000000}"/>
    <hyperlink ref="I50" r:id="rId5" xr:uid="{00000000-0004-0000-0200-000005000000}"/>
    <hyperlink ref="I54" r:id="rId6" xr:uid="{00000000-0004-0000-0200-000006000000}"/>
    <hyperlink ref="F50" r:id="rId7" display="標準開発手順管理表" xr:uid="{00000000-0004-0000-0200-000007000000}"/>
    <hyperlink ref="F54" r:id="rId8" display="標準開発手順管理表" xr:uid="{00000000-0004-0000-0200-000008000000}"/>
    <hyperlink ref="F52" r:id="rId9" display="プロジェクト計画書" xr:uid="{00000000-0004-0000-0200-000009000000}"/>
    <hyperlink ref="I52" r:id="rId10" xr:uid="{00000000-0004-0000-0200-00000A000000}"/>
    <hyperlink ref="F65" r:id="rId11" xr:uid="{00000000-0004-0000-0200-00000B000000}"/>
    <hyperlink ref="F66" r:id="rId12" xr:uid="{00000000-0004-0000-0200-00000C000000}"/>
    <hyperlink ref="F67" r:id="rId13" xr:uid="{00000000-0004-0000-0200-00000D000000}"/>
    <hyperlink ref="F68" r:id="rId14" xr:uid="{00000000-0004-0000-0200-00000E000000}"/>
    <hyperlink ref="I61" r:id="rId15" xr:uid="{00000000-0004-0000-0200-00000F000000}"/>
    <hyperlink ref="I64" r:id="rId16" xr:uid="{00000000-0004-0000-0200-000010000000}"/>
    <hyperlink ref="I65" r:id="rId17" xr:uid="{00000000-0004-0000-0200-000011000000}"/>
    <hyperlink ref="I66" r:id="rId18" xr:uid="{00000000-0004-0000-0200-000012000000}"/>
    <hyperlink ref="I67" r:id="rId19" xr:uid="{00000000-0004-0000-0200-000013000000}"/>
    <hyperlink ref="I68" r:id="rId20" xr:uid="{00000000-0004-0000-0200-000014000000}"/>
    <hyperlink ref="F62" r:id="rId21" xr:uid="{00000000-0004-0000-0200-000015000000}"/>
    <hyperlink ref="I62" r:id="rId22" xr:uid="{00000000-0004-0000-0200-000016000000}"/>
    <hyperlink ref="F63" r:id="rId23" xr:uid="{00000000-0004-0000-0200-000017000000}"/>
    <hyperlink ref="I63" r:id="rId24" xr:uid="{00000000-0004-0000-0200-000018000000}"/>
  </hyperlinks>
  <pageMargins left="0.7" right="0.7" top="0.75" bottom="0.75" header="0.3" footer="0.3"/>
  <pageSetup paperSize="9" orientation="portrait" r:id="rId25"/>
  <tableParts count="1">
    <tablePart r:id="rId2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25"/>
  <sheetViews>
    <sheetView showGridLines="0" zoomScaleNormal="100" zoomScaleSheetLayoutView="100" workbookViewId="0">
      <pane ySplit="5" topLeftCell="A6" activePane="bottomLeft" state="frozen"/>
      <selection pane="bottomLeft" activeCell="B24" sqref="B24:B25"/>
    </sheetView>
  </sheetViews>
  <sheetFormatPr defaultColWidth="8.6640625" defaultRowHeight="14.1" customHeight="1"/>
  <cols>
    <col min="1" max="1" width="2.109375" style="122" customWidth="1"/>
    <col min="2" max="2" width="20.6640625" style="122" customWidth="1"/>
    <col min="3" max="3" width="100.6640625" style="122" customWidth="1"/>
    <col min="4" max="4" width="11.21875" style="122" customWidth="1"/>
    <col min="5" max="5" width="14.33203125" style="122" customWidth="1"/>
    <col min="6" max="16384" width="8.6640625" style="122"/>
  </cols>
  <sheetData>
    <row r="1" spans="1:5" s="115" customFormat="1" ht="3" customHeight="1"/>
    <row r="2" spans="1:5" s="115" customFormat="1" ht="14.1" customHeight="1">
      <c r="B2" s="116" t="s">
        <v>180</v>
      </c>
      <c r="D2" s="117" t="s">
        <v>181</v>
      </c>
      <c r="E2" s="117" t="s">
        <v>182</v>
      </c>
    </row>
    <row r="3" spans="1:5" s="115" customFormat="1" ht="24.95" customHeight="1">
      <c r="B3" s="118" t="s">
        <v>183</v>
      </c>
      <c r="C3" s="119" t="s">
        <v>184</v>
      </c>
      <c r="D3" s="120" t="s">
        <v>185</v>
      </c>
      <c r="E3" s="120" t="s">
        <v>186</v>
      </c>
    </row>
    <row r="4" spans="1:5" s="115" customFormat="1" ht="14.1" customHeight="1">
      <c r="B4" s="121" t="s">
        <v>187</v>
      </c>
      <c r="C4" s="116" t="s">
        <v>188</v>
      </c>
    </row>
    <row r="5" spans="1:5" ht="27.95" customHeight="1">
      <c r="A5" s="122" t="s">
        <v>189</v>
      </c>
      <c r="B5" s="123" t="s">
        <v>190</v>
      </c>
      <c r="C5" s="117" t="s">
        <v>191</v>
      </c>
      <c r="D5" s="117" t="s">
        <v>192</v>
      </c>
      <c r="E5" s="117" t="s">
        <v>193</v>
      </c>
    </row>
    <row r="6" spans="1:5" ht="20.100000000000001" customHeight="1">
      <c r="B6" s="431" t="s">
        <v>194</v>
      </c>
      <c r="C6" s="124" t="s">
        <v>195</v>
      </c>
      <c r="D6" s="432" t="s">
        <v>196</v>
      </c>
      <c r="E6" s="432" t="s">
        <v>197</v>
      </c>
    </row>
    <row r="7" spans="1:5" ht="20.100000000000001" customHeight="1">
      <c r="B7" s="430"/>
      <c r="C7" s="125" t="s">
        <v>198</v>
      </c>
      <c r="D7" s="433"/>
      <c r="E7" s="433"/>
    </row>
    <row r="8" spans="1:5" ht="297">
      <c r="B8" s="431" t="s">
        <v>199</v>
      </c>
      <c r="C8" s="125" t="s">
        <v>200</v>
      </c>
      <c r="D8" s="429" t="s">
        <v>201</v>
      </c>
      <c r="E8" s="429" t="s">
        <v>202</v>
      </c>
    </row>
    <row r="9" spans="1:5" ht="229.5">
      <c r="B9" s="430"/>
      <c r="C9" s="125" t="s">
        <v>203</v>
      </c>
      <c r="D9" s="430"/>
      <c r="E9" s="430"/>
    </row>
    <row r="10" spans="1:5" ht="30" customHeight="1">
      <c r="B10" s="431" t="s">
        <v>204</v>
      </c>
      <c r="C10" s="125" t="s">
        <v>205</v>
      </c>
      <c r="D10" s="429" t="s">
        <v>206</v>
      </c>
      <c r="E10" s="429" t="s">
        <v>207</v>
      </c>
    </row>
    <row r="11" spans="1:5" ht="30" customHeight="1">
      <c r="B11" s="430"/>
      <c r="C11" s="125" t="s">
        <v>208</v>
      </c>
      <c r="D11" s="430"/>
      <c r="E11" s="430"/>
    </row>
    <row r="12" spans="1:5" ht="16.5">
      <c r="B12" s="431" t="s">
        <v>209</v>
      </c>
      <c r="C12" s="125" t="s">
        <v>210</v>
      </c>
      <c r="D12" s="429" t="s">
        <v>211</v>
      </c>
      <c r="E12" s="429" t="s">
        <v>212</v>
      </c>
    </row>
    <row r="13" spans="1:5" ht="14.25">
      <c r="B13" s="430"/>
      <c r="C13" s="125" t="s">
        <v>213</v>
      </c>
      <c r="D13" s="430"/>
      <c r="E13" s="430"/>
    </row>
    <row r="14" spans="1:5" ht="16.5">
      <c r="B14" s="431" t="s">
        <v>214</v>
      </c>
      <c r="C14" s="125" t="s">
        <v>215</v>
      </c>
      <c r="D14" s="429" t="s">
        <v>216</v>
      </c>
      <c r="E14" s="429" t="s">
        <v>217</v>
      </c>
    </row>
    <row r="15" spans="1:5" ht="14.25">
      <c r="B15" s="430"/>
      <c r="C15" s="125" t="s">
        <v>218</v>
      </c>
      <c r="D15" s="430"/>
      <c r="E15" s="430"/>
    </row>
    <row r="16" spans="1:5" ht="16.5">
      <c r="B16" s="431" t="s">
        <v>219</v>
      </c>
      <c r="C16" s="125" t="s">
        <v>220</v>
      </c>
      <c r="D16" s="429" t="s">
        <v>221</v>
      </c>
      <c r="E16" s="429" t="s">
        <v>222</v>
      </c>
    </row>
    <row r="17" spans="2:5" ht="14.25">
      <c r="B17" s="430"/>
      <c r="C17" s="125" t="s">
        <v>223</v>
      </c>
      <c r="D17" s="430"/>
      <c r="E17" s="430"/>
    </row>
    <row r="18" spans="2:5" ht="60">
      <c r="B18" s="431" t="s">
        <v>224</v>
      </c>
      <c r="C18" s="126" t="s">
        <v>225</v>
      </c>
      <c r="D18" s="429" t="s">
        <v>226</v>
      </c>
      <c r="E18" s="429" t="s">
        <v>227</v>
      </c>
    </row>
    <row r="19" spans="2:5" ht="51">
      <c r="B19" s="430"/>
      <c r="C19" s="125" t="s">
        <v>228</v>
      </c>
      <c r="D19" s="430"/>
      <c r="E19" s="430"/>
    </row>
    <row r="20" spans="2:5" ht="66">
      <c r="B20" s="431" t="s">
        <v>183</v>
      </c>
      <c r="C20" s="127" t="s">
        <v>229</v>
      </c>
      <c r="D20" s="429" t="s">
        <v>230</v>
      </c>
      <c r="E20" s="429" t="s">
        <v>231</v>
      </c>
    </row>
    <row r="21" spans="2:5" ht="51">
      <c r="B21" s="430"/>
      <c r="C21" s="125" t="s">
        <v>232</v>
      </c>
      <c r="D21" s="430"/>
      <c r="E21" s="430"/>
    </row>
    <row r="22" spans="2:5" ht="14.25" customHeight="1">
      <c r="B22" s="429" t="s">
        <v>233</v>
      </c>
      <c r="C22" s="127" t="s">
        <v>234</v>
      </c>
      <c r="D22" s="429" t="s">
        <v>235</v>
      </c>
      <c r="E22" s="429" t="s">
        <v>236</v>
      </c>
    </row>
    <row r="23" spans="2:5" ht="14.25">
      <c r="B23" s="430"/>
      <c r="C23" s="125" t="s">
        <v>237</v>
      </c>
      <c r="D23" s="430"/>
      <c r="E23" s="430"/>
    </row>
    <row r="24" spans="2:5" ht="14.25">
      <c r="B24" s="431"/>
      <c r="C24" s="125"/>
      <c r="D24" s="431"/>
      <c r="E24" s="431"/>
    </row>
    <row r="25" spans="2:5" ht="14.25">
      <c r="B25" s="430"/>
      <c r="C25" s="125"/>
      <c r="D25" s="430"/>
      <c r="E25" s="430"/>
    </row>
  </sheetData>
  <mergeCells count="30">
    <mergeCell ref="B6:B7"/>
    <mergeCell ref="D6:D7"/>
    <mergeCell ref="E6:E7"/>
    <mergeCell ref="B8:B9"/>
    <mergeCell ref="D8:D9"/>
    <mergeCell ref="E8:E9"/>
    <mergeCell ref="B10:B11"/>
    <mergeCell ref="D10:D11"/>
    <mergeCell ref="E10:E11"/>
    <mergeCell ref="B12:B13"/>
    <mergeCell ref="D12:D13"/>
    <mergeCell ref="E12:E13"/>
    <mergeCell ref="B14:B15"/>
    <mergeCell ref="D14:D15"/>
    <mergeCell ref="E14:E15"/>
    <mergeCell ref="B16:B17"/>
    <mergeCell ref="D16:D17"/>
    <mergeCell ref="E16:E17"/>
    <mergeCell ref="B18:B19"/>
    <mergeCell ref="D18:D19"/>
    <mergeCell ref="E18:E19"/>
    <mergeCell ref="B20:B21"/>
    <mergeCell ref="D20:D21"/>
    <mergeCell ref="E20:E21"/>
    <mergeCell ref="B22:B23"/>
    <mergeCell ref="D22:D23"/>
    <mergeCell ref="E22:E23"/>
    <mergeCell ref="B24:B25"/>
    <mergeCell ref="D24:D25"/>
    <mergeCell ref="E24:E25"/>
  </mergeCells>
  <pageMargins left="0.7" right="0.7" top="0.75" bottom="0.75" header="0.3" footer="0.3"/>
  <pageSetup paperSize="9" scale="68"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AC42D8E3F6235243B7DB4960DEFEE4D4" ma:contentTypeVersion="2" ma:contentTypeDescription="新しいドキュメントを作成します。" ma:contentTypeScope="" ma:versionID="c7a175e06ccbd3b0ae16edc395d7400a">
  <xsd:schema xmlns:xsd="http://www.w3.org/2001/XMLSchema" xmlns:xs="http://www.w3.org/2001/XMLSchema" xmlns:p="http://schemas.microsoft.com/office/2006/metadata/properties" xmlns:ns2="9b590e1c-98aa-45d0-b368-a8263e89f865" targetNamespace="http://schemas.microsoft.com/office/2006/metadata/properties" ma:root="true" ma:fieldsID="185b22c3730d5d03be6112bb8af31373" ns2:_="">
    <xsd:import namespace="9b590e1c-98aa-45d0-b368-a8263e89f86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b590e1c-98aa-45d0-b368-a8263e89f86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9DBEA65-F275-4A9F-9241-4083F15986F3}">
  <ds:schemaRefs>
    <ds:schemaRef ds:uri="http://schemas.microsoft.com/sharepoint/v3/contenttype/forms"/>
  </ds:schemaRefs>
</ds:datastoreItem>
</file>

<file path=customXml/itemProps2.xml><?xml version="1.0" encoding="utf-8"?>
<ds:datastoreItem xmlns:ds="http://schemas.openxmlformats.org/officeDocument/2006/customXml" ds:itemID="{746256CC-7C34-4603-8EFE-7845FF24981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b590e1c-98aa-45d0-b368-a8263e89f8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2CA4A2B-20B5-40EA-BA65-A63BAC013D2D}">
  <ds:schemaRefs>
    <ds:schemaRef ds:uri="http://www.w3.org/XML/1998/namespace"/>
    <ds:schemaRef ds:uri="http://schemas.microsoft.com/office/2006/documentManagement/types"/>
    <ds:schemaRef ds:uri="http://purl.org/dc/elements/1.1/"/>
    <ds:schemaRef ds:uri="9b590e1c-98aa-45d0-b368-a8263e89f865"/>
    <ds:schemaRef ds:uri="http://schemas.microsoft.com/office/infopath/2007/PartnerControls"/>
    <ds:schemaRef ds:uri="http://purl.org/dc/terms/"/>
    <ds:schemaRef ds:uri="http://schemas.openxmlformats.org/package/2006/metadata/core-properties"/>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Peer Review Minutes</vt:lpstr>
      <vt:lpstr>Verification Specs Checklist</vt:lpstr>
      <vt:lpstr>REL-SEPG-PRM20190801</vt:lpstr>
      <vt:lpstr>Template Revision history</vt:lpstr>
      <vt:lpstr>Kjitubi</vt:lpstr>
      <vt:lpstr>Knin</vt:lpstr>
      <vt:lpstr>Mjitubi</vt:lpstr>
      <vt:lpstr>Mnin</vt:lpstr>
      <vt:lpstr>Obj_ID</vt:lpstr>
      <vt:lpstr>Obj_issue</vt:lpstr>
      <vt:lpstr>Obj_name</vt:lpstr>
      <vt:lpstr>Obj_time</vt:lpstr>
      <vt:lpstr>Obj_unit</vt:lpstr>
      <vt:lpstr>ProcessName</vt:lpstr>
      <vt:lpstr>syurui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Mitsuhiro Nakamura</dc:creator>
  <cp:keywords/>
  <dc:description/>
  <cp:lastModifiedBy>Duong Thanh. Phan (2)</cp:lastModifiedBy>
  <cp:revision/>
  <dcterms:created xsi:type="dcterms:W3CDTF">2018-07-26T03:17:46Z</dcterms:created>
  <dcterms:modified xsi:type="dcterms:W3CDTF">2021-11-25T08:52:10Z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0x010100AC42D8E3F6235243B7DB4960DEFEE4D4</vt:lpwstr>
  </property>
  <property fmtid="{D5CDD505-2E9C-101B-9397-08002B2CF9AE}" pid="3" name="WorkbookGuid">
    <vt:lpwstr>6047ab0d-27bd-4127-a22f-c441ece7e2f7</vt:lpwstr>
  </property>
</Properties>
</file>