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mc:AlternateContent xmlns:mc="http://schemas.openxmlformats.org/markup-compatibility/2006">
    <mc:Choice Requires="x15">
      <x15ac:absPath xmlns:x15ac="http://schemas.microsoft.com/office/spreadsheetml/2010/11/ac" url="D:\mcu_modeling_svn\development\2021\202111_prj_MCS_U2B_SPIDCTL\docs\PRM\"/>
    </mc:Choice>
  </mc:AlternateContent>
  <xr:revisionPtr revIDLastSave="0" documentId="13_ncr:1_{A03CE3C6-F18C-4C75-8B73-FFC22046D90B}" xr6:coauthVersionLast="46" xr6:coauthVersionMax="46" xr10:uidLastSave="{00000000-0000-0000-0000-000000000000}"/>
  <bookViews>
    <workbookView xWindow="-120" yWindow="-120" windowWidth="20730" windowHeight="11160" xr2:uid="{00000000-000D-0000-FFFF-FFFF00000000}"/>
  </bookViews>
  <sheets>
    <sheet name="Peer Review Minutes" sheetId="6" r:id="rId1"/>
    <sheet name="User Manual Checklist" sheetId="18" r:id="rId2"/>
    <sheet name="Template Revision history" sheetId="23" state="hidden" r:id="rId3"/>
    <sheet name="REL-SEPG-PRM20190801" sheetId="14" state="hidden" r:id="rId4"/>
  </sheets>
  <externalReferences>
    <externalReference r:id="rId5"/>
  </externalReferences>
  <definedNames>
    <definedName name="Kjitubi">'Peer Review Minutes'!$I$26</definedName>
    <definedName name="Knin">'Peer Review Minutes'!$Q$26</definedName>
    <definedName name="Mjitubi">'Peer Review Minutes'!$I$25</definedName>
    <definedName name="Mnin">'Peer Review Minutes'!$U$25</definedName>
    <definedName name="Obj_ID">'Peer Review Minutes'!$C$35</definedName>
    <definedName name="Obj_issue">'Peer Review Minutes'!$X$35</definedName>
    <definedName name="Obj_name">'Peer Review Minutes'!$E$35</definedName>
    <definedName name="Obj_time">'Peer Review Minutes'!$Z$35</definedName>
    <definedName name="Obj_unit">'Peer Review Minutes'!$V$35</definedName>
    <definedName name="ProcessName" localSheetId="3">'[1]Peer Review Minutes'!$G$8</definedName>
    <definedName name="ProcessName">'Peer Review Minutes'!$G$8</definedName>
    <definedName name="syurui">'Peer Review Minutes'!$G$20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5" i="6" l="1"/>
  <c r="W40" i="6"/>
  <c r="Y40" i="6"/>
  <c r="AA50" i="6" l="1"/>
  <c r="AA51" i="6"/>
  <c r="AA52" i="6"/>
  <c r="AA53" i="6"/>
  <c r="AA54" i="6"/>
  <c r="AA55" i="6"/>
  <c r="AA56" i="6"/>
  <c r="AA57" i="6"/>
  <c r="AA58" i="6"/>
  <c r="AA59" i="6"/>
  <c r="AA60" i="6"/>
  <c r="AA61" i="6"/>
  <c r="AA62" i="6"/>
  <c r="AA63" i="6"/>
  <c r="AA64" i="6"/>
  <c r="AA65" i="6"/>
  <c r="AA66" i="6"/>
  <c r="AA67" i="6"/>
  <c r="AA68" i="6"/>
  <c r="AA69" i="6"/>
  <c r="AA70" i="6"/>
  <c r="AA71" i="6"/>
  <c r="AA72" i="6"/>
  <c r="AA73" i="6"/>
  <c r="AA74" i="6"/>
  <c r="AA75" i="6"/>
  <c r="AA76" i="6"/>
  <c r="AA77" i="6"/>
  <c r="AA78" i="6"/>
  <c r="AA79" i="6"/>
  <c r="AA80" i="6"/>
  <c r="AA81" i="6"/>
  <c r="AA82" i="6"/>
  <c r="AA83" i="6"/>
  <c r="AA84" i="6"/>
  <c r="AA85" i="6"/>
  <c r="AA86" i="6"/>
  <c r="AA87" i="6"/>
  <c r="AA88" i="6"/>
  <c r="AA89" i="6"/>
  <c r="AA90" i="6"/>
  <c r="AA91" i="6"/>
  <c r="AA92" i="6"/>
  <c r="AA93" i="6"/>
  <c r="AA94" i="6"/>
  <c r="AA95" i="6"/>
  <c r="AA96" i="6"/>
  <c r="AA97" i="6"/>
  <c r="AA98" i="6"/>
  <c r="AA99" i="6"/>
  <c r="AA49" i="6"/>
  <c r="Z1" i="6" l="1"/>
  <c r="W36" i="6" l="1"/>
  <c r="Y36" i="6"/>
  <c r="W37" i="6"/>
  <c r="Y37" i="6"/>
  <c r="W38" i="6"/>
  <c r="Y38" i="6"/>
  <c r="W39" i="6"/>
  <c r="Y39" i="6"/>
  <c r="Z31" i="6" l="1"/>
  <c r="Y31" i="6"/>
  <c r="X31" i="6"/>
  <c r="W31" i="6"/>
  <c r="U31" i="6"/>
  <c r="Z30" i="6"/>
  <c r="X30" i="6"/>
  <c r="U30" i="6"/>
  <c r="Z29" i="6"/>
  <c r="U29" i="6"/>
  <c r="U26" i="6" l="1"/>
  <c r="N31" i="6" l="1"/>
  <c r="W35" i="6" l="1"/>
  <c r="W30" i="6"/>
  <c r="W41" i="6"/>
  <c r="W42" i="6"/>
  <c r="W43" i="6"/>
  <c r="W44" i="6"/>
  <c r="W29" i="6" l="1"/>
  <c r="Y44" i="6" l="1"/>
  <c r="Y43" i="6"/>
  <c r="Y42" i="6"/>
  <c r="Y41" i="6"/>
  <c r="Y30" i="6"/>
  <c r="Y35" i="6"/>
  <c r="Y29" i="6" l="1"/>
  <c r="AA100" i="6"/>
  <c r="X40" i="6" s="1"/>
  <c r="R31" i="6"/>
  <c r="P31" i="6"/>
  <c r="P30" i="6"/>
  <c r="R30" i="6"/>
  <c r="X35" i="6" l="1"/>
  <c r="X36" i="6"/>
  <c r="X38" i="6"/>
  <c r="X37" i="6"/>
  <c r="X39" i="6"/>
  <c r="X43" i="6"/>
  <c r="X41" i="6"/>
  <c r="X44" i="6"/>
  <c r="X42" i="6"/>
  <c r="N30" i="6" l="1"/>
  <c r="X2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Mitsuhiro Nakamura</author>
    <author>Toru Aoyagi</author>
    <author>Kazuya Takahashi</author>
    <author>作成者</author>
  </authors>
  <commentList>
    <comment ref="G7" authorId="0" shapeId="0" xr:uid="{00000000-0006-0000-0000-000001000000}">
      <text>
        <r>
          <rPr>
            <b/>
            <sz val="10"/>
            <color indexed="81"/>
            <rFont val="MS P ゴシック"/>
            <family val="3"/>
            <charset val="128"/>
          </rPr>
          <t>(Select), Project planning process, Requirements development process, Functional design process, Detail design process, Coding and debug process, Unit test process, Integration test process, System test process, -
(選択),プロジェクト計画工程,要件開発工程,機能設計工程,詳細設計工程,
コーディング工程,単体テスト工程,結合テスト工程,システムテスト工程,-</t>
        </r>
      </text>
    </comment>
    <comment ref="C20" authorId="0" shapeId="0" xr:uid="{00000000-0006-0000-0000-000002000000}">
      <text>
        <r>
          <rPr>
            <b/>
            <sz val="10"/>
            <color indexed="81"/>
            <rFont val="MS P ゴシック"/>
            <family val="3"/>
            <charset val="128"/>
          </rPr>
          <t>(Select),Inspection,Team,Walk-through,Pass-around
(選択),インスペクション,チームレビュー,ウォークスルー,パスアラウンド</t>
        </r>
      </text>
    </comment>
    <comment ref="K20" authorId="1" shapeId="0" xr:uid="{00000000-0006-0000-0000-000003000000}">
      <text>
        <r>
          <rPr>
            <sz val="9"/>
            <color indexed="81"/>
            <rFont val="MS P ゴシック"/>
            <family val="3"/>
            <charset val="128"/>
          </rPr>
          <t>(Select), First review, Re-review
(選択),初回レビュー,再レビュー</t>
        </r>
      </text>
    </comment>
    <comment ref="C21" authorId="0" shapeId="0" xr:uid="{00000000-0006-0000-0000-000004000000}">
      <text>
        <r>
          <rPr>
            <b/>
            <sz val="10"/>
            <color indexed="81"/>
            <rFont val="MS P ゴシック"/>
            <family val="3"/>
            <charset val="128"/>
          </rPr>
          <t>(Select), department checklist, checklist of this style
(選択),部門チェックリスト,本様式のチェックリスト</t>
        </r>
      </text>
    </comment>
    <comment ref="V33" authorId="0" shapeId="0" xr:uid="{00000000-0006-0000-0000-000005000000}">
      <text>
        <r>
          <rPr>
            <b/>
            <sz val="10"/>
            <color indexed="81"/>
            <rFont val="MS P ゴシック"/>
            <family val="3"/>
            <charset val="128"/>
          </rPr>
          <t>(Select),Page,Line,Number
(選択),ページ,ライン,項目</t>
        </r>
      </text>
    </comment>
    <comment ref="W34" authorId="2" shapeId="0" xr:uid="{00000000-0006-0000-0000-000006000000}">
      <text>
        <r>
          <rPr>
            <b/>
            <sz val="10"/>
            <color indexed="81"/>
            <rFont val="MS P ゴシック"/>
            <family val="3"/>
            <charset val="128"/>
          </rPr>
          <t>Calculated from planned values of review indicators
レビュー指標の計画値から算出します</t>
        </r>
      </text>
    </comment>
    <comment ref="X34" authorId="2" shapeId="0" xr:uid="{00000000-0006-0000-0000-000007000000}">
      <text>
        <r>
          <rPr>
            <b/>
            <sz val="8"/>
            <color indexed="81"/>
            <rFont val="MS P ゴシック"/>
            <family val="3"/>
            <charset val="128"/>
          </rPr>
          <t xml:space="preserve">Calculated from the number of </t>
        </r>
        <r>
          <rPr>
            <b/>
            <sz val="10"/>
            <color indexed="81"/>
            <rFont val="MS P ゴシック"/>
            <family val="3"/>
            <charset val="128"/>
          </rPr>
          <t>problems pointed out in the indicated matter list
指摘事項一覧の指摘件数から算出します</t>
        </r>
      </text>
    </comment>
    <comment ref="Y34" authorId="2" shapeId="0" xr:uid="{00000000-0006-0000-0000-000008000000}">
      <text>
        <r>
          <rPr>
            <b/>
            <sz val="10"/>
            <color indexed="81"/>
            <rFont val="MS P ゴシック"/>
            <family val="3"/>
            <charset val="128"/>
          </rPr>
          <t>Calculated from planned values of review indicators
レビュー指標の計画値から算出します</t>
        </r>
      </text>
    </comment>
    <comment ref="C45" authorId="3" shapeId="0" xr:uid="{00000000-0006-0000-0000-000009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 ref="G47" authorId="0" shapeId="0" xr:uid="{00000000-0006-0000-0000-00000A000000}">
      <text>
        <r>
          <rPr>
            <b/>
            <sz val="10"/>
            <color indexed="81"/>
            <rFont val="MS P ゴシック"/>
            <family val="3"/>
            <charset val="128"/>
          </rPr>
          <t>(Select),Issue,Q&amp;A,proceedings
(選択),指摘,質疑応答,議事</t>
        </r>
      </text>
    </comment>
    <comment ref="O47" authorId="0" shapeId="0" xr:uid="{00000000-0006-0000-0000-00000B000000}">
      <text>
        <r>
          <rPr>
            <b/>
            <sz val="10"/>
            <color indexed="81"/>
            <rFont val="MS P ゴシック"/>
            <family val="3"/>
            <charset val="128"/>
          </rPr>
          <t>(Select),Defect,Risk,Problem,AI
(選択),工程内不具合,リスク,問題,AI</t>
        </r>
      </text>
    </comment>
    <comment ref="C100" authorId="3" shapeId="0" xr:uid="{00000000-0006-0000-0000-00000C000000}">
      <text>
        <r>
          <rPr>
            <sz val="9"/>
            <color indexed="10"/>
            <rFont val="游ゴシック"/>
            <family val="3"/>
            <charset val="128"/>
          </rPr>
          <t>This line is a dummy line. When adding a line please add it above this.
この行はダミー行です。行を追加するときはこの上に追加して下さい。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Binh Trong. Nguyen</author>
  </authors>
  <commentList>
    <comment ref="E11" authorId="0" shapeId="0" xr:uid="{00000000-0006-0000-0100-000001000000}">
      <text>
        <r>
          <rPr>
            <b/>
            <sz val="9"/>
            <color indexed="81"/>
            <rFont val="Tahoma"/>
            <family val="2"/>
          </rPr>
          <t>Binh Trong. Nguyen:</t>
        </r>
        <r>
          <rPr>
            <sz val="9"/>
            <color indexed="81"/>
            <rFont val="Tahoma"/>
            <family val="2"/>
          </rPr>
          <t xml:space="preserve">
High: must check
Medium: can omit (with reason)
Low: can omit (without reason)</t>
        </r>
      </text>
    </comment>
  </commentList>
</comments>
</file>

<file path=xl/sharedStrings.xml><?xml version="1.0" encoding="utf-8"?>
<sst xmlns="http://schemas.openxmlformats.org/spreadsheetml/2006/main" count="879" uniqueCount="481">
  <si>
    <t>[RENESAS CONFIDENTIAL]</t>
    <phoneticPr fontId="5"/>
  </si>
  <si>
    <t xml:space="preserve">
</t>
  </si>
  <si>
    <t>(Select)</t>
  </si>
  <si>
    <t>No.</t>
    <phoneticPr fontId="5"/>
  </si>
  <si>
    <t>Offset</t>
    <phoneticPr fontId="4"/>
  </si>
  <si>
    <t>Peer Review Minutes</t>
  </si>
  <si>
    <t>C46</t>
    <phoneticPr fontId="4"/>
  </si>
  <si>
    <t>C100</t>
    <phoneticPr fontId="4"/>
  </si>
  <si>
    <t>C105</t>
    <phoneticPr fontId="4"/>
  </si>
  <si>
    <t>Peer Review Checklist</t>
  </si>
  <si>
    <t>C180</t>
    <phoneticPr fontId="4"/>
  </si>
  <si>
    <t>C4</t>
    <phoneticPr fontId="4"/>
  </si>
  <si>
    <t>G12</t>
    <phoneticPr fontId="4"/>
  </si>
  <si>
    <t>G21</t>
    <phoneticPr fontId="4"/>
  </si>
  <si>
    <t>E35-E44</t>
    <phoneticPr fontId="4"/>
  </si>
  <si>
    <t>Q35-Q44</t>
    <phoneticPr fontId="4"/>
  </si>
  <si>
    <t>H101</t>
    <phoneticPr fontId="4"/>
  </si>
  <si>
    <t>Peer Review Minutes</t>
    <phoneticPr fontId="4"/>
  </si>
  <si>
    <t>C104</t>
    <phoneticPr fontId="4"/>
  </si>
  <si>
    <t>No description in "Inform to".</t>
    <phoneticPr fontId="4"/>
  </si>
  <si>
    <t>Please select the "Inform to" referring to each peer review stakeholders described in the Standard Development Procedure Management Table, and describe.</t>
    <phoneticPr fontId="4"/>
  </si>
  <si>
    <t xml:space="preserve">Division name and/or title of person in change noted in "Inform to" are not updated one. </t>
    <phoneticPr fontId="4"/>
  </si>
  <si>
    <t>Please confirm update information by Telephone directory</t>
    <phoneticPr fontId="4"/>
  </si>
  <si>
    <t>Project name is different from the one described in Project plan. ("/" is missing, zenkaku/hankaku, etc.)</t>
    <phoneticPr fontId="4"/>
  </si>
  <si>
    <t>Please copy past the Project name described in the Project plan.</t>
    <phoneticPr fontId="4"/>
  </si>
  <si>
    <t>Using checklist is mandatory.</t>
    <phoneticPr fontId="4"/>
  </si>
  <si>
    <t xml:space="preserve">Documents described in Standard Development Procedure Management Table do not match with the Review objects. </t>
    <phoneticPr fontId="4"/>
  </si>
  <si>
    <t xml:space="preserve">Please confirm if the documents described in Standard Development Procedure Management Table match with the Review objects. </t>
    <phoneticPr fontId="4"/>
  </si>
  <si>
    <t xml:space="preserve">Version is not described even though the document requires version control.  </t>
    <phoneticPr fontId="4"/>
  </si>
  <si>
    <t xml:space="preserve">Please confirm the version of subject document and fill in the version number. </t>
    <phoneticPr fontId="4"/>
  </si>
  <si>
    <t>Target scale and its Unit are not described.</t>
    <phoneticPr fontId="4"/>
  </si>
  <si>
    <t>Please fill in the target scale and unit.
Also, in case the part of Review objects are reviewed, please fill in the scale of actually reviewed objects.</t>
    <phoneticPr fontId="4"/>
  </si>
  <si>
    <t>Result of determination of whether to conduct review again is not described.</t>
    <phoneticPr fontId="4"/>
  </si>
  <si>
    <t>Please make sure to describe the result of determination if re-review is required or not.</t>
    <phoneticPr fontId="4"/>
  </si>
  <si>
    <t>No description in "Notes".</t>
    <phoneticPr fontId="4"/>
  </si>
  <si>
    <t xml:space="preserve">When analysis items are analyzed in the progress confirmation meeting, please describe the result of analysis in this format "Remarks" or Measurement and Analysis items.  </t>
    <phoneticPr fontId="4"/>
  </si>
  <si>
    <t>The destination where this document should be informed to.
[Example] QAD/QSP/QDSC</t>
    <phoneticPr fontId="6"/>
  </si>
  <si>
    <t>G8</t>
    <phoneticPr fontId="6"/>
  </si>
  <si>
    <t>G12</t>
    <phoneticPr fontId="6"/>
  </si>
  <si>
    <t>Name of the project.
[Example] FW development for MCU</t>
    <phoneticPr fontId="6"/>
  </si>
  <si>
    <t>L16</t>
    <phoneticPr fontId="6"/>
  </si>
  <si>
    <t>U3</t>
    <phoneticPr fontId="6"/>
  </si>
  <si>
    <t>U5</t>
    <phoneticPr fontId="6"/>
  </si>
  <si>
    <t>U7-U9</t>
    <phoneticPr fontId="6"/>
  </si>
  <si>
    <t>Describe name of the company and department that created this document.
[Example for Company name] REL
[Example for Department name] ABU/SWBD/SWPL/SWPDT</t>
    <phoneticPr fontId="6"/>
  </si>
  <si>
    <t>U12</t>
    <phoneticPr fontId="6"/>
  </si>
  <si>
    <t>X12</t>
    <phoneticPr fontId="6"/>
  </si>
  <si>
    <t>G19</t>
    <phoneticPr fontId="6"/>
  </si>
  <si>
    <t>G20</t>
    <phoneticPr fontId="6"/>
  </si>
  <si>
    <t>G21</t>
    <phoneticPr fontId="6"/>
  </si>
  <si>
    <t>N21</t>
    <phoneticPr fontId="6"/>
  </si>
  <si>
    <t>When using the department checklist, enter the checklist name.</t>
    <phoneticPr fontId="6"/>
  </si>
  <si>
    <t>I23,M23,
Q23,U23</t>
    <phoneticPr fontId="6"/>
  </si>
  <si>
    <t>Describe the name of participants according to _x000B_their roles.
Describe the all reviewers name in column _x000B_"Reviewer".</t>
    <phoneticPr fontId="6"/>
  </si>
  <si>
    <t>I24</t>
    <phoneticPr fontId="6"/>
  </si>
  <si>
    <t>Copy the planned value of the review issue density and the review speed described in "Analysis Items Table" of REL_SEPG_Development_Management.xlsm here.
(Actual value is automatically calculated.)</t>
    <phoneticPr fontId="6"/>
  </si>
  <si>
    <t>Describe the ID of the object to be reviewed which contains issue.</t>
    <phoneticPr fontId="6"/>
  </si>
  <si>
    <t>Describe location information such as page number, item number, row number.</t>
    <phoneticPr fontId="6"/>
  </si>
  <si>
    <t>Describe the person who detects the issue</t>
    <phoneticPr fontId="6"/>
  </si>
  <si>
    <t>O49-O98</t>
    <phoneticPr fontId="6"/>
  </si>
  <si>
    <t>P49-P98</t>
    <phoneticPr fontId="6"/>
  </si>
  <si>
    <t>S49-S98</t>
    <phoneticPr fontId="6"/>
  </si>
  <si>
    <t>E49-E98</t>
    <phoneticPr fontId="6"/>
  </si>
  <si>
    <t>F49-F98</t>
    <phoneticPr fontId="6"/>
  </si>
  <si>
    <t>In case "Content classification" is "Issue", describe the person in charge who transfer it to manage by management table, etc.
However if "Issue classification" is "AI" and the AI was done before this meeting minute is distributed, then describe the name of person who executed A.I.</t>
    <phoneticPr fontId="6"/>
  </si>
  <si>
    <t xml:space="preserve"> In case "Content classification" is "Issue", describe the deadline to transfer it to manage by management table, etc.
However if "Issue classification" is "AI" and the AI was done before this meeting minute is distributed, then describe completion date of AI execution.</t>
    <phoneticPr fontId="6"/>
  </si>
  <si>
    <t>X49-X98</t>
    <phoneticPr fontId="6"/>
  </si>
  <si>
    <t>In case "Content classification" is "Issue", describe the name of verifier who confirm that issue is transferred to management table, etc by person in charge who transfer it.
However if "Issue classification" is "AI" and the AI was executed before this meeting minute is distributed, then describe the name of verifier who confirmed completion of A</t>
    <phoneticPr fontId="6"/>
  </si>
  <si>
    <t>In case "Content classification" is "Issue", describe the date that verifier confirmed the issue was transferred to management table, etc by person in charge who transfer it.
However if "Issue classification" is "AI" and the AI was executed before this meeting minute is distributed, then describe the verification date that the verifier confirmed the result of AI execution.</t>
    <phoneticPr fontId="6"/>
  </si>
  <si>
    <t>Y49-Y98</t>
    <phoneticPr fontId="6"/>
  </si>
  <si>
    <t>G49-G98</t>
    <phoneticPr fontId="6"/>
  </si>
  <si>
    <t>D49-D98</t>
    <phoneticPr fontId="6"/>
  </si>
  <si>
    <t>H49-H98</t>
    <phoneticPr fontId="6"/>
  </si>
  <si>
    <t>Q49-Q98</t>
    <phoneticPr fontId="6"/>
  </si>
  <si>
    <t>Describe the all reviewers name in column "Reviewer".</t>
    <phoneticPr fontId="6"/>
  </si>
  <si>
    <t>H101</t>
    <phoneticPr fontId="6"/>
  </si>
  <si>
    <t>Describe the determination result of whether to conduct the review again</t>
    <phoneticPr fontId="6"/>
  </si>
  <si>
    <t>Describe any comments other than issues or Q&amp;A such as comments related to measurement and analysis, etc..</t>
    <phoneticPr fontId="6"/>
  </si>
  <si>
    <t>C104</t>
    <phoneticPr fontId="6"/>
  </si>
  <si>
    <t>Condition of review</t>
    <phoneticPr fontId="6"/>
  </si>
  <si>
    <t>N20</t>
    <phoneticPr fontId="6"/>
  </si>
  <si>
    <t>Select the first review or the revised re-review for the subject of review.</t>
    <phoneticPr fontId="6"/>
  </si>
  <si>
    <t>Describe meeting date.
[Example] 12 Apr., 2019</t>
    <phoneticPr fontId="6"/>
  </si>
  <si>
    <t>Describe the start time in hh:mm format.
[Example] 10:00</t>
    <phoneticPr fontId="6"/>
  </si>
  <si>
    <t>Describe the end time in hh:mm format.
[Example] 12:00</t>
    <phoneticPr fontId="6"/>
  </si>
  <si>
    <t>Describe the number of participants</t>
    <phoneticPr fontId="6"/>
  </si>
  <si>
    <t>Describe the venue the meeting is to be held.
[Example] Meeting room no. 1</t>
    <phoneticPr fontId="6"/>
  </si>
  <si>
    <t>I25</t>
    <phoneticPr fontId="6"/>
  </si>
  <si>
    <t>M25</t>
    <phoneticPr fontId="6"/>
  </si>
  <si>
    <t>Q25</t>
    <phoneticPr fontId="6"/>
  </si>
  <si>
    <t>U25</t>
    <phoneticPr fontId="6"/>
  </si>
  <si>
    <t>X25</t>
    <phoneticPr fontId="6"/>
  </si>
  <si>
    <t>I26</t>
    <phoneticPr fontId="6"/>
  </si>
  <si>
    <t>M26</t>
    <phoneticPr fontId="6"/>
  </si>
  <si>
    <t>Q26</t>
    <phoneticPr fontId="6"/>
  </si>
  <si>
    <t>U26</t>
    <phoneticPr fontId="6"/>
  </si>
  <si>
    <t>Describe the title name, file name, version, target scale of work product, and select the unit.</t>
    <phoneticPr fontId="6"/>
  </si>
  <si>
    <t>Peer Review Minutes</t>
    <phoneticPr fontId="6"/>
  </si>
  <si>
    <t>In case of pass-around</t>
    <phoneticPr fontId="6"/>
  </si>
  <si>
    <t>Z35-Z44</t>
    <phoneticPr fontId="6"/>
  </si>
  <si>
    <t>E35-T44</t>
    <phoneticPr fontId="6"/>
  </si>
  <si>
    <t>Describe the performance value of "Review duration".
("Target value" columns are automatically calculated and displayed.)</t>
    <phoneticPr fontId="6"/>
  </si>
  <si>
    <t>About source code description unit</t>
    <phoneticPr fontId="6"/>
  </si>
  <si>
    <t>In the case of source code, it may be organized into a unit to be analyzed using a review index such as division by a unit of SW processing structure instead of a file unit. (You can put together all the source code, especially if you don't need to do separate analysis.)</t>
    <phoneticPr fontId="6"/>
  </si>
  <si>
    <r>
      <t>(This sheet corresponds to "Form 1 Peer Review Minutes" of RCT-JB5001-002.)(</t>
    </r>
    <r>
      <rPr>
        <sz val="8"/>
        <color rgb="FFFF0000"/>
        <rFont val="メイリオ"/>
        <family val="3"/>
        <charset val="128"/>
      </rPr>
      <t>本書は</t>
    </r>
    <r>
      <rPr>
        <sz val="8"/>
        <color rgb="FFFF0000"/>
        <rFont val="Arial"/>
        <family val="2"/>
      </rPr>
      <t>RCT-JB5001-002</t>
    </r>
    <r>
      <rPr>
        <sz val="8"/>
        <color rgb="FFFF0000"/>
        <rFont val="メイリオ"/>
        <family val="3"/>
        <charset val="128"/>
      </rPr>
      <t>の「様式</t>
    </r>
    <r>
      <rPr>
        <sz val="8"/>
        <color rgb="FFFF0000"/>
        <rFont val="Arial"/>
        <family val="2"/>
      </rPr>
      <t xml:space="preserve">1 </t>
    </r>
    <r>
      <rPr>
        <sz val="8"/>
        <color rgb="FFFF0000"/>
        <rFont val="メイリオ"/>
        <family val="3"/>
        <charset val="128"/>
      </rPr>
      <t>ピアレビュー議事録」に相当します</t>
    </r>
    <r>
      <rPr>
        <sz val="8"/>
        <color rgb="FFFF0000"/>
        <rFont val="Arial"/>
        <family val="2"/>
      </rPr>
      <t>)</t>
    </r>
    <phoneticPr fontId="6"/>
  </si>
  <si>
    <r>
      <t>The cells of this color are items added or changed as REL-SEPG template. /</t>
    </r>
    <r>
      <rPr>
        <sz val="10"/>
        <rFont val="メイリオ"/>
        <family val="3"/>
        <charset val="128"/>
      </rPr>
      <t>この色のセルは</t>
    </r>
    <r>
      <rPr>
        <sz val="10"/>
        <rFont val="Arial"/>
        <family val="2"/>
      </rPr>
      <t>REL-SEPG</t>
    </r>
    <r>
      <rPr>
        <sz val="10"/>
        <rFont val="メイリオ"/>
        <family val="3"/>
        <charset val="128"/>
      </rPr>
      <t>様式として追加</t>
    </r>
    <r>
      <rPr>
        <sz val="10"/>
        <rFont val="Arial"/>
        <family val="2"/>
      </rPr>
      <t>/</t>
    </r>
    <r>
      <rPr>
        <sz val="10"/>
        <rFont val="メイリオ"/>
        <family val="3"/>
        <charset val="128"/>
      </rPr>
      <t>変更された項目です</t>
    </r>
    <rPh sb="97" eb="99">
      <t>ヘンコウ</t>
    </rPh>
    <phoneticPr fontId="6"/>
  </si>
  <si>
    <r>
      <t>Inform to/</t>
    </r>
    <r>
      <rPr>
        <sz val="10"/>
        <rFont val="メイリオ"/>
        <family val="3"/>
        <charset val="128"/>
      </rPr>
      <t>通知先</t>
    </r>
    <phoneticPr fontId="5"/>
  </si>
  <si>
    <r>
      <t>Document name/</t>
    </r>
    <r>
      <rPr>
        <sz val="10"/>
        <rFont val="メイリオ"/>
        <family val="3"/>
        <charset val="128"/>
      </rPr>
      <t>文書名</t>
    </r>
    <rPh sb="14" eb="16">
      <t>ブンショ</t>
    </rPh>
    <rPh sb="16" eb="17">
      <t>メイ</t>
    </rPh>
    <phoneticPr fontId="5"/>
  </si>
  <si>
    <r>
      <t xml:space="preserve">Document number
</t>
    </r>
    <r>
      <rPr>
        <sz val="10"/>
        <color theme="1"/>
        <rFont val="メイリオ"/>
        <family val="3"/>
        <charset val="128"/>
      </rPr>
      <t>文書番号</t>
    </r>
    <rPh sb="16" eb="18">
      <t>ブンショ</t>
    </rPh>
    <rPh sb="18" eb="20">
      <t>バンゴウ</t>
    </rPh>
    <phoneticPr fontId="5"/>
  </si>
  <si>
    <r>
      <t>Peer Review Minutes/</t>
    </r>
    <r>
      <rPr>
        <b/>
        <sz val="16"/>
        <rFont val="メイリオ"/>
        <family val="3"/>
        <charset val="128"/>
      </rPr>
      <t>ピアレビュー議事録</t>
    </r>
    <phoneticPr fontId="6"/>
  </si>
  <si>
    <r>
      <t xml:space="preserve">Issue date
</t>
    </r>
    <r>
      <rPr>
        <sz val="10"/>
        <color theme="1"/>
        <rFont val="メイリオ"/>
        <family val="3"/>
        <charset val="128"/>
      </rPr>
      <t>発行日</t>
    </r>
    <rPh sb="11" eb="13">
      <t>ハッコウ</t>
    </rPh>
    <rPh sb="13" eb="14">
      <t>ビ</t>
    </rPh>
    <phoneticPr fontId="6"/>
  </si>
  <si>
    <r>
      <t>Process name/</t>
    </r>
    <r>
      <rPr>
        <sz val="10"/>
        <rFont val="メイリオ"/>
        <family val="3"/>
        <charset val="128"/>
      </rPr>
      <t>工程名</t>
    </r>
    <phoneticPr fontId="5"/>
  </si>
  <si>
    <r>
      <t xml:space="preserve">Company name
</t>
    </r>
    <r>
      <rPr>
        <sz val="10"/>
        <color theme="1"/>
        <rFont val="メイリオ"/>
        <family val="3"/>
        <charset val="128"/>
      </rPr>
      <t>会社名</t>
    </r>
    <rPh sb="13" eb="16">
      <t>カイシャメイ</t>
    </rPh>
    <phoneticPr fontId="5"/>
  </si>
  <si>
    <r>
      <t xml:space="preserve">Department name
</t>
    </r>
    <r>
      <rPr>
        <sz val="10"/>
        <color theme="1"/>
        <rFont val="メイリオ"/>
        <family val="3"/>
        <charset val="128"/>
      </rPr>
      <t>部門</t>
    </r>
    <rPh sb="16" eb="18">
      <t>ブモン</t>
    </rPh>
    <phoneticPr fontId="5"/>
  </si>
  <si>
    <r>
      <t>Project name/</t>
    </r>
    <r>
      <rPr>
        <sz val="10"/>
        <rFont val="メイリオ"/>
        <family val="3"/>
        <charset val="128"/>
      </rPr>
      <t>プロジェクト名</t>
    </r>
    <phoneticPr fontId="5"/>
  </si>
  <si>
    <r>
      <t xml:space="preserve">Approved by
</t>
    </r>
    <r>
      <rPr>
        <sz val="10"/>
        <color theme="1"/>
        <rFont val="メイリオ"/>
        <family val="3"/>
        <charset val="128"/>
      </rPr>
      <t>承認</t>
    </r>
    <r>
      <rPr>
        <sz val="10"/>
        <color theme="1"/>
        <rFont val="Arial"/>
        <family val="2"/>
      </rPr>
      <t>(PL)</t>
    </r>
    <phoneticPr fontId="5"/>
  </si>
  <si>
    <r>
      <t xml:space="preserve">Created by
</t>
    </r>
    <r>
      <rPr>
        <sz val="10"/>
        <color theme="1"/>
        <rFont val="メイリオ"/>
        <family val="3"/>
        <charset val="128"/>
      </rPr>
      <t>作成</t>
    </r>
    <phoneticPr fontId="5"/>
  </si>
  <si>
    <r>
      <t>Project number/</t>
    </r>
    <r>
      <rPr>
        <sz val="10"/>
        <rFont val="メイリオ"/>
        <family val="3"/>
        <charset val="128"/>
      </rPr>
      <t>プロジェクト番号</t>
    </r>
    <phoneticPr fontId="6"/>
  </si>
  <si>
    <r>
      <t>Overview of the review/</t>
    </r>
    <r>
      <rPr>
        <sz val="10"/>
        <rFont val="メイリオ"/>
        <family val="3"/>
        <charset val="128"/>
      </rPr>
      <t>レビュー概要</t>
    </r>
    <rPh sb="27" eb="29">
      <t>ガイヨウ</t>
    </rPh>
    <phoneticPr fontId="5"/>
  </si>
  <si>
    <r>
      <t xml:space="preserve">Purpose (viewpoints)
</t>
    </r>
    <r>
      <rPr>
        <sz val="10"/>
        <rFont val="メイリオ"/>
        <family val="3"/>
        <charset val="128"/>
      </rPr>
      <t>目的（観点）</t>
    </r>
    <phoneticPr fontId="5"/>
  </si>
  <si>
    <r>
      <t>Type/</t>
    </r>
    <r>
      <rPr>
        <sz val="10"/>
        <rFont val="メイリオ"/>
        <family val="3"/>
        <charset val="128"/>
      </rPr>
      <t>種類</t>
    </r>
    <phoneticPr fontId="5"/>
  </si>
  <si>
    <r>
      <t xml:space="preserve">Peer review checklist
</t>
    </r>
    <r>
      <rPr>
        <sz val="10"/>
        <rFont val="メイリオ"/>
        <family val="3"/>
        <charset val="128"/>
      </rPr>
      <t>使用チェックリスト</t>
    </r>
    <phoneticPr fontId="5"/>
  </si>
  <si>
    <r>
      <t xml:space="preserve">Check list name
</t>
    </r>
    <r>
      <rPr>
        <sz val="10"/>
        <rFont val="メイリオ"/>
        <family val="3"/>
        <charset val="128"/>
      </rPr>
      <t>チェックリスト名</t>
    </r>
    <phoneticPr fontId="6"/>
  </si>
  <si>
    <r>
      <t>Review date, time and participants/</t>
    </r>
    <r>
      <rPr>
        <sz val="10"/>
        <rFont val="メイリオ"/>
        <family val="3"/>
        <charset val="128"/>
      </rPr>
      <t>実施日時・参加者</t>
    </r>
    <phoneticPr fontId="6"/>
  </si>
  <si>
    <r>
      <t xml:space="preserve">Participants
</t>
    </r>
    <r>
      <rPr>
        <sz val="10"/>
        <rFont val="メイリオ"/>
        <family val="3"/>
        <charset val="128"/>
      </rPr>
      <t>参加者</t>
    </r>
    <phoneticPr fontId="6"/>
  </si>
  <si>
    <r>
      <t xml:space="preserve">Moderator
</t>
    </r>
    <r>
      <rPr>
        <sz val="10"/>
        <rFont val="メイリオ"/>
        <family val="3"/>
        <charset val="128"/>
      </rPr>
      <t>運営担当者</t>
    </r>
    <rPh sb="10" eb="12">
      <t>ウンエイ</t>
    </rPh>
    <rPh sb="12" eb="15">
      <t>タントウシャ</t>
    </rPh>
    <phoneticPr fontId="5"/>
  </si>
  <si>
    <r>
      <t xml:space="preserve">Recorder
</t>
    </r>
    <r>
      <rPr>
        <sz val="10"/>
        <rFont val="メイリオ"/>
        <family val="3"/>
        <charset val="128"/>
      </rPr>
      <t>記録係</t>
    </r>
    <phoneticPr fontId="6"/>
  </si>
  <si>
    <r>
      <t xml:space="preserve">Presenter
</t>
    </r>
    <r>
      <rPr>
        <sz val="10"/>
        <rFont val="メイリオ"/>
        <family val="3"/>
        <charset val="128"/>
      </rPr>
      <t>説明者</t>
    </r>
    <phoneticPr fontId="6"/>
  </si>
  <si>
    <r>
      <t xml:space="preserve">Author
</t>
    </r>
    <r>
      <rPr>
        <sz val="10"/>
        <rFont val="メイリオ"/>
        <family val="3"/>
        <charset val="128"/>
      </rPr>
      <t>作成者</t>
    </r>
    <phoneticPr fontId="6"/>
  </si>
  <si>
    <r>
      <t xml:space="preserve">Reviewer
</t>
    </r>
    <r>
      <rPr>
        <sz val="10"/>
        <rFont val="メイリオ"/>
        <family val="3"/>
        <charset val="128"/>
      </rPr>
      <t>レビューア</t>
    </r>
    <phoneticPr fontId="5"/>
  </si>
  <si>
    <r>
      <t xml:space="preserve">Meeting
</t>
    </r>
    <r>
      <rPr>
        <sz val="10"/>
        <rFont val="メイリオ"/>
        <family val="3"/>
        <charset val="128"/>
      </rPr>
      <t>ミーティング</t>
    </r>
    <phoneticPr fontId="5"/>
  </si>
  <si>
    <r>
      <t xml:space="preserve">Implementation
date
</t>
    </r>
    <r>
      <rPr>
        <sz val="10"/>
        <rFont val="メイリオ"/>
        <family val="3"/>
        <charset val="128"/>
      </rPr>
      <t>実施日</t>
    </r>
    <rPh sb="20" eb="23">
      <t>ジッシビ</t>
    </rPh>
    <phoneticPr fontId="5"/>
  </si>
  <si>
    <r>
      <t xml:space="preserve">Start time
</t>
    </r>
    <r>
      <rPr>
        <sz val="10"/>
        <rFont val="メイリオ"/>
        <family val="3"/>
        <charset val="128"/>
      </rPr>
      <t>開始時刻</t>
    </r>
    <rPh sb="11" eb="13">
      <t>カイシ</t>
    </rPh>
    <rPh sb="13" eb="15">
      <t>ジコク</t>
    </rPh>
    <phoneticPr fontId="5"/>
  </si>
  <si>
    <r>
      <t xml:space="preserve">End time
</t>
    </r>
    <r>
      <rPr>
        <sz val="10"/>
        <rFont val="メイリオ"/>
        <family val="3"/>
        <charset val="128"/>
      </rPr>
      <t>終了時刻</t>
    </r>
    <rPh sb="9" eb="11">
      <t>シュウリョウ</t>
    </rPh>
    <rPh sb="11" eb="13">
      <t>ジコク</t>
    </rPh>
    <phoneticPr fontId="5"/>
  </si>
  <si>
    <r>
      <t xml:space="preserve">Participants
number
</t>
    </r>
    <r>
      <rPr>
        <sz val="10"/>
        <rFont val="メイリオ"/>
        <family val="3"/>
        <charset val="128"/>
      </rPr>
      <t>ミーティング
人数</t>
    </r>
    <rPh sb="27" eb="29">
      <t>ニンズウ</t>
    </rPh>
    <phoneticPr fontId="5"/>
  </si>
  <si>
    <r>
      <t xml:space="preserve">Venue
</t>
    </r>
    <r>
      <rPr>
        <sz val="10"/>
        <rFont val="メイリオ"/>
        <family val="3"/>
        <charset val="128"/>
      </rPr>
      <t>実施
場所</t>
    </r>
    <rPh sb="6" eb="8">
      <t>ジッシ</t>
    </rPh>
    <rPh sb="9" eb="11">
      <t>バショ</t>
    </rPh>
    <phoneticPr fontId="5"/>
  </si>
  <si>
    <r>
      <t xml:space="preserve">Desk check
</t>
    </r>
    <r>
      <rPr>
        <sz val="10"/>
        <rFont val="メイリオ"/>
        <family val="3"/>
        <charset val="128"/>
      </rPr>
      <t>机上チェック</t>
    </r>
    <rPh sb="11" eb="13">
      <t>キジョウ</t>
    </rPh>
    <phoneticPr fontId="5"/>
  </si>
  <si>
    <r>
      <t xml:space="preserve">Start date
</t>
    </r>
    <r>
      <rPr>
        <sz val="10"/>
        <rFont val="メイリオ"/>
        <family val="3"/>
        <charset val="128"/>
      </rPr>
      <t>開始日</t>
    </r>
    <rPh sb="11" eb="14">
      <t>カイシビ</t>
    </rPh>
    <phoneticPr fontId="5"/>
  </si>
  <si>
    <r>
      <t xml:space="preserve">End date
</t>
    </r>
    <r>
      <rPr>
        <sz val="10"/>
        <rFont val="メイリオ"/>
        <family val="3"/>
        <charset val="128"/>
      </rPr>
      <t>終了日</t>
    </r>
    <rPh sb="9" eb="12">
      <t>シュウリョウビ</t>
    </rPh>
    <phoneticPr fontId="5"/>
  </si>
  <si>
    <r>
      <t xml:space="preserve">Participants
number
</t>
    </r>
    <r>
      <rPr>
        <sz val="10"/>
        <rFont val="メイリオ"/>
        <family val="3"/>
        <charset val="128"/>
      </rPr>
      <t>チェック
人数</t>
    </r>
    <rPh sb="25" eb="27">
      <t>ニンズウ</t>
    </rPh>
    <phoneticPr fontId="5"/>
  </si>
  <si>
    <r>
      <t xml:space="preserve">Total duration
</t>
    </r>
    <r>
      <rPr>
        <sz val="10"/>
        <rFont val="メイリオ"/>
        <family val="3"/>
        <charset val="128"/>
      </rPr>
      <t>チェック
時間合計</t>
    </r>
    <rPh sb="22" eb="24">
      <t>ゴウケイ</t>
    </rPh>
    <phoneticPr fontId="5"/>
  </si>
  <si>
    <r>
      <t>Review index/</t>
    </r>
    <r>
      <rPr>
        <sz val="10"/>
        <rFont val="メイリオ"/>
        <family val="3"/>
        <charset val="128"/>
      </rPr>
      <t>レビュー指標</t>
    </r>
    <phoneticPr fontId="6"/>
  </si>
  <si>
    <r>
      <t xml:space="preserve">Review index name
</t>
    </r>
    <r>
      <rPr>
        <sz val="10"/>
        <rFont val="メイリオ"/>
        <family val="3"/>
        <charset val="128"/>
      </rPr>
      <t>指標名</t>
    </r>
    <rPh sb="18" eb="20">
      <t>シヒョウ</t>
    </rPh>
    <rPh sb="20" eb="21">
      <t>メイ</t>
    </rPh>
    <phoneticPr fontId="6"/>
  </si>
  <si>
    <r>
      <t>Index value (planned)/</t>
    </r>
    <r>
      <rPr>
        <sz val="10"/>
        <rFont val="メイリオ"/>
        <family val="3"/>
        <charset val="128"/>
      </rPr>
      <t>指標値（計画値）</t>
    </r>
    <rPh sb="22" eb="24">
      <t>シヒョウ</t>
    </rPh>
    <rPh sb="24" eb="25">
      <t>チ</t>
    </rPh>
    <rPh sb="26" eb="28">
      <t>ケイカク</t>
    </rPh>
    <rPh sb="28" eb="29">
      <t>チ</t>
    </rPh>
    <phoneticPr fontId="6"/>
  </si>
  <si>
    <r>
      <t>Index value (actual)/</t>
    </r>
    <r>
      <rPr>
        <sz val="10"/>
        <rFont val="メイリオ"/>
        <family val="3"/>
        <charset val="128"/>
      </rPr>
      <t>指標値（実績値）</t>
    </r>
    <rPh sb="21" eb="23">
      <t>シヒョウ</t>
    </rPh>
    <rPh sb="23" eb="24">
      <t>チ</t>
    </rPh>
    <rPh sb="27" eb="28">
      <t>チ</t>
    </rPh>
    <phoneticPr fontId="6"/>
  </si>
  <si>
    <r>
      <t>Page/</t>
    </r>
    <r>
      <rPr>
        <sz val="10"/>
        <rFont val="メイリオ"/>
        <family val="3"/>
        <charset val="128"/>
      </rPr>
      <t>ページ</t>
    </r>
    <r>
      <rPr>
        <sz val="10"/>
        <rFont val="Arial"/>
        <family val="2"/>
      </rPr>
      <t xml:space="preserve"> </t>
    </r>
    <phoneticPr fontId="6"/>
  </si>
  <si>
    <r>
      <t>Line/</t>
    </r>
    <r>
      <rPr>
        <sz val="10"/>
        <rFont val="メイリオ"/>
        <family val="3"/>
        <charset val="128"/>
      </rPr>
      <t>ライン</t>
    </r>
    <phoneticPr fontId="6"/>
  </si>
  <si>
    <r>
      <t>Number of test item/</t>
    </r>
    <r>
      <rPr>
        <sz val="10"/>
        <rFont val="メイリオ"/>
        <family val="3"/>
        <charset val="128"/>
      </rPr>
      <t>テスト項目数</t>
    </r>
    <rPh sb="25" eb="26">
      <t>スウ</t>
    </rPh>
    <phoneticPr fontId="6"/>
  </si>
  <si>
    <r>
      <t xml:space="preserve">Review issue density
</t>
    </r>
    <r>
      <rPr>
        <sz val="10"/>
        <rFont val="メイリオ"/>
        <family val="3"/>
        <charset val="128"/>
      </rPr>
      <t>レビュー指摘密度</t>
    </r>
    <rPh sb="25" eb="27">
      <t>シテキ</t>
    </rPh>
    <rPh sb="27" eb="29">
      <t>ミツド</t>
    </rPh>
    <phoneticPr fontId="5"/>
  </si>
  <si>
    <r>
      <t xml:space="preserve">Review speed
</t>
    </r>
    <r>
      <rPr>
        <sz val="10"/>
        <rFont val="メイリオ"/>
        <family val="3"/>
        <charset val="128"/>
      </rPr>
      <t>レビュー速度</t>
    </r>
    <rPh sb="17" eb="19">
      <t>ソクド</t>
    </rPh>
    <phoneticPr fontId="5"/>
  </si>
  <si>
    <r>
      <t>Review objects/</t>
    </r>
    <r>
      <rPr>
        <sz val="10"/>
        <rFont val="メイリオ"/>
        <family val="3"/>
        <charset val="128"/>
      </rPr>
      <t>レビュー対象物</t>
    </r>
    <rPh sb="19" eb="22">
      <t>タイショウブツ</t>
    </rPh>
    <phoneticPr fontId="5"/>
  </si>
  <si>
    <r>
      <t xml:space="preserve">Objects
ID
</t>
    </r>
    <r>
      <rPr>
        <sz val="10"/>
        <rFont val="メイリオ"/>
        <family val="3"/>
        <charset val="128"/>
      </rPr>
      <t xml:space="preserve">対象物
</t>
    </r>
    <r>
      <rPr>
        <sz val="10"/>
        <rFont val="Arial"/>
        <family val="2"/>
      </rPr>
      <t>ID</t>
    </r>
    <phoneticPr fontId="5"/>
  </si>
  <si>
    <r>
      <t>Name/</t>
    </r>
    <r>
      <rPr>
        <sz val="10"/>
        <rFont val="メイリオ"/>
        <family val="3"/>
        <charset val="128"/>
      </rPr>
      <t>名称</t>
    </r>
    <rPh sb="5" eb="7">
      <t>メイショウ</t>
    </rPh>
    <phoneticPr fontId="5"/>
  </si>
  <si>
    <r>
      <t>File name/</t>
    </r>
    <r>
      <rPr>
        <sz val="10"/>
        <rFont val="メイリオ"/>
        <family val="3"/>
        <charset val="128"/>
      </rPr>
      <t>ファイル名</t>
    </r>
    <phoneticPr fontId="5"/>
  </si>
  <si>
    <r>
      <t>Version/</t>
    </r>
    <r>
      <rPr>
        <sz val="10"/>
        <rFont val="メイリオ"/>
        <family val="3"/>
        <charset val="128"/>
      </rPr>
      <t>バージョン</t>
    </r>
    <phoneticPr fontId="5"/>
  </si>
  <si>
    <r>
      <t xml:space="preserve">Target scale of review
</t>
    </r>
    <r>
      <rPr>
        <sz val="10"/>
        <rFont val="メイリオ"/>
        <family val="3"/>
        <charset val="128"/>
      </rPr>
      <t>レビュー量</t>
    </r>
    <rPh sb="27" eb="28">
      <t>リョウ</t>
    </rPh>
    <phoneticPr fontId="5"/>
  </si>
  <si>
    <r>
      <t xml:space="preserve">Unit
</t>
    </r>
    <r>
      <rPr>
        <sz val="10"/>
        <rFont val="メイリオ"/>
        <family val="3"/>
        <charset val="128"/>
      </rPr>
      <t>単位</t>
    </r>
    <rPh sb="5" eb="7">
      <t>タンイ</t>
    </rPh>
    <phoneticPr fontId="6"/>
  </si>
  <si>
    <r>
      <t xml:space="preserve">Number of review issues
</t>
    </r>
    <r>
      <rPr>
        <sz val="10"/>
        <rFont val="メイリオ"/>
        <family val="3"/>
        <charset val="128"/>
      </rPr>
      <t>指摘件数</t>
    </r>
    <phoneticPr fontId="6"/>
  </si>
  <si>
    <r>
      <t xml:space="preserve">Review duration
</t>
    </r>
    <r>
      <rPr>
        <sz val="10"/>
        <rFont val="メイリオ"/>
        <family val="3"/>
        <charset val="128"/>
      </rPr>
      <t>レビュー時間</t>
    </r>
    <phoneticPr fontId="6"/>
  </si>
  <si>
    <r>
      <rPr>
        <sz val="10"/>
        <rFont val="メイリオ"/>
        <family val="3"/>
        <charset val="128"/>
      </rPr>
      <t>統括</t>
    </r>
    <rPh sb="0" eb="2">
      <t>トウカツ</t>
    </rPh>
    <phoneticPr fontId="6"/>
  </si>
  <si>
    <r>
      <t xml:space="preserve">Target value
</t>
    </r>
    <r>
      <rPr>
        <sz val="10"/>
        <rFont val="メイリオ"/>
        <family val="3"/>
        <charset val="128"/>
      </rPr>
      <t>予定</t>
    </r>
    <phoneticPr fontId="6"/>
  </si>
  <si>
    <r>
      <t xml:space="preserve">Performance value
</t>
    </r>
    <r>
      <rPr>
        <sz val="10"/>
        <rFont val="メイリオ"/>
        <family val="3"/>
        <charset val="128"/>
      </rPr>
      <t>実績</t>
    </r>
    <phoneticPr fontId="6"/>
  </si>
  <si>
    <r>
      <t>List of Issues/</t>
    </r>
    <r>
      <rPr>
        <sz val="10"/>
        <rFont val="メイリオ"/>
        <family val="3"/>
        <charset val="128"/>
      </rPr>
      <t>指摘事項一覧</t>
    </r>
    <rPh sb="15" eb="17">
      <t>シテキ</t>
    </rPh>
    <rPh sb="17" eb="19">
      <t>ジコウ</t>
    </rPh>
    <rPh sb="19" eb="21">
      <t>イチラン</t>
    </rPh>
    <phoneticPr fontId="5"/>
  </si>
  <si>
    <r>
      <t xml:space="preserve">Location of issue
</t>
    </r>
    <r>
      <rPr>
        <sz val="10"/>
        <rFont val="メイリオ"/>
        <family val="3"/>
        <charset val="128"/>
      </rPr>
      <t>指摘箇所</t>
    </r>
    <rPh sb="18" eb="20">
      <t>シテキ</t>
    </rPh>
    <rPh sb="20" eb="22">
      <t>カショ</t>
    </rPh>
    <phoneticPr fontId="5"/>
  </si>
  <si>
    <r>
      <t xml:space="preserve">Detected by
</t>
    </r>
    <r>
      <rPr>
        <sz val="10"/>
        <rFont val="メイリオ"/>
        <family val="3"/>
        <charset val="128"/>
      </rPr>
      <t>指摘者</t>
    </r>
    <rPh sb="12" eb="14">
      <t>シテキ</t>
    </rPh>
    <rPh sb="14" eb="15">
      <t>シャ</t>
    </rPh>
    <phoneticPr fontId="5"/>
  </si>
  <si>
    <r>
      <t xml:space="preserve">Content classification
</t>
    </r>
    <r>
      <rPr>
        <sz val="10"/>
        <rFont val="メイリオ"/>
        <family val="3"/>
        <charset val="128"/>
      </rPr>
      <t>内容分類</t>
    </r>
    <rPh sb="23" eb="25">
      <t>ナイヨウ</t>
    </rPh>
    <rPh sb="25" eb="27">
      <t>ブンルイ</t>
    </rPh>
    <phoneticPr fontId="5"/>
  </si>
  <si>
    <r>
      <t xml:space="preserve">Contents of indication / contents of question and answer
</t>
    </r>
    <r>
      <rPr>
        <sz val="10"/>
        <rFont val="メイリオ"/>
        <family val="3"/>
        <charset val="128"/>
      </rPr>
      <t>指摘の内容</t>
    </r>
    <r>
      <rPr>
        <sz val="10"/>
        <rFont val="Arial"/>
        <family val="2"/>
      </rPr>
      <t>/</t>
    </r>
    <r>
      <rPr>
        <sz val="10"/>
        <rFont val="メイリオ"/>
        <family val="3"/>
        <charset val="128"/>
      </rPr>
      <t>質疑の内容</t>
    </r>
    <rPh sb="57" eb="59">
      <t>シテキ</t>
    </rPh>
    <rPh sb="60" eb="62">
      <t>ナイヨウ</t>
    </rPh>
    <rPh sb="63" eb="65">
      <t>シツギ</t>
    </rPh>
    <rPh sb="66" eb="68">
      <t>ナイヨウ</t>
    </rPh>
    <phoneticPr fontId="5"/>
  </si>
  <si>
    <r>
      <t xml:space="preserve">Issue classification
</t>
    </r>
    <r>
      <rPr>
        <sz val="10"/>
        <rFont val="メイリオ"/>
        <family val="3"/>
        <charset val="128"/>
      </rPr>
      <t>指摘分類</t>
    </r>
    <rPh sb="23" eb="25">
      <t>ブンルイ</t>
    </rPh>
    <phoneticPr fontId="5"/>
  </si>
  <si>
    <r>
      <t xml:space="preserve">Processed by
</t>
    </r>
    <r>
      <rPr>
        <sz val="10"/>
        <rFont val="メイリオ"/>
        <family val="3"/>
        <charset val="128"/>
      </rPr>
      <t>対応者</t>
    </r>
    <phoneticPr fontId="5"/>
  </si>
  <si>
    <r>
      <t xml:space="preserve">Deadline
</t>
    </r>
    <r>
      <rPr>
        <sz val="10"/>
        <rFont val="メイリオ"/>
        <family val="3"/>
        <charset val="128"/>
      </rPr>
      <t>対応期限</t>
    </r>
    <rPh sb="9" eb="11">
      <t>タイオウ</t>
    </rPh>
    <rPh sb="11" eb="13">
      <t>キゲン</t>
    </rPh>
    <phoneticPr fontId="5"/>
  </si>
  <si>
    <r>
      <t xml:space="preserve">Correspondence contents / response of question and answer
(In case of transfer, transfer destination and management number)
</t>
    </r>
    <r>
      <rPr>
        <sz val="10"/>
        <rFont val="メイリオ"/>
        <family val="3"/>
        <charset val="128"/>
      </rPr>
      <t>対応内容</t>
    </r>
    <r>
      <rPr>
        <sz val="10"/>
        <rFont val="Arial"/>
        <family val="2"/>
      </rPr>
      <t>/</t>
    </r>
    <r>
      <rPr>
        <sz val="10"/>
        <rFont val="メイリオ"/>
        <family val="3"/>
        <charset val="128"/>
      </rPr>
      <t>質疑の応答
（移管の場合は移管先と管理番号）</t>
    </r>
    <rPh sb="124" eb="126">
      <t>タイオウ</t>
    </rPh>
    <rPh sb="126" eb="128">
      <t>ナイヨウ</t>
    </rPh>
    <rPh sb="136" eb="138">
      <t>イカン</t>
    </rPh>
    <rPh sb="139" eb="141">
      <t>バアイ</t>
    </rPh>
    <rPh sb="142" eb="144">
      <t>イカン</t>
    </rPh>
    <rPh sb="144" eb="145">
      <t>サキ</t>
    </rPh>
    <rPh sb="146" eb="148">
      <t>カンリ</t>
    </rPh>
    <rPh sb="148" eb="150">
      <t>バンゴウ</t>
    </rPh>
    <phoneticPr fontId="5"/>
  </si>
  <si>
    <r>
      <t xml:space="preserve">Verified by
</t>
    </r>
    <r>
      <rPr>
        <sz val="10"/>
        <rFont val="メイリオ"/>
        <family val="3"/>
        <charset val="128"/>
      </rPr>
      <t>対応
確認者</t>
    </r>
    <rPh sb="12" eb="14">
      <t>タイオウ</t>
    </rPh>
    <rPh sb="15" eb="17">
      <t>カクニン</t>
    </rPh>
    <rPh sb="17" eb="18">
      <t>シャ</t>
    </rPh>
    <phoneticPr fontId="6"/>
  </si>
  <si>
    <r>
      <t xml:space="preserve">Verification date
</t>
    </r>
    <r>
      <rPr>
        <sz val="10"/>
        <rFont val="メイリオ"/>
        <family val="3"/>
        <charset val="128"/>
      </rPr>
      <t>対応
確認日</t>
    </r>
    <rPh sb="18" eb="20">
      <t>タイオウ</t>
    </rPh>
    <rPh sb="21" eb="23">
      <t>カクニン</t>
    </rPh>
    <rPh sb="23" eb="24">
      <t>ビ</t>
    </rPh>
    <phoneticPr fontId="6"/>
  </si>
  <si>
    <r>
      <t xml:space="preserve">Object 
ID
</t>
    </r>
    <r>
      <rPr>
        <sz val="10"/>
        <rFont val="メイリオ"/>
        <family val="3"/>
        <charset val="128"/>
      </rPr>
      <t xml:space="preserve">対象物
</t>
    </r>
    <r>
      <rPr>
        <sz val="10"/>
        <rFont val="Arial"/>
        <family val="2"/>
      </rPr>
      <t>ID</t>
    </r>
    <rPh sb="11" eb="13">
      <t>タイショウ</t>
    </rPh>
    <rPh sb="13" eb="14">
      <t>ブツ</t>
    </rPh>
    <phoneticPr fontId="5"/>
  </si>
  <si>
    <r>
      <t xml:space="preserve">Location
</t>
    </r>
    <r>
      <rPr>
        <sz val="10"/>
        <rFont val="メイリオ"/>
        <family val="3"/>
        <charset val="128"/>
      </rPr>
      <t>位置</t>
    </r>
    <rPh sb="9" eb="11">
      <t>イチ</t>
    </rPh>
    <phoneticPr fontId="5"/>
  </si>
  <si>
    <r>
      <t>Whether to conduct the review again/</t>
    </r>
    <r>
      <rPr>
        <sz val="10"/>
        <rFont val="メイリオ"/>
        <family val="3"/>
        <charset val="128"/>
      </rPr>
      <t>再レビュー実施判定</t>
    </r>
    <phoneticPr fontId="5"/>
  </si>
  <si>
    <r>
      <t xml:space="preserve">Result of the determination
</t>
    </r>
    <r>
      <rPr>
        <sz val="10"/>
        <rFont val="メイリオ"/>
        <family val="3"/>
        <charset val="128"/>
      </rPr>
      <t>判定</t>
    </r>
    <rPh sb="28" eb="30">
      <t>ハンテイ</t>
    </rPh>
    <phoneticPr fontId="5"/>
  </si>
  <si>
    <r>
      <t>Notes/</t>
    </r>
    <r>
      <rPr>
        <sz val="10"/>
        <rFont val="メイリオ"/>
        <family val="3"/>
        <charset val="128"/>
      </rPr>
      <t>備考</t>
    </r>
    <rPh sb="6" eb="8">
      <t>ビコウ</t>
    </rPh>
    <phoneticPr fontId="6"/>
  </si>
  <si>
    <t>Select the name of the process</t>
    <phoneticPr fontId="6"/>
  </si>
  <si>
    <t>Describe name of the person who creates the document and the creation date.
[Example] 15 Apr., 2019
Takahashi SC.</t>
    <phoneticPr fontId="6"/>
  </si>
  <si>
    <t>Number of project.
[Example] PB-19001</t>
    <phoneticPr fontId="6"/>
  </si>
  <si>
    <t>Describe the date the document is issued.
[Example] 15 Apr., 2019</t>
    <phoneticPr fontId="6"/>
  </si>
  <si>
    <t>Describe name of the person who approves the document and the approval date.
[Example] 15 Apr., 2019
Sato K</t>
    <phoneticPr fontId="6"/>
  </si>
  <si>
    <t>E35-V44</t>
    <phoneticPr fontId="6"/>
  </si>
  <si>
    <t>H30,J30,L30,H31,J31,L31</t>
    <phoneticPr fontId="6"/>
  </si>
  <si>
    <t>T35-V44</t>
    <phoneticPr fontId="4"/>
  </si>
  <si>
    <t>Please choose whether to use "This template checklist" or "Department checklist" and enter the checklist name in the cell on the right.</t>
    <phoneticPr fontId="4"/>
  </si>
  <si>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15 Apr., 2019</t>
    <phoneticPr fontId="6"/>
  </si>
  <si>
    <t>Describe the number of persons for desk check. In addition, the confirmation before inspection execution is "pre-check", and it is not necessary to record the time and the number of people as a desk check. However, pre-checks can also be timed and analyzed at the project's discretion.</t>
    <phoneticPr fontId="6"/>
  </si>
  <si>
    <t>Describe the total on-desk check duration in decimal value (Unit: hr). In addition, the confirmation before inspection execution is "pre-check", and it is not necessary to record the time and the number of people as a desk check. However, pre-checks can also be timed and analyzed at the project's discretion.
[Example] 2.5 * 2 hours 30 minutes</t>
    <phoneticPr fontId="6"/>
  </si>
  <si>
    <t>Select the type of review from the dropdown menu. In addition, the confirmation before inspection execution is "pre-check", and it is not necessary to record the time and the number of people as a desk check. However, pre-checks can also be timed and analyzed at the project's discretion.</t>
    <phoneticPr fontId="6"/>
  </si>
  <si>
    <t>Describe the start date as well as end date in dd/mm/yyyy format. In addition, the confirmation before inspection execution is "pre-check", and it is not necessary to record the time and the number of people as a desk check. However, pre-checks can also be timed and analyzed at the project's discretion.
[Example] 12 Apr., 2019</t>
    <phoneticPr fontId="6"/>
  </si>
  <si>
    <t>Select the result
  OK --- Evaluation results exist.
  NG --- There is no evaluation result.
  N/A --- Not applicable because there is 
              no need to select a design method.</t>
    <phoneticPr fontId="6"/>
  </si>
  <si>
    <t>RCT-JB5001 9.7.4. Analysis and corrective measures[P.20]</t>
    <phoneticPr fontId="4"/>
  </si>
  <si>
    <t>RCT-JB5001 7.2.1.(2) Project Planning Process[P.4]</t>
    <phoneticPr fontId="4"/>
  </si>
  <si>
    <t>RCT-JB5001 7.2.1.(3) Planning DR[P.4]</t>
    <phoneticPr fontId="4"/>
  </si>
  <si>
    <t>RCT-JB5001 8.11. Creation of the Training Plan[P.17]</t>
    <phoneticPr fontId="4"/>
  </si>
  <si>
    <t>RCT-JB5001-003 6.1. Acquiring Requests[P.37]</t>
    <phoneticPr fontId="4"/>
  </si>
  <si>
    <t>RCT-JB5001-003 6.2. Determining Request Feasibility[P.38]</t>
    <phoneticPr fontId="4"/>
  </si>
  <si>
    <t>RCT-JB5001-003 6.3. Converting Requests into Requirements[P.38]</t>
    <phoneticPr fontId="4"/>
  </si>
  <si>
    <t>RCT-JB5001-003 6.4. Ensuring Traceability[P.38]</t>
    <phoneticPr fontId="4"/>
  </si>
  <si>
    <t>E93</t>
    <phoneticPr fontId="6"/>
  </si>
  <si>
    <t>If there is no problem because some of the confirmation items are not applicable, select OK, and enter the reasons for judging that there is no problem with the not applicable items in the Additional Description column.</t>
    <phoneticPr fontId="6"/>
  </si>
  <si>
    <t>-</t>
  </si>
  <si>
    <t>-</t>
    <phoneticPr fontId="6"/>
  </si>
  <si>
    <t>D6-F6</t>
    <phoneticPr fontId="6"/>
  </si>
  <si>
    <t>D7-F7</t>
    <phoneticPr fontId="6"/>
  </si>
  <si>
    <t>D8-F8</t>
    <phoneticPr fontId="6"/>
  </si>
  <si>
    <t>D9-F9</t>
    <phoneticPr fontId="6"/>
  </si>
  <si>
    <t>D19-F19</t>
    <phoneticPr fontId="6"/>
  </si>
  <si>
    <t>D13-F18</t>
    <phoneticPr fontId="6"/>
  </si>
  <si>
    <t>D17-F18</t>
    <phoneticPr fontId="6"/>
  </si>
  <si>
    <t>D15-F16</t>
    <phoneticPr fontId="6"/>
  </si>
  <si>
    <t>D13-F14</t>
    <phoneticPr fontId="6"/>
  </si>
  <si>
    <t>Select the checklist to use.
Even when using the department's peer review checklist, items related to project plan process and requirements development process and traceability after functional design process should be checked.Use this template to confirm, or include the same check items in the department checklist and then confirm.</t>
    <phoneticPr fontId="6"/>
  </si>
  <si>
    <t>Guide</t>
  </si>
  <si>
    <t>(FinalLine)</t>
    <phoneticPr fontId="4"/>
  </si>
  <si>
    <t>プロジェクト計画書[Project Plan]E7</t>
    <rPh sb="6" eb="9">
      <t>ケイカクショ</t>
    </rPh>
    <phoneticPr fontId="4"/>
  </si>
  <si>
    <t>Project plan[Project Plan]E7</t>
    <phoneticPr fontId="4"/>
  </si>
  <si>
    <t>標準開発手順管理表[標準開発手順管理表]J12</t>
    <phoneticPr fontId="4"/>
  </si>
  <si>
    <t>Standard Development Procedure Management Table[SDP Management Table]J12</t>
    <phoneticPr fontId="4"/>
  </si>
  <si>
    <t>標準開発手順管理表[標準開発手順管理表]G12</t>
    <phoneticPr fontId="4"/>
  </si>
  <si>
    <t>Standard Development Procedure Management Table[SDP Management Table]G12</t>
    <phoneticPr fontId="4"/>
  </si>
  <si>
    <r>
      <rPr>
        <sz val="10"/>
        <color theme="1"/>
        <rFont val="メイリオ"/>
        <family val="3"/>
        <charset val="128"/>
      </rPr>
      <t>ワークシート名</t>
    </r>
    <rPh sb="6" eb="7">
      <t>メイ</t>
    </rPh>
    <phoneticPr fontId="4"/>
  </si>
  <si>
    <r>
      <rPr>
        <sz val="10"/>
        <color theme="1"/>
        <rFont val="メイリオ"/>
        <family val="3"/>
        <charset val="128"/>
      </rPr>
      <t>位置</t>
    </r>
    <rPh sb="0" eb="2">
      <t>イチ</t>
    </rPh>
    <phoneticPr fontId="4"/>
  </si>
  <si>
    <r>
      <rPr>
        <sz val="10"/>
        <color theme="1"/>
        <rFont val="メイリオ"/>
        <family val="3"/>
        <charset val="128"/>
      </rPr>
      <t>問題定義（指摘内容）</t>
    </r>
    <rPh sb="0" eb="2">
      <t>モンダイ</t>
    </rPh>
    <rPh sb="2" eb="4">
      <t>テイギ</t>
    </rPh>
    <rPh sb="5" eb="7">
      <t>シテキ</t>
    </rPh>
    <rPh sb="7" eb="9">
      <t>ナイヨウ</t>
    </rPh>
    <phoneticPr fontId="4"/>
  </si>
  <si>
    <r>
      <rPr>
        <sz val="10"/>
        <color theme="1"/>
        <rFont val="メイリオ"/>
        <family val="3"/>
        <charset val="128"/>
      </rPr>
      <t>対処方法</t>
    </r>
    <rPh sb="0" eb="2">
      <t>タイショ</t>
    </rPh>
    <rPh sb="2" eb="4">
      <t>ホウホウ</t>
    </rPh>
    <phoneticPr fontId="4"/>
  </si>
  <si>
    <r>
      <rPr>
        <sz val="10"/>
        <color theme="1"/>
        <rFont val="メイリオ"/>
        <family val="3"/>
        <charset val="128"/>
      </rPr>
      <t>関連先</t>
    </r>
    <rPh sb="0" eb="2">
      <t>カンレン</t>
    </rPh>
    <rPh sb="2" eb="3">
      <t>サキ</t>
    </rPh>
    <phoneticPr fontId="4"/>
  </si>
  <si>
    <r>
      <rPr>
        <sz val="10"/>
        <color theme="1"/>
        <rFont val="メイリオ"/>
        <family val="3"/>
        <charset val="128"/>
      </rPr>
      <t>問題定義（指摘内容）</t>
    </r>
    <r>
      <rPr>
        <sz val="10"/>
        <color theme="1"/>
        <rFont val="Arial"/>
        <family val="2"/>
      </rPr>
      <t>_</t>
    </r>
    <r>
      <rPr>
        <sz val="10"/>
        <color theme="1"/>
        <rFont val="メイリオ"/>
        <family val="3"/>
        <charset val="128"/>
      </rPr>
      <t>英語版</t>
    </r>
    <rPh sb="0" eb="2">
      <t>モンダイ</t>
    </rPh>
    <rPh sb="2" eb="4">
      <t>テイギ</t>
    </rPh>
    <rPh sb="5" eb="7">
      <t>シテキ</t>
    </rPh>
    <rPh sb="7" eb="9">
      <t>ナイヨウ</t>
    </rPh>
    <rPh sb="11" eb="13">
      <t>エイゴ</t>
    </rPh>
    <rPh sb="13" eb="14">
      <t>ハン</t>
    </rPh>
    <phoneticPr fontId="4"/>
  </si>
  <si>
    <r>
      <rPr>
        <sz val="10"/>
        <color theme="1"/>
        <rFont val="メイリオ"/>
        <family val="3"/>
        <charset val="128"/>
      </rPr>
      <t>対処方法</t>
    </r>
    <r>
      <rPr>
        <sz val="10"/>
        <color theme="1"/>
        <rFont val="Arial"/>
        <family val="2"/>
      </rPr>
      <t>_</t>
    </r>
    <r>
      <rPr>
        <sz val="10"/>
        <color theme="1"/>
        <rFont val="メイリオ"/>
        <family val="3"/>
        <charset val="128"/>
      </rPr>
      <t>英語版</t>
    </r>
    <rPh sb="0" eb="2">
      <t>タイショ</t>
    </rPh>
    <rPh sb="2" eb="4">
      <t>ホウホウ</t>
    </rPh>
    <phoneticPr fontId="4"/>
  </si>
  <si>
    <r>
      <rPr>
        <sz val="10"/>
        <color theme="1"/>
        <rFont val="メイリオ"/>
        <family val="3"/>
        <charset val="128"/>
      </rPr>
      <t>関連先</t>
    </r>
    <r>
      <rPr>
        <sz val="10"/>
        <color theme="1"/>
        <rFont val="Arial"/>
        <family val="2"/>
      </rPr>
      <t>_</t>
    </r>
    <r>
      <rPr>
        <sz val="10"/>
        <color theme="1"/>
        <rFont val="メイリオ"/>
        <family val="3"/>
        <charset val="128"/>
      </rPr>
      <t>英語版</t>
    </r>
    <rPh sb="0" eb="2">
      <t>カンレン</t>
    </rPh>
    <rPh sb="2" eb="3">
      <t>サキ</t>
    </rPh>
    <phoneticPr fontId="4"/>
  </si>
  <si>
    <r>
      <rPr>
        <sz val="10"/>
        <color theme="1"/>
        <rFont val="メイリオ"/>
        <family val="3"/>
        <charset val="128"/>
      </rPr>
      <t>列</t>
    </r>
    <r>
      <rPr>
        <sz val="10"/>
        <color theme="1"/>
        <rFont val="Arial"/>
        <family val="2"/>
      </rPr>
      <t>1</t>
    </r>
  </si>
  <si>
    <r>
      <rPr>
        <sz val="10"/>
        <color theme="1"/>
        <rFont val="メイリオ"/>
        <family val="3"/>
        <charset val="128"/>
      </rPr>
      <t>列</t>
    </r>
    <r>
      <rPr>
        <sz val="10"/>
        <color theme="1"/>
        <rFont val="Arial"/>
        <family val="2"/>
      </rPr>
      <t>2</t>
    </r>
  </si>
  <si>
    <r>
      <rPr>
        <sz val="10"/>
        <color theme="1"/>
        <rFont val="メイリオ"/>
        <family val="3"/>
        <charset val="128"/>
      </rPr>
      <t>列</t>
    </r>
    <r>
      <rPr>
        <sz val="10"/>
        <color theme="1"/>
        <rFont val="Arial"/>
        <family val="2"/>
      </rPr>
      <t>3</t>
    </r>
  </si>
  <si>
    <r>
      <rPr>
        <sz val="10"/>
        <color theme="1"/>
        <rFont val="メイリオ"/>
        <family val="3"/>
        <charset val="128"/>
      </rPr>
      <t>列</t>
    </r>
    <r>
      <rPr>
        <sz val="10"/>
        <color theme="1"/>
        <rFont val="Arial"/>
        <family val="2"/>
      </rPr>
      <t>4</t>
    </r>
  </si>
  <si>
    <r>
      <rPr>
        <sz val="10"/>
        <color theme="1"/>
        <rFont val="メイリオ"/>
        <family val="3"/>
        <charset val="128"/>
      </rPr>
      <t>列</t>
    </r>
    <r>
      <rPr>
        <sz val="10"/>
        <color theme="1"/>
        <rFont val="Arial"/>
        <family val="2"/>
      </rPr>
      <t>5</t>
    </r>
  </si>
  <si>
    <r>
      <rPr>
        <sz val="10"/>
        <color theme="1"/>
        <rFont val="メイリオ"/>
        <family val="3"/>
        <charset val="128"/>
      </rPr>
      <t>列</t>
    </r>
    <r>
      <rPr>
        <sz val="10"/>
        <color theme="1"/>
        <rFont val="Arial"/>
        <family val="2"/>
      </rPr>
      <t>6</t>
    </r>
  </si>
  <si>
    <r>
      <rPr>
        <sz val="10"/>
        <color theme="1"/>
        <rFont val="メイリオ"/>
        <family val="3"/>
        <charset val="128"/>
      </rPr>
      <t>列</t>
    </r>
    <r>
      <rPr>
        <sz val="10"/>
        <color theme="1"/>
        <rFont val="Arial"/>
        <family val="2"/>
      </rPr>
      <t>42</t>
    </r>
  </si>
  <si>
    <r>
      <rPr>
        <sz val="10"/>
        <color theme="1"/>
        <rFont val="メイリオ"/>
        <family val="3"/>
        <charset val="128"/>
      </rPr>
      <t>列</t>
    </r>
    <r>
      <rPr>
        <sz val="10"/>
        <color theme="1"/>
        <rFont val="Arial"/>
        <family val="2"/>
      </rPr>
      <t>52</t>
    </r>
  </si>
  <si>
    <r>
      <rPr>
        <sz val="10"/>
        <color theme="1"/>
        <rFont val="メイリオ"/>
        <family val="3"/>
        <charset val="128"/>
      </rPr>
      <t>列</t>
    </r>
    <r>
      <rPr>
        <sz val="10"/>
        <color theme="1"/>
        <rFont val="Arial"/>
        <family val="2"/>
      </rPr>
      <t>62</t>
    </r>
  </si>
  <si>
    <r>
      <t>(</t>
    </r>
    <r>
      <rPr>
        <sz val="10"/>
        <color theme="1"/>
        <rFont val="メイリオ"/>
        <family val="3"/>
        <charset val="128"/>
      </rPr>
      <t>記入不要</t>
    </r>
    <r>
      <rPr>
        <sz val="10"/>
        <color theme="1"/>
        <rFont val="Arial"/>
        <family val="2"/>
      </rPr>
      <t>)</t>
    </r>
    <rPh sb="1" eb="3">
      <t>キニュウ</t>
    </rPh>
    <rPh sb="3" eb="5">
      <t>フヨウ</t>
    </rPh>
    <phoneticPr fontId="4"/>
  </si>
  <si>
    <r>
      <rPr>
        <sz val="10"/>
        <rFont val="メイリオ"/>
        <family val="3"/>
        <charset val="128"/>
      </rPr>
      <t>本文書の発行を通知する宛先を記載する。
【例】</t>
    </r>
    <r>
      <rPr>
        <sz val="10"/>
        <rFont val="Arial"/>
        <family val="2"/>
      </rPr>
      <t xml:space="preserve">QAD/QSP/QDSC </t>
    </r>
    <r>
      <rPr>
        <sz val="10"/>
        <rFont val="メイリオ"/>
        <family val="3"/>
        <charset val="128"/>
      </rPr>
      <t>各位</t>
    </r>
    <phoneticPr fontId="6"/>
  </si>
  <si>
    <r>
      <rPr>
        <sz val="10"/>
        <rFont val="メイリオ"/>
        <family val="3"/>
        <charset val="128"/>
      </rPr>
      <t>工程名を選択する。</t>
    </r>
    <phoneticPr fontId="6"/>
  </si>
  <si>
    <r>
      <rPr>
        <sz val="10"/>
        <rFont val="メイリオ"/>
        <family val="3"/>
        <charset val="128"/>
      </rPr>
      <t>プロジェクト名を記載する。
【例】</t>
    </r>
    <r>
      <rPr>
        <sz val="10"/>
        <rFont val="Arial"/>
        <family val="2"/>
      </rPr>
      <t>MCU</t>
    </r>
    <r>
      <rPr>
        <sz val="10"/>
        <rFont val="メイリオ"/>
        <family val="3"/>
        <charset val="128"/>
      </rPr>
      <t>用</t>
    </r>
    <r>
      <rPr>
        <sz val="10"/>
        <rFont val="Arial"/>
        <family val="2"/>
      </rPr>
      <t>FW</t>
    </r>
    <r>
      <rPr>
        <sz val="10"/>
        <rFont val="メイリオ"/>
        <family val="3"/>
        <charset val="128"/>
      </rPr>
      <t>開発</t>
    </r>
    <phoneticPr fontId="6"/>
  </si>
  <si>
    <r>
      <rPr>
        <sz val="10"/>
        <rFont val="メイリオ"/>
        <family val="3"/>
        <charset val="128"/>
      </rPr>
      <t>プロジェクト番号を記載する。
【例】</t>
    </r>
    <r>
      <rPr>
        <sz val="10"/>
        <rFont val="Arial"/>
        <family val="2"/>
      </rPr>
      <t>PB-19001</t>
    </r>
    <phoneticPr fontId="6"/>
  </si>
  <si>
    <r>
      <rPr>
        <sz val="10"/>
        <rFont val="メイリオ"/>
        <family val="3"/>
        <charset val="128"/>
      </rPr>
      <t>部門で取り決めた文書番号を記載する。
部門で定義していない場合は、ハイフン記号</t>
    </r>
    <r>
      <rPr>
        <sz val="10"/>
        <rFont val="Arial"/>
        <family val="2"/>
      </rPr>
      <t>(-)</t>
    </r>
    <r>
      <rPr>
        <sz val="10"/>
        <rFont val="メイリオ"/>
        <family val="3"/>
        <charset val="128"/>
      </rPr>
      <t>を記載する。
【例】</t>
    </r>
    <r>
      <rPr>
        <sz val="10"/>
        <rFont val="Arial"/>
        <family val="2"/>
      </rPr>
      <t>SYS-14-0000001</t>
    </r>
    <phoneticPr fontId="6"/>
  </si>
  <si>
    <r>
      <t>The document number defined by the department.
Insert hyphen "</t>
    </r>
    <r>
      <rPr>
        <sz val="10"/>
        <color theme="1"/>
        <rFont val="メイリオ"/>
        <family val="3"/>
        <charset val="128"/>
      </rPr>
      <t>－</t>
    </r>
    <r>
      <rPr>
        <sz val="10"/>
        <color theme="1"/>
        <rFont val="Arial"/>
        <family val="2"/>
      </rPr>
      <t>" if not defined by the department.
[Example] SYS-14-0000001</t>
    </r>
    <phoneticPr fontId="6"/>
  </si>
  <si>
    <r>
      <rPr>
        <sz val="10"/>
        <rFont val="メイリオ"/>
        <family val="3"/>
        <charset val="128"/>
      </rPr>
      <t>本文書の発行日を記載する。
【例】</t>
    </r>
    <r>
      <rPr>
        <sz val="10"/>
        <rFont val="Arial"/>
        <family val="2"/>
      </rPr>
      <t>2019/4/15</t>
    </r>
    <phoneticPr fontId="6"/>
  </si>
  <si>
    <r>
      <rPr>
        <sz val="10"/>
        <rFont val="メイリオ"/>
        <family val="3"/>
        <charset val="128"/>
      </rPr>
      <t>本文書を作成した会社名と部門名を記載する。
【会社名の例】</t>
    </r>
    <r>
      <rPr>
        <sz val="10"/>
        <rFont val="Arial"/>
        <family val="2"/>
      </rPr>
      <t xml:space="preserve">REL
</t>
    </r>
    <r>
      <rPr>
        <sz val="10"/>
        <rFont val="メイリオ"/>
        <family val="3"/>
        <charset val="128"/>
      </rPr>
      <t>【部門名の例】</t>
    </r>
    <r>
      <rPr>
        <sz val="10"/>
        <rFont val="Arial"/>
        <family val="2"/>
      </rPr>
      <t>ABU/SWBD/SWPL/SWPDT</t>
    </r>
    <phoneticPr fontId="6"/>
  </si>
  <si>
    <r>
      <rPr>
        <sz val="10"/>
        <rFont val="メイリオ"/>
        <family val="3"/>
        <charset val="128"/>
      </rPr>
      <t>承認者の名前と承認日を記載する。
【例】</t>
    </r>
    <r>
      <rPr>
        <sz val="10"/>
        <rFont val="Arial"/>
        <family val="2"/>
      </rPr>
      <t xml:space="preserve">2019/4/15
</t>
    </r>
    <r>
      <rPr>
        <sz val="10"/>
        <rFont val="メイリオ"/>
        <family val="3"/>
        <charset val="128"/>
      </rPr>
      <t>佐藤</t>
    </r>
    <r>
      <rPr>
        <sz val="10"/>
        <rFont val="Arial"/>
        <family val="2"/>
      </rPr>
      <t>K</t>
    </r>
    <phoneticPr fontId="6"/>
  </si>
  <si>
    <r>
      <rPr>
        <sz val="10"/>
        <rFont val="メイリオ"/>
        <family val="3"/>
        <charset val="128"/>
      </rPr>
      <t>作成者の名前と作成日を記載する。
【例】</t>
    </r>
    <r>
      <rPr>
        <sz val="10"/>
        <rFont val="Arial"/>
        <family val="2"/>
      </rPr>
      <t xml:space="preserve">2019/4/15
</t>
    </r>
    <r>
      <rPr>
        <sz val="10"/>
        <rFont val="メイリオ"/>
        <family val="3"/>
        <charset val="128"/>
      </rPr>
      <t>高橋</t>
    </r>
    <r>
      <rPr>
        <sz val="10"/>
        <rFont val="Arial"/>
        <family val="2"/>
      </rPr>
      <t>SC</t>
    </r>
    <phoneticPr fontId="6"/>
  </si>
  <si>
    <r>
      <rPr>
        <sz val="10"/>
        <rFont val="メイリオ"/>
        <family val="3"/>
        <charset val="128"/>
      </rPr>
      <t>ピアレビューの目的</t>
    </r>
    <r>
      <rPr>
        <sz val="10"/>
        <rFont val="Arial"/>
        <family val="2"/>
      </rPr>
      <t>(</t>
    </r>
    <r>
      <rPr>
        <sz val="10"/>
        <rFont val="メイリオ"/>
        <family val="3"/>
        <charset val="128"/>
      </rPr>
      <t>観点</t>
    </r>
    <r>
      <rPr>
        <sz val="10"/>
        <rFont val="Arial"/>
        <family val="2"/>
      </rPr>
      <t>)</t>
    </r>
    <r>
      <rPr>
        <sz val="10"/>
        <rFont val="メイリオ"/>
        <family val="3"/>
        <charset val="128"/>
      </rPr>
      <t xml:space="preserve">を記載する。
【例】以下の観点で詳細設計書の不具合を抽出する。
・詳細設計書の記載
</t>
    </r>
    <r>
      <rPr>
        <sz val="10"/>
        <rFont val="Arial"/>
        <family val="2"/>
      </rPr>
      <t xml:space="preserve">  (1)</t>
    </r>
    <r>
      <rPr>
        <sz val="10"/>
        <rFont val="メイリオ"/>
        <family val="3"/>
        <charset val="128"/>
      </rPr>
      <t xml:space="preserve">機能設計書の正しい理解に基づいていること
</t>
    </r>
    <r>
      <rPr>
        <sz val="10"/>
        <rFont val="Arial"/>
        <family val="2"/>
      </rPr>
      <t xml:space="preserve">  (2)</t>
    </r>
    <r>
      <rPr>
        <sz val="10"/>
        <rFont val="メイリオ"/>
        <family val="3"/>
        <charset val="128"/>
      </rPr>
      <t xml:space="preserve">機能設計書に対して過不足がないこと
</t>
    </r>
    <r>
      <rPr>
        <sz val="10"/>
        <rFont val="Arial"/>
        <family val="2"/>
      </rPr>
      <t xml:space="preserve">  (3)</t>
    </r>
    <r>
      <rPr>
        <sz val="10"/>
        <rFont val="メイリオ"/>
        <family val="3"/>
        <charset val="128"/>
      </rPr>
      <t xml:space="preserve">粒度が十分詳細でソースコードを作成可能なこと
・機能設計書とのトレーサビリティ
</t>
    </r>
    <r>
      <rPr>
        <sz val="10"/>
        <rFont val="Arial"/>
        <family val="2"/>
      </rPr>
      <t xml:space="preserve">  (1)</t>
    </r>
    <r>
      <rPr>
        <sz val="10"/>
        <rFont val="メイリオ"/>
        <family val="3"/>
        <charset val="128"/>
      </rPr>
      <t xml:space="preserve">トレース漏れがないこと
</t>
    </r>
    <r>
      <rPr>
        <sz val="10"/>
        <rFont val="Arial"/>
        <family val="2"/>
      </rPr>
      <t xml:space="preserve">  (2)</t>
    </r>
    <r>
      <rPr>
        <sz val="10"/>
        <rFont val="メイリオ"/>
        <family val="3"/>
        <charset val="128"/>
      </rPr>
      <t>トレース先が正しいこと</t>
    </r>
    <rPh sb="40" eb="42">
      <t>チュウシュツ</t>
    </rPh>
    <phoneticPr fontId="6"/>
  </si>
  <si>
    <r>
      <t>Purpose (viewpoints)
Describe the purpose (viewpoints) of peer review.
[Example]</t>
    </r>
    <r>
      <rPr>
        <sz val="10"/>
        <color theme="1"/>
        <rFont val="メイリオ"/>
        <family val="3"/>
        <charset val="128"/>
      </rPr>
      <t>　</t>
    </r>
    <r>
      <rPr>
        <sz val="10"/>
        <color theme="1"/>
        <rFont val="Arial"/>
        <family val="2"/>
      </rPr>
      <t xml:space="preserve">Find defects of Detail Design Document with the following viewpoints.
  </t>
    </r>
    <r>
      <rPr>
        <sz val="10"/>
        <color theme="1"/>
        <rFont val="メイリオ"/>
        <family val="3"/>
        <charset val="128"/>
      </rPr>
      <t>・</t>
    </r>
    <r>
      <rPr>
        <sz val="10"/>
        <color theme="1"/>
        <rFont val="Arial"/>
        <family val="2"/>
      </rPr>
      <t xml:space="preserve">Description of Detail Design Document 
    (1)It is based on the correct understanding of the Functional Design Document. 
    (2)No excess or deficiency with respect to the description of the Functional Design Document.
    (3)Sufficiently detailed that the source code can be created.
  </t>
    </r>
    <r>
      <rPr>
        <sz val="10"/>
        <color theme="1"/>
        <rFont val="メイリオ"/>
        <family val="3"/>
        <charset val="128"/>
      </rPr>
      <t>・</t>
    </r>
    <r>
      <rPr>
        <sz val="10"/>
        <color theme="1"/>
        <rFont val="Arial"/>
        <family val="2"/>
      </rPr>
      <t>Traceability to Functional Design Document
    (1)No trace omission
    (2)The trace destination is correct.</t>
    </r>
    <phoneticPr fontId="4"/>
  </si>
  <si>
    <r>
      <rPr>
        <sz val="10"/>
        <rFont val="メイリオ"/>
        <family val="3"/>
        <charset val="128"/>
      </rPr>
      <t>レビュー種類をリストから選択する。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</si>
  <si>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使用するチェックリストを選択する。
なお、部門のピアレビューチェックリストを使用する場合であっても、プロジェクト計画工程と要件開発工程、および機能設計工程以降のトレーサビリティに関する項目のチェックは必須です。本様式のチェック項目または部門のチェックリストに含めてチェックしてください。</t>
    </r>
    <rPh sb="56" eb="58">
      <t>ケイカク</t>
    </rPh>
    <rPh sb="58" eb="60">
      <t>コウテイ</t>
    </rPh>
    <rPh sb="61" eb="63">
      <t>ヨウケン</t>
    </rPh>
    <rPh sb="63" eb="65">
      <t>カイハツ</t>
    </rPh>
    <rPh sb="65" eb="67">
      <t>コウテイ</t>
    </rPh>
    <rPh sb="71" eb="73">
      <t>キノウ</t>
    </rPh>
    <rPh sb="73" eb="75">
      <t>セッケイ</t>
    </rPh>
    <rPh sb="75" eb="77">
      <t>コウテイ</t>
    </rPh>
    <rPh sb="77" eb="79">
      <t>イコウ</t>
    </rPh>
    <rPh sb="89" eb="90">
      <t>カン</t>
    </rPh>
    <rPh sb="92" eb="94">
      <t>コウモク</t>
    </rPh>
    <rPh sb="100" eb="102">
      <t>ヒッス</t>
    </rPh>
    <phoneticPr fontId="6"/>
  </si>
  <si>
    <r>
      <rPr>
        <sz val="10"/>
        <rFont val="メイリオ"/>
        <family val="3"/>
        <charset val="128"/>
      </rPr>
      <t>レビュー対象物に対して、初回のレビューか、修正後の再レビューかを選択する。</t>
    </r>
    <rPh sb="4" eb="6">
      <t>タイショウ</t>
    </rPh>
    <rPh sb="6" eb="7">
      <t>ブツ</t>
    </rPh>
    <rPh sb="8" eb="9">
      <t>タイ</t>
    </rPh>
    <rPh sb="12" eb="14">
      <t>ショカイ</t>
    </rPh>
    <rPh sb="21" eb="23">
      <t>シュウセイ</t>
    </rPh>
    <rPh sb="23" eb="24">
      <t>ゴ</t>
    </rPh>
    <rPh sb="25" eb="26">
      <t>サイ</t>
    </rPh>
    <rPh sb="32" eb="34">
      <t>センタク</t>
    </rPh>
    <phoneticPr fontId="6"/>
  </si>
  <si>
    <r>
      <rPr>
        <sz val="10"/>
        <rFont val="メイリオ"/>
        <family val="3"/>
        <charset val="128"/>
      </rPr>
      <t>部門チェックリストを使用する場合、チェックリスト名を記載する。</t>
    </r>
    <phoneticPr fontId="6"/>
  </si>
  <si>
    <r>
      <rPr>
        <sz val="10"/>
        <rFont val="メイリオ"/>
        <family val="3"/>
        <charset val="128"/>
      </rPr>
      <t>役割ごとに名前を記載する。
レビューア欄には全レビューア名を記載する。</t>
    </r>
    <phoneticPr fontId="6"/>
  </si>
  <si>
    <r>
      <rPr>
        <sz val="10"/>
        <rFont val="メイリオ"/>
        <family val="3"/>
        <charset val="128"/>
      </rPr>
      <t>レビューア欄には全レビューア名を記載する</t>
    </r>
    <phoneticPr fontId="6"/>
  </si>
  <si>
    <r>
      <rPr>
        <sz val="10"/>
        <rFont val="メイリオ"/>
        <family val="3"/>
        <charset val="128"/>
      </rPr>
      <t>ミーティングの実施日を年月日で記載する。
【例】</t>
    </r>
    <r>
      <rPr>
        <sz val="10"/>
        <rFont val="Arial"/>
        <family val="2"/>
      </rPr>
      <t xml:space="preserve"> 2019/4/12</t>
    </r>
    <phoneticPr fontId="6"/>
  </si>
  <si>
    <r>
      <rPr>
        <sz val="10"/>
        <rFont val="メイリオ"/>
        <family val="3"/>
        <charset val="128"/>
      </rPr>
      <t>ミーティングの開始時刻を</t>
    </r>
    <r>
      <rPr>
        <sz val="10"/>
        <rFont val="Arial"/>
        <family val="2"/>
      </rPr>
      <t xml:space="preserve"> hh:mm </t>
    </r>
    <r>
      <rPr>
        <sz val="10"/>
        <rFont val="メイリオ"/>
        <family val="3"/>
        <charset val="128"/>
      </rPr>
      <t>形式で記載する。
【例】　</t>
    </r>
    <r>
      <rPr>
        <sz val="10"/>
        <rFont val="Arial"/>
        <family val="2"/>
      </rPr>
      <t>10:00</t>
    </r>
    <phoneticPr fontId="6"/>
  </si>
  <si>
    <r>
      <rPr>
        <sz val="10"/>
        <rFont val="メイリオ"/>
        <family val="3"/>
        <charset val="128"/>
      </rPr>
      <t>ミーティングの終了時刻を</t>
    </r>
    <r>
      <rPr>
        <sz val="10"/>
        <rFont val="Arial"/>
        <family val="2"/>
      </rPr>
      <t xml:space="preserve"> hh:mm </t>
    </r>
    <r>
      <rPr>
        <sz val="10"/>
        <rFont val="メイリオ"/>
        <family val="3"/>
        <charset val="128"/>
      </rPr>
      <t>形式で記載する。
【例】　</t>
    </r>
    <r>
      <rPr>
        <sz val="10"/>
        <rFont val="Arial"/>
        <family val="2"/>
      </rPr>
      <t>12:00</t>
    </r>
    <phoneticPr fontId="6"/>
  </si>
  <si>
    <r>
      <rPr>
        <sz val="10"/>
        <rFont val="メイリオ"/>
        <family val="3"/>
        <charset val="128"/>
      </rPr>
      <t>ミーティングに参加した人数を記載する。</t>
    </r>
    <phoneticPr fontId="6"/>
  </si>
  <si>
    <r>
      <rPr>
        <sz val="10"/>
        <rFont val="メイリオ"/>
        <family val="3"/>
        <charset val="128"/>
      </rPr>
      <t>ミーティングを行った場所を記載する。
【例】　第</t>
    </r>
    <r>
      <rPr>
        <sz val="10"/>
        <rFont val="Arial"/>
        <family val="2"/>
      </rPr>
      <t>1</t>
    </r>
    <r>
      <rPr>
        <sz val="10"/>
        <rFont val="メイリオ"/>
        <family val="3"/>
        <charset val="128"/>
      </rPr>
      <t>会議室</t>
    </r>
    <phoneticPr fontId="6"/>
  </si>
  <si>
    <r>
      <rPr>
        <sz val="10"/>
        <rFont val="メイリオ"/>
        <family val="3"/>
        <charset val="128"/>
      </rPr>
      <t>机上チェックの開始日を年月日で記載する。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2019/4/12</t>
    </r>
    <phoneticPr fontId="6"/>
  </si>
  <si>
    <r>
      <rPr>
        <sz val="10"/>
        <rFont val="メイリオ"/>
        <family val="3"/>
        <charset val="128"/>
      </rPr>
      <t>机上チェックの終了日を年月日で記載する。
なお、インスペクション実施前の確認は「事前チェック」であり、机上チェックとして時間、人数を記録する必要はありません。ただし、事前チェックもプロジェクトの判断で時間を計測し分析可能です。
【例】</t>
    </r>
    <r>
      <rPr>
        <sz val="10"/>
        <rFont val="Arial"/>
        <family val="2"/>
      </rPr>
      <t xml:space="preserve"> 2019/4/15</t>
    </r>
    <phoneticPr fontId="6"/>
  </si>
  <si>
    <r>
      <rPr>
        <sz val="10"/>
        <rFont val="メイリオ"/>
        <family val="3"/>
        <charset val="128"/>
      </rPr>
      <t>机上チェックを実施した人数を記載する。
なお、インスペクション実施前の確認は「事前チェック」であり、机上チェックとして時間、人数を記録する必要はありません。ただし、事前チェックもプロジェクトの判断で時間を計測し分析可能です。</t>
    </r>
    <phoneticPr fontId="6"/>
  </si>
  <si>
    <r>
      <rPr>
        <sz val="10"/>
        <rFont val="メイリオ"/>
        <family val="3"/>
        <charset val="128"/>
      </rPr>
      <t>机上チェックを実施した人のチェック実施時間の合計時間（単位</t>
    </r>
    <r>
      <rPr>
        <sz val="10"/>
        <rFont val="Arial"/>
        <family val="2"/>
      </rPr>
      <t xml:space="preserve"> hr</t>
    </r>
    <r>
      <rPr>
        <sz val="10"/>
        <rFont val="メイリオ"/>
        <family val="3"/>
        <charset val="128"/>
      </rPr>
      <t>）を</t>
    </r>
    <r>
      <rPr>
        <sz val="10"/>
        <rFont val="Arial"/>
        <family val="2"/>
      </rPr>
      <t>10</t>
    </r>
    <r>
      <rPr>
        <sz val="10"/>
        <rFont val="メイリオ"/>
        <family val="3"/>
        <charset val="128"/>
      </rPr>
      <t>進数値で記載する。
なお、インスペクション実施前の確認は「事前チェック」であり、机上チェックとして時間、人数を記録する必要はありません。ただし、事前チェックもプロジェクトの判断で時間を計測し分析可能です。
【例】　</t>
    </r>
    <r>
      <rPr>
        <sz val="10"/>
        <rFont val="Arial"/>
        <family val="2"/>
      </rPr>
      <t>4</t>
    </r>
    <r>
      <rPr>
        <sz val="10"/>
        <rFont val="メイリオ"/>
        <family val="3"/>
        <charset val="128"/>
      </rPr>
      <t>人の合計時間が</t>
    </r>
    <r>
      <rPr>
        <sz val="10"/>
        <rFont val="Arial"/>
        <family val="2"/>
      </rPr>
      <t>2</t>
    </r>
    <r>
      <rPr>
        <sz val="10"/>
        <rFont val="メイリオ"/>
        <family val="3"/>
        <charset val="128"/>
      </rPr>
      <t>時間半の場合、</t>
    </r>
    <r>
      <rPr>
        <sz val="10"/>
        <rFont val="Arial"/>
        <family val="2"/>
      </rPr>
      <t>”2.5”</t>
    </r>
    <r>
      <rPr>
        <sz val="10"/>
        <rFont val="メイリオ"/>
        <family val="3"/>
        <charset val="128"/>
      </rPr>
      <t>と記載。</t>
    </r>
    <phoneticPr fontId="6"/>
  </si>
  <si>
    <r>
      <t>REL_SEPG_Development_Management.xlsm</t>
    </r>
    <r>
      <rPr>
        <sz val="10"/>
        <rFont val="メイリオ"/>
        <family val="3"/>
        <charset val="128"/>
      </rPr>
      <t>の「</t>
    </r>
    <r>
      <rPr>
        <sz val="10"/>
        <rFont val="Arial"/>
        <family val="2"/>
      </rPr>
      <t>Analysis Item Table</t>
    </r>
    <r>
      <rPr>
        <sz val="10"/>
        <rFont val="メイリオ"/>
        <family val="3"/>
        <charset val="128"/>
      </rPr>
      <t>」に記載した、レビュー指摘密度の計画値、およびレビュー速度の計画値を転記する。
（実績値欄は自動計算される。）</t>
    </r>
    <phoneticPr fontId="6"/>
  </si>
  <si>
    <r>
      <rPr>
        <sz val="10"/>
        <rFont val="メイリオ"/>
        <family val="3"/>
        <charset val="128"/>
      </rPr>
      <t>レビュー対象である成果物の名称、ファイル名、バージョン、レビュー量を記載し、単位を選択する。
成果物の一部がレビュー対象となる場合は、実際のレビュー対象物の範囲（量）をレビュー量に記載する</t>
    </r>
    <phoneticPr fontId="6"/>
  </si>
  <si>
    <r>
      <rPr>
        <sz val="10"/>
        <rFont val="メイリオ"/>
        <family val="3"/>
        <charset val="128"/>
      </rPr>
      <t>レビュー時間の実績値を記載する。
（予定欄および指摘件数の実績欄は自動計算される。）</t>
    </r>
    <phoneticPr fontId="6"/>
  </si>
  <si>
    <r>
      <rPr>
        <sz val="10"/>
        <rFont val="メイリオ"/>
        <family val="3"/>
        <charset val="128"/>
      </rPr>
      <t>指摘のあったレビュー対象物の</t>
    </r>
    <r>
      <rPr>
        <sz val="10"/>
        <rFont val="Arial"/>
        <family val="2"/>
      </rPr>
      <t>ID</t>
    </r>
    <r>
      <rPr>
        <sz val="10"/>
        <rFont val="メイリオ"/>
        <family val="3"/>
        <charset val="128"/>
      </rPr>
      <t>を記載する。</t>
    </r>
    <phoneticPr fontId="6"/>
  </si>
  <si>
    <r>
      <rPr>
        <sz val="10"/>
        <rFont val="メイリオ"/>
        <family val="3"/>
        <charset val="128"/>
      </rPr>
      <t>ページ番号、項番、行番号など、成果物内の指摘の位置情報を記載する。</t>
    </r>
    <phoneticPr fontId="6"/>
  </si>
  <si>
    <r>
      <rPr>
        <sz val="10"/>
        <rFont val="メイリオ"/>
        <family val="3"/>
        <charset val="128"/>
      </rPr>
      <t>指摘者名を記載する</t>
    </r>
    <phoneticPr fontId="6"/>
  </si>
  <si>
    <r>
      <rPr>
        <sz val="10"/>
        <rFont val="メイリオ"/>
        <family val="3"/>
        <charset val="128"/>
      </rPr>
      <t>下記説明を参考にして、「</t>
    </r>
    <r>
      <rPr>
        <sz val="10"/>
        <rFont val="Arial"/>
        <family val="2"/>
      </rPr>
      <t>Issue(</t>
    </r>
    <r>
      <rPr>
        <sz val="10"/>
        <rFont val="メイリオ"/>
        <family val="3"/>
        <charset val="128"/>
      </rPr>
      <t>指摘</t>
    </r>
    <r>
      <rPr>
        <sz val="10"/>
        <rFont val="Arial"/>
        <family val="2"/>
      </rPr>
      <t>)</t>
    </r>
    <r>
      <rPr>
        <sz val="10"/>
        <rFont val="メイリオ"/>
        <family val="3"/>
        <charset val="128"/>
      </rPr>
      <t>」または「</t>
    </r>
    <r>
      <rPr>
        <sz val="10"/>
        <rFont val="Arial"/>
        <family val="2"/>
      </rPr>
      <t>Q&amp;A(</t>
    </r>
    <r>
      <rPr>
        <sz val="10"/>
        <rFont val="メイリオ"/>
        <family val="3"/>
        <charset val="128"/>
      </rPr>
      <t>質疑応答</t>
    </r>
    <r>
      <rPr>
        <sz val="10"/>
        <rFont val="Arial"/>
        <family val="2"/>
      </rPr>
      <t>)</t>
    </r>
    <r>
      <rPr>
        <sz val="10"/>
        <rFont val="メイリオ"/>
        <family val="3"/>
        <charset val="128"/>
      </rPr>
      <t>」を選択する。
①</t>
    </r>
    <r>
      <rPr>
        <sz val="10"/>
        <rFont val="Arial"/>
        <family val="2"/>
      </rPr>
      <t xml:space="preserve"> Issue
</t>
    </r>
    <r>
      <rPr>
        <sz val="10"/>
        <rFont val="メイリオ"/>
        <family val="3"/>
        <charset val="128"/>
      </rPr>
      <t>摘出された工程内不具合、リスク、</t>
    </r>
    <r>
      <rPr>
        <sz val="10"/>
        <rFont val="Arial"/>
        <family val="2"/>
      </rPr>
      <t xml:space="preserve"> </t>
    </r>
    <r>
      <rPr>
        <sz val="10"/>
        <rFont val="メイリオ"/>
        <family val="3"/>
        <charset val="128"/>
      </rPr>
      <t>問題点、</t>
    </r>
    <r>
      <rPr>
        <sz val="10"/>
        <rFont val="Arial"/>
        <family val="2"/>
      </rPr>
      <t>AI</t>
    </r>
    <r>
      <rPr>
        <sz val="10"/>
        <rFont val="メイリオ"/>
        <family val="3"/>
        <charset val="128"/>
      </rPr>
      <t>。
②</t>
    </r>
    <r>
      <rPr>
        <sz val="10"/>
        <rFont val="Arial"/>
        <family val="2"/>
      </rPr>
      <t xml:space="preserve"> Q&amp;A
</t>
    </r>
    <r>
      <rPr>
        <sz val="10"/>
        <rFont val="メイリオ"/>
        <family val="3"/>
        <charset val="128"/>
      </rPr>
      <t>指摘にあたらない</t>
    </r>
    <r>
      <rPr>
        <sz val="10"/>
        <rFont val="Arial"/>
        <family val="2"/>
      </rPr>
      <t>Q&amp;A</t>
    </r>
    <r>
      <rPr>
        <sz val="10"/>
        <rFont val="メイリオ"/>
        <family val="3"/>
        <charset val="128"/>
      </rPr>
      <t>など。</t>
    </r>
    <phoneticPr fontId="6"/>
  </si>
  <si>
    <r>
      <t xml:space="preserve">Select "Issue" or "Question" from the list by referring to the explanation below.
</t>
    </r>
    <r>
      <rPr>
        <sz val="10"/>
        <rFont val="メイリオ"/>
        <family val="3"/>
        <charset val="128"/>
      </rPr>
      <t>①</t>
    </r>
    <r>
      <rPr>
        <sz val="10"/>
        <rFont val="Arial"/>
        <family val="2"/>
      </rPr>
      <t xml:space="preserve">Issue
Issue is the general term for defects, risks, problems, AI,  etc. detected in peer review.
</t>
    </r>
    <r>
      <rPr>
        <sz val="10"/>
        <rFont val="メイリオ"/>
        <family val="3"/>
        <charset val="128"/>
      </rPr>
      <t>②</t>
    </r>
    <r>
      <rPr>
        <sz val="10"/>
        <rFont val="Arial"/>
        <family val="2"/>
      </rPr>
      <t xml:space="preserve">Question and Answer
the Question and Answer, other than issues.
</t>
    </r>
    <phoneticPr fontId="6"/>
  </si>
  <si>
    <r>
      <rPr>
        <sz val="10"/>
        <rFont val="メイリオ"/>
        <family val="3"/>
        <charset val="128"/>
      </rPr>
      <t>指摘や質疑の内容を記載する。
【例】　リスク
新しく発行された業界規格に対応することを、顧客から求められる可能性がある。
【例】　問題点
テスト環境の構築が遅れているとの連絡が顧客からあり、テストの開始が計画より</t>
    </r>
    <r>
      <rPr>
        <sz val="10"/>
        <rFont val="Arial"/>
        <family val="2"/>
      </rPr>
      <t>3</t>
    </r>
    <r>
      <rPr>
        <sz val="10"/>
        <rFont val="メイリオ"/>
        <family val="3"/>
        <charset val="128"/>
      </rPr>
      <t>週間遅れることが決定。一方、最終ソフトウェアのリリース日程は当初計画のままとしたいとの顧客要求があった。</t>
    </r>
    <phoneticPr fontId="6"/>
  </si>
  <si>
    <r>
      <t>Describe the content of the issue/question.
[Example]</t>
    </r>
    <r>
      <rPr>
        <sz val="10"/>
        <color theme="1"/>
        <rFont val="メイリオ"/>
        <family val="3"/>
        <charset val="128"/>
      </rPr>
      <t>　</t>
    </r>
    <r>
      <rPr>
        <sz val="10"/>
        <color theme="1"/>
        <rFont val="Arial"/>
        <family val="2"/>
      </rPr>
      <t>Risk
There is a possibility that the customer require us to comply a new standard which was issued a few months ago.
[Example]</t>
    </r>
    <r>
      <rPr>
        <sz val="10"/>
        <color theme="1"/>
        <rFont val="メイリオ"/>
        <family val="3"/>
        <charset val="128"/>
      </rPr>
      <t>　</t>
    </r>
    <r>
      <rPr>
        <sz val="10"/>
        <color theme="1"/>
        <rFont val="Arial"/>
        <family val="2"/>
      </rPr>
      <t>Problem
According to information from the customer, their setup of test environment ware delayed 3 weeks for some reason, which means starting our test must be delayed 3 weeks. However they also req</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</si>
  <si>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」の場合は、リストから最適な項目を選択する。
①</t>
    </r>
    <r>
      <rPr>
        <sz val="10"/>
        <rFont val="Arial"/>
        <family val="2"/>
      </rPr>
      <t xml:space="preserve"> Defect(</t>
    </r>
    <r>
      <rPr>
        <sz val="10"/>
        <rFont val="メイリオ"/>
        <family val="3"/>
        <charset val="128"/>
      </rPr>
      <t>工程内不具合</t>
    </r>
    <r>
      <rPr>
        <sz val="10"/>
        <rFont val="Arial"/>
        <family val="2"/>
      </rPr>
      <t xml:space="preserve">)
</t>
    </r>
    <r>
      <rPr>
        <sz val="10"/>
        <rFont val="メイリオ"/>
        <family val="3"/>
        <charset val="128"/>
      </rPr>
      <t>②</t>
    </r>
    <r>
      <rPr>
        <sz val="10"/>
        <rFont val="Arial"/>
        <family val="2"/>
      </rPr>
      <t xml:space="preserve"> Risk(</t>
    </r>
    <r>
      <rPr>
        <sz val="10"/>
        <rFont val="メイリオ"/>
        <family val="3"/>
        <charset val="128"/>
      </rPr>
      <t>リスク</t>
    </r>
    <r>
      <rPr>
        <sz val="10"/>
        <rFont val="Arial"/>
        <family val="2"/>
      </rPr>
      <t xml:space="preserve">)
</t>
    </r>
    <r>
      <rPr>
        <sz val="10"/>
        <rFont val="メイリオ"/>
        <family val="3"/>
        <charset val="128"/>
      </rPr>
      <t>③</t>
    </r>
    <r>
      <rPr>
        <sz val="10"/>
        <rFont val="Arial"/>
        <family val="2"/>
      </rPr>
      <t xml:space="preserve"> Problem(</t>
    </r>
    <r>
      <rPr>
        <sz val="10"/>
        <rFont val="メイリオ"/>
        <family val="3"/>
        <charset val="128"/>
      </rPr>
      <t>問題</t>
    </r>
    <r>
      <rPr>
        <sz val="10"/>
        <rFont val="Arial"/>
        <family val="2"/>
      </rPr>
      <t xml:space="preserve">)
</t>
    </r>
    <r>
      <rPr>
        <sz val="10"/>
        <rFont val="メイリオ"/>
        <family val="3"/>
        <charset val="128"/>
      </rPr>
      <t>④</t>
    </r>
    <r>
      <rPr>
        <sz val="10"/>
        <rFont val="Arial"/>
        <family val="2"/>
      </rPr>
      <t xml:space="preserve"> AI</t>
    </r>
    <r>
      <rPr>
        <sz val="10"/>
        <rFont val="メイリオ"/>
        <family val="3"/>
        <charset val="128"/>
      </rPr>
      <t>（その他解決すべき事項）</t>
    </r>
    <phoneticPr fontId="6"/>
  </si>
  <si>
    <r>
      <t xml:space="preserve">In case "Content classification" is "Issue", select Defect/Risk/Problem/AI from the list.
</t>
    </r>
    <r>
      <rPr>
        <sz val="10"/>
        <color theme="1"/>
        <rFont val="メイリオ"/>
        <family val="3"/>
        <charset val="128"/>
      </rPr>
      <t>①</t>
    </r>
    <r>
      <rPr>
        <sz val="10"/>
        <color theme="1"/>
        <rFont val="Arial"/>
        <family val="2"/>
      </rPr>
      <t xml:space="preserve">Defect
</t>
    </r>
    <r>
      <rPr>
        <sz val="10"/>
        <color theme="1"/>
        <rFont val="メイリオ"/>
        <family val="3"/>
        <charset val="128"/>
      </rPr>
      <t>②</t>
    </r>
    <r>
      <rPr>
        <sz val="10"/>
        <color theme="1"/>
        <rFont val="Arial"/>
        <family val="2"/>
      </rPr>
      <t xml:space="preserve">Risk
</t>
    </r>
    <r>
      <rPr>
        <sz val="10"/>
        <color theme="1"/>
        <rFont val="メイリオ"/>
        <family val="3"/>
        <charset val="128"/>
      </rPr>
      <t>③</t>
    </r>
    <r>
      <rPr>
        <sz val="10"/>
        <color theme="1"/>
        <rFont val="Arial"/>
        <family val="2"/>
      </rPr>
      <t xml:space="preserve">Problem
</t>
    </r>
    <r>
      <rPr>
        <sz val="10"/>
        <color theme="1"/>
        <rFont val="メイリオ"/>
        <family val="3"/>
        <charset val="128"/>
      </rPr>
      <t>④</t>
    </r>
    <r>
      <rPr>
        <sz val="10"/>
        <color theme="1"/>
        <rFont val="Arial"/>
        <family val="2"/>
      </rPr>
      <t>AI</t>
    </r>
    <r>
      <rPr>
        <sz val="10"/>
        <color theme="1"/>
        <rFont val="メイリオ"/>
        <family val="3"/>
        <charset val="128"/>
      </rPr>
      <t>（</t>
    </r>
    <r>
      <rPr>
        <sz val="10"/>
        <color theme="1"/>
        <rFont val="Arial"/>
        <family val="2"/>
      </rPr>
      <t xml:space="preserve">Matters other than </t>
    </r>
    <r>
      <rPr>
        <sz val="10"/>
        <color theme="1"/>
        <rFont val="メイリオ"/>
        <family val="3"/>
        <charset val="128"/>
      </rPr>
      <t>①</t>
    </r>
    <r>
      <rPr>
        <sz val="10"/>
        <color theme="1"/>
        <rFont val="Arial"/>
        <family val="2"/>
      </rPr>
      <t xml:space="preserve"> ~ </t>
    </r>
    <r>
      <rPr>
        <sz val="10"/>
        <color theme="1"/>
        <rFont val="メイリオ"/>
        <family val="3"/>
        <charset val="128"/>
      </rPr>
      <t>③</t>
    </r>
    <r>
      <rPr>
        <sz val="10"/>
        <color theme="1"/>
        <rFont val="Arial"/>
        <family val="2"/>
      </rPr>
      <t xml:space="preserve"> such as Action Item.</t>
    </r>
    <r>
      <rPr>
        <sz val="10"/>
        <color theme="1"/>
        <rFont val="メイリオ"/>
        <family val="3"/>
        <charset val="128"/>
      </rPr>
      <t>）</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</si>
  <si>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」の場合は、各管理表などに管理を移管する対応者名を記載する。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を実施した場合は、その実施者名を記載する。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</si>
  <si>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」の場合は、各管理表などに管理を移管する期限を記載する。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を実施した場合は、その完了日を記載する。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</si>
  <si>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」の場合は移管先（管理表名や管理ツール名）を記載する。併せて、移管先とのトレースが可能となるように管理番号を記載する。または質疑の応答内容を記載する。
ただし、</t>
    </r>
    <r>
      <rPr>
        <sz val="10"/>
        <rFont val="Arial"/>
        <family val="2"/>
      </rPr>
      <t>"</t>
    </r>
    <r>
      <rPr>
        <sz val="10"/>
        <rFont val="メイリオ"/>
        <family val="3"/>
        <charset val="128"/>
      </rPr>
      <t>指摘分類</t>
    </r>
    <r>
      <rPr>
        <sz val="10"/>
        <rFont val="Arial"/>
        <family val="2"/>
      </rPr>
      <t>"</t>
    </r>
    <r>
      <rPr>
        <sz val="10"/>
        <rFont val="メイリオ"/>
        <family val="3"/>
        <charset val="128"/>
      </rPr>
      <t>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を実施した場合は、その対応内容を記載する。
【例】　工程内不具合
	・工程内不具合管理表：</t>
    </r>
    <r>
      <rPr>
        <sz val="10"/>
        <rFont val="Arial"/>
        <family val="2"/>
      </rPr>
      <t xml:space="preserve">ID-003
</t>
    </r>
    <r>
      <rPr>
        <sz val="10"/>
        <rFont val="メイリオ"/>
        <family val="3"/>
        <charset val="128"/>
      </rPr>
      <t>【例】　問題
	・</t>
    </r>
    <r>
      <rPr>
        <sz val="10"/>
        <rFont val="Arial"/>
        <family val="2"/>
      </rPr>
      <t>JIRA</t>
    </r>
    <r>
      <rPr>
        <sz val="10"/>
        <rFont val="メイリオ"/>
        <family val="3"/>
        <charset val="128"/>
      </rPr>
      <t>：</t>
    </r>
    <r>
      <rPr>
        <sz val="10"/>
        <rFont val="Arial"/>
        <family val="2"/>
      </rPr>
      <t xml:space="preserve">#15609
</t>
    </r>
    <r>
      <rPr>
        <sz val="10"/>
        <rFont val="メイリオ"/>
        <family val="3"/>
        <charset val="128"/>
      </rPr>
      <t>【例】　リスク
	・リスク・問題管理表：</t>
    </r>
    <r>
      <rPr>
        <sz val="10"/>
        <rFont val="Arial"/>
        <family val="2"/>
      </rPr>
      <t xml:space="preserve">ID-002
</t>
    </r>
    <r>
      <rPr>
        <sz val="10"/>
        <rFont val="メイリオ"/>
        <family val="3"/>
        <charset val="128"/>
      </rPr>
      <t>【例】　</t>
    </r>
    <r>
      <rPr>
        <sz val="10"/>
        <rFont val="Arial"/>
        <family val="2"/>
      </rPr>
      <t xml:space="preserve">AI
	</t>
    </r>
    <r>
      <rPr>
        <sz val="10"/>
        <rFont val="メイリオ"/>
        <family val="3"/>
        <charset val="128"/>
      </rPr>
      <t>・</t>
    </r>
    <r>
      <rPr>
        <sz val="10"/>
        <rFont val="Arial"/>
        <family val="2"/>
      </rPr>
      <t>Redmine</t>
    </r>
    <r>
      <rPr>
        <sz val="10"/>
        <rFont val="メイリオ"/>
        <family val="3"/>
        <charset val="128"/>
      </rPr>
      <t>：</t>
    </r>
    <r>
      <rPr>
        <sz val="10"/>
        <rFont val="Arial"/>
        <family val="2"/>
      </rPr>
      <t>#145080</t>
    </r>
    <phoneticPr fontId="6"/>
  </si>
  <si>
    <r>
      <t>If "Content classification" is "Issue", describe the transfer destination to manage it (name of management table or management tool). In addition, describe the management ID on the transfer destination for reliable tracing.
However if "Issue classification" is "AI" and the AI was done before this meeting minute is distributed, then describe the details of its execution.
[Example]</t>
    </r>
    <r>
      <rPr>
        <sz val="10"/>
        <color theme="1"/>
        <rFont val="メイリオ"/>
        <family val="3"/>
        <charset val="128"/>
      </rPr>
      <t>　</t>
    </r>
    <r>
      <rPr>
        <sz val="10"/>
        <color theme="1"/>
        <rFont val="Arial"/>
        <family val="2"/>
      </rPr>
      <t xml:space="preserve">Defect
</t>
    </r>
    <r>
      <rPr>
        <sz val="10"/>
        <color theme="1"/>
        <rFont val="メイリオ"/>
        <family val="3"/>
        <charset val="128"/>
      </rPr>
      <t>・</t>
    </r>
    <r>
      <rPr>
        <sz val="10"/>
        <color theme="1"/>
        <rFont val="Arial"/>
        <family val="2"/>
      </rPr>
      <t>Defect Management Table:ID-003
[Example]</t>
    </r>
    <r>
      <rPr>
        <sz val="10"/>
        <color theme="1"/>
        <rFont val="メイリオ"/>
        <family val="3"/>
        <charset val="128"/>
      </rPr>
      <t>　</t>
    </r>
    <r>
      <rPr>
        <sz val="10"/>
        <color theme="1"/>
        <rFont val="Arial"/>
        <family val="2"/>
      </rPr>
      <t xml:space="preserve">Problem
</t>
    </r>
    <r>
      <rPr>
        <sz val="10"/>
        <color theme="1"/>
        <rFont val="メイリオ"/>
        <family val="3"/>
        <charset val="128"/>
      </rPr>
      <t>・</t>
    </r>
    <r>
      <rPr>
        <sz val="10"/>
        <color theme="1"/>
        <rFont val="Arial"/>
        <family val="2"/>
      </rPr>
      <t>JIRA</t>
    </r>
    <r>
      <rPr>
        <sz val="10"/>
        <color theme="1"/>
        <rFont val="メイリオ"/>
        <family val="3"/>
        <charset val="128"/>
      </rPr>
      <t>：</t>
    </r>
    <r>
      <rPr>
        <sz val="10"/>
        <color theme="1"/>
        <rFont val="Arial"/>
        <family val="2"/>
      </rPr>
      <t>#15609
[Example]</t>
    </r>
    <r>
      <rPr>
        <sz val="10"/>
        <color theme="1"/>
        <rFont val="メイリオ"/>
        <family val="3"/>
        <charset val="128"/>
      </rPr>
      <t>　</t>
    </r>
    <r>
      <rPr>
        <sz val="10"/>
        <color theme="1"/>
        <rFont val="Arial"/>
        <family val="2"/>
      </rPr>
      <t xml:space="preserve">Risk
</t>
    </r>
    <r>
      <rPr>
        <sz val="10"/>
        <color theme="1"/>
        <rFont val="メイリオ"/>
        <family val="3"/>
        <charset val="128"/>
      </rPr>
      <t>・</t>
    </r>
    <r>
      <rPr>
        <sz val="10"/>
        <color theme="1"/>
        <rFont val="Arial"/>
        <family val="2"/>
      </rPr>
      <t>Risk and Problem Management Table:ID-002
[Example]</t>
    </r>
    <r>
      <rPr>
        <sz val="10"/>
        <color theme="1"/>
        <rFont val="メイリオ"/>
        <family val="3"/>
        <charset val="128"/>
      </rPr>
      <t>　</t>
    </r>
    <r>
      <rPr>
        <sz val="10"/>
        <color theme="1"/>
        <rFont val="Arial"/>
        <family val="2"/>
      </rPr>
      <t xml:space="preserve">AI
</t>
    </r>
    <r>
      <rPr>
        <sz val="10"/>
        <color theme="1"/>
        <rFont val="メイリオ"/>
        <family val="3"/>
        <charset val="128"/>
      </rPr>
      <t>・</t>
    </r>
    <r>
      <rPr>
        <sz val="10"/>
        <color theme="1"/>
        <rFont val="Arial"/>
        <family val="2"/>
      </rPr>
      <t>Redmine</t>
    </r>
    <r>
      <rPr>
        <sz val="10"/>
        <color theme="1"/>
        <rFont val="メイリオ"/>
        <family val="3"/>
        <charset val="128"/>
      </rPr>
      <t>：</t>
    </r>
    <r>
      <rPr>
        <sz val="10"/>
        <color theme="1"/>
        <rFont val="Arial"/>
        <family val="2"/>
      </rPr>
      <t>#145080</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</si>
  <si>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」の場合は、対応者が各管理表などへの移管を実施したことを確認する開発側の確認者名（プロジェクトメンバー）を記載する。
ただし、指摘分類が</t>
    </r>
    <r>
      <rPr>
        <sz val="10"/>
        <rFont val="Arial"/>
        <family val="2"/>
      </rPr>
      <t xml:space="preserve"> </t>
    </r>
    <r>
      <rPr>
        <sz val="10"/>
        <rFont val="メイリオ"/>
        <family val="3"/>
        <charset val="128"/>
      </rPr>
      <t>「</t>
    </r>
    <r>
      <rPr>
        <sz val="10"/>
        <rFont val="Arial"/>
        <family val="2"/>
      </rPr>
      <t>AI</t>
    </r>
    <r>
      <rPr>
        <sz val="10"/>
        <rFont val="メイリオ"/>
        <family val="3"/>
        <charset val="128"/>
      </rPr>
      <t>」</t>
    </r>
    <r>
      <rPr>
        <sz val="10"/>
        <rFont val="Arial"/>
        <family val="2"/>
      </rPr>
      <t xml:space="preserve"> </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への対応内容を確認した確認者名を記載する。</t>
    </r>
    <phoneticPr fontId="6"/>
  </si>
  <si>
    <r>
      <t>"</t>
    </r>
    <r>
      <rPr>
        <sz val="10"/>
        <rFont val="メイリオ"/>
        <family val="3"/>
        <charset val="128"/>
      </rPr>
      <t>内容分類</t>
    </r>
    <r>
      <rPr>
        <sz val="10"/>
        <rFont val="Arial"/>
        <family val="2"/>
      </rPr>
      <t>"</t>
    </r>
    <r>
      <rPr>
        <sz val="10"/>
        <rFont val="メイリオ"/>
        <family val="3"/>
        <charset val="128"/>
      </rPr>
      <t>が「</t>
    </r>
    <r>
      <rPr>
        <sz val="10"/>
        <rFont val="Arial"/>
        <family val="2"/>
      </rPr>
      <t>Issue(</t>
    </r>
    <r>
      <rPr>
        <sz val="10"/>
        <rFont val="メイリオ"/>
        <family val="3"/>
        <charset val="128"/>
      </rPr>
      <t>指摘</t>
    </r>
    <r>
      <rPr>
        <sz val="10"/>
        <rFont val="Arial"/>
        <family val="2"/>
      </rPr>
      <t>)</t>
    </r>
    <r>
      <rPr>
        <sz val="10"/>
        <rFont val="メイリオ"/>
        <family val="3"/>
        <charset val="128"/>
      </rPr>
      <t>」の場合は、各管理表などへ移管されていることを対応確認者が確認した日を記載する。
ただし、指摘分類が「</t>
    </r>
    <r>
      <rPr>
        <sz val="10"/>
        <rFont val="Arial"/>
        <family val="2"/>
      </rPr>
      <t>AI</t>
    </r>
    <r>
      <rPr>
        <sz val="10"/>
        <rFont val="メイリオ"/>
        <family val="3"/>
        <charset val="128"/>
      </rPr>
      <t>」で、この議事録を発行するまでに</t>
    </r>
    <r>
      <rPr>
        <sz val="10"/>
        <rFont val="Arial"/>
        <family val="2"/>
      </rPr>
      <t>AI</t>
    </r>
    <r>
      <rPr>
        <sz val="10"/>
        <rFont val="メイリオ"/>
        <family val="3"/>
        <charset val="128"/>
      </rPr>
      <t>を実施した場合は、</t>
    </r>
    <r>
      <rPr>
        <sz val="10"/>
        <rFont val="Arial"/>
        <family val="2"/>
      </rPr>
      <t>AI</t>
    </r>
    <r>
      <rPr>
        <sz val="10"/>
        <rFont val="メイリオ"/>
        <family val="3"/>
        <charset val="128"/>
      </rPr>
      <t>への対応結果を確認者が確認した日付を記載する。</t>
    </r>
    <phoneticPr fontId="6"/>
  </si>
  <si>
    <r>
      <rPr>
        <sz val="10"/>
        <rFont val="メイリオ"/>
        <family val="3"/>
        <charset val="128"/>
      </rPr>
      <t>再レビューの要否を判定した結果を記載する。</t>
    </r>
    <phoneticPr fontId="6"/>
  </si>
  <si>
    <r>
      <rPr>
        <sz val="10"/>
        <rFont val="メイリオ"/>
        <family val="3"/>
        <charset val="128"/>
      </rPr>
      <t>測定と分析に関わることなど、指摘や質疑応答以外の内容を記載する。</t>
    </r>
    <phoneticPr fontId="6"/>
  </si>
  <si>
    <r>
      <rPr>
        <sz val="10"/>
        <rFont val="メイリオ"/>
        <family val="3"/>
        <charset val="128"/>
      </rPr>
      <t>一部の確認項目が非該当となり問題ない場合、</t>
    </r>
    <r>
      <rPr>
        <sz val="10"/>
        <rFont val="Arial"/>
        <family val="2"/>
      </rPr>
      <t>OK</t>
    </r>
    <r>
      <rPr>
        <sz val="10"/>
        <rFont val="メイリオ"/>
        <family val="3"/>
        <charset val="128"/>
      </rPr>
      <t>を選択し、非該当項目と問題ないと判断した理由を補足説明欄に記入する。</t>
    </r>
    <phoneticPr fontId="6"/>
  </si>
  <si>
    <r>
      <rPr>
        <sz val="10"/>
        <rFont val="メイリオ"/>
        <family val="3"/>
        <charset val="128"/>
      </rPr>
      <t xml:space="preserve">確認結果を選択します。
</t>
    </r>
    <r>
      <rPr>
        <sz val="10"/>
        <rFont val="Arial"/>
        <family val="2"/>
      </rPr>
      <t xml:space="preserve">  OK --- </t>
    </r>
    <r>
      <rPr>
        <sz val="10"/>
        <rFont val="メイリオ"/>
        <family val="3"/>
        <charset val="128"/>
      </rPr>
      <t xml:space="preserve">評価結果とその根拠が存在する。
</t>
    </r>
    <r>
      <rPr>
        <sz val="10"/>
        <rFont val="Arial"/>
        <family val="2"/>
      </rPr>
      <t xml:space="preserve">  NG --- </t>
    </r>
    <r>
      <rPr>
        <sz val="10"/>
        <rFont val="メイリオ"/>
        <family val="3"/>
        <charset val="128"/>
      </rPr>
      <t xml:space="preserve">評価結果やその根拠が存在しない。
</t>
    </r>
    <r>
      <rPr>
        <sz val="10"/>
        <rFont val="Arial"/>
        <family val="2"/>
      </rPr>
      <t xml:space="preserve">  N/A --- </t>
    </r>
    <r>
      <rPr>
        <sz val="10"/>
        <rFont val="メイリオ"/>
        <family val="3"/>
        <charset val="128"/>
      </rPr>
      <t>設計手法を選択する必要がなく、非該当。</t>
    </r>
    <rPh sb="0" eb="2">
      <t>カクニン</t>
    </rPh>
    <rPh sb="2" eb="4">
      <t>ケッカ</t>
    </rPh>
    <rPh sb="5" eb="7">
      <t>センタク</t>
    </rPh>
    <rPh sb="21" eb="23">
      <t>ヒョウカ</t>
    </rPh>
    <rPh sb="23" eb="25">
      <t>ケッカ</t>
    </rPh>
    <rPh sb="28" eb="30">
      <t>コンキョ</t>
    </rPh>
    <rPh sb="31" eb="33">
      <t>ソンザイ</t>
    </rPh>
    <rPh sb="46" eb="48">
      <t>ヒョウカ</t>
    </rPh>
    <rPh sb="48" eb="50">
      <t>ケッカ</t>
    </rPh>
    <rPh sb="53" eb="55">
      <t>コンキョ</t>
    </rPh>
    <rPh sb="56" eb="58">
      <t>ソンザイ</t>
    </rPh>
    <rPh sb="88" eb="91">
      <t>ヒガイトウ</t>
    </rPh>
    <phoneticPr fontId="6"/>
  </si>
  <si>
    <r>
      <rPr>
        <sz val="10"/>
        <color theme="1"/>
        <rFont val="メイリオ"/>
        <family val="3"/>
        <charset val="128"/>
      </rPr>
      <t>通知先が未記入の場合があります</t>
    </r>
    <rPh sb="0" eb="2">
      <t>ツウチ</t>
    </rPh>
    <rPh sb="2" eb="3">
      <t>サキ</t>
    </rPh>
    <rPh sb="4" eb="7">
      <t>ミキニュウ</t>
    </rPh>
    <rPh sb="8" eb="10">
      <t>バアイ</t>
    </rPh>
    <phoneticPr fontId="4"/>
  </si>
  <si>
    <r>
      <rPr>
        <sz val="10"/>
        <color theme="1"/>
        <rFont val="メイリオ"/>
        <family val="3"/>
        <charset val="128"/>
      </rPr>
      <t>標準開発手順管理表に記載の各ピアレビューの利害関係者、参加者を参考に通知先を決定し、記入したください</t>
    </r>
    <rPh sb="0" eb="2">
      <t>ヒョウジュン</t>
    </rPh>
    <rPh sb="2" eb="4">
      <t>カイハツ</t>
    </rPh>
    <rPh sb="4" eb="6">
      <t>テジュン</t>
    </rPh>
    <rPh sb="6" eb="8">
      <t>カンリ</t>
    </rPh>
    <rPh sb="8" eb="9">
      <t>ヒョウ</t>
    </rPh>
    <rPh sb="10" eb="12">
      <t>キサイ</t>
    </rPh>
    <rPh sb="13" eb="14">
      <t>カク</t>
    </rPh>
    <rPh sb="21" eb="23">
      <t>リガイ</t>
    </rPh>
    <rPh sb="23" eb="25">
      <t>カンケイ</t>
    </rPh>
    <rPh sb="25" eb="26">
      <t>シャ</t>
    </rPh>
    <rPh sb="27" eb="30">
      <t>サンカシャ</t>
    </rPh>
    <rPh sb="31" eb="33">
      <t>サンコウ</t>
    </rPh>
    <rPh sb="34" eb="36">
      <t>ツウチ</t>
    </rPh>
    <rPh sb="36" eb="37">
      <t>サキ</t>
    </rPh>
    <rPh sb="38" eb="40">
      <t>ケッテイ</t>
    </rPh>
    <rPh sb="42" eb="44">
      <t>キニュウ</t>
    </rPh>
    <phoneticPr fontId="4"/>
  </si>
  <si>
    <r>
      <rPr>
        <sz val="10"/>
        <color theme="1"/>
        <rFont val="メイリオ"/>
        <family val="3"/>
        <charset val="128"/>
      </rPr>
      <t>通知先記載の担当者の所属部門名、役職が最新でない場合があります</t>
    </r>
    <rPh sb="0" eb="2">
      <t>ツウチ</t>
    </rPh>
    <rPh sb="2" eb="3">
      <t>サキ</t>
    </rPh>
    <rPh sb="3" eb="5">
      <t>キサイ</t>
    </rPh>
    <rPh sb="6" eb="9">
      <t>タントウシャ</t>
    </rPh>
    <rPh sb="10" eb="12">
      <t>ショゾク</t>
    </rPh>
    <rPh sb="12" eb="14">
      <t>ブモン</t>
    </rPh>
    <rPh sb="14" eb="15">
      <t>メイ</t>
    </rPh>
    <rPh sb="16" eb="18">
      <t>ヤクショク</t>
    </rPh>
    <rPh sb="19" eb="21">
      <t>サイシン</t>
    </rPh>
    <rPh sb="24" eb="26">
      <t>バアイ</t>
    </rPh>
    <phoneticPr fontId="4"/>
  </si>
  <si>
    <r>
      <rPr>
        <sz val="10"/>
        <color theme="1"/>
        <rFont val="メイリオ"/>
        <family val="3"/>
        <charset val="128"/>
      </rPr>
      <t>電子電話帳で最新情報を確認してください</t>
    </r>
    <rPh sb="0" eb="2">
      <t>デンシ</t>
    </rPh>
    <rPh sb="2" eb="4">
      <t>デンワ</t>
    </rPh>
    <rPh sb="4" eb="5">
      <t>チョウ</t>
    </rPh>
    <rPh sb="6" eb="8">
      <t>サイシン</t>
    </rPh>
    <rPh sb="8" eb="10">
      <t>ジョウホウ</t>
    </rPh>
    <rPh sb="11" eb="13">
      <t>カクニン</t>
    </rPh>
    <phoneticPr fontId="4"/>
  </si>
  <si>
    <r>
      <rPr>
        <sz val="10"/>
        <color theme="1"/>
        <rFont val="メイリオ"/>
        <family val="3"/>
        <charset val="128"/>
      </rPr>
      <t>プロジェクト名がプロジェクト計画書に記載のものと異なる場合があります　</t>
    </r>
    <r>
      <rPr>
        <sz val="10"/>
        <color theme="1"/>
        <rFont val="Arial"/>
        <family val="2"/>
      </rPr>
      <t>("/"</t>
    </r>
    <r>
      <rPr>
        <sz val="10"/>
        <color theme="1"/>
        <rFont val="メイリオ"/>
        <family val="3"/>
        <charset val="128"/>
      </rPr>
      <t>が抜けている、全角半角など</t>
    </r>
    <r>
      <rPr>
        <sz val="10"/>
        <color theme="1"/>
        <rFont val="Arial"/>
        <family val="2"/>
      </rPr>
      <t>)</t>
    </r>
    <rPh sb="6" eb="7">
      <t>メイ</t>
    </rPh>
    <rPh sb="14" eb="17">
      <t>ケイカクショ</t>
    </rPh>
    <rPh sb="18" eb="20">
      <t>キサイ</t>
    </rPh>
    <rPh sb="24" eb="25">
      <t>コト</t>
    </rPh>
    <rPh sb="27" eb="29">
      <t>バアイ</t>
    </rPh>
    <rPh sb="40" eb="41">
      <t>ヌ</t>
    </rPh>
    <rPh sb="46" eb="48">
      <t>ゼンカク</t>
    </rPh>
    <rPh sb="48" eb="50">
      <t>ハンカク</t>
    </rPh>
    <phoneticPr fontId="4"/>
  </si>
  <si>
    <r>
      <rPr>
        <sz val="10"/>
        <color theme="1"/>
        <rFont val="メイリオ"/>
        <family val="3"/>
        <charset val="128"/>
      </rPr>
      <t>プロジェクト計画書に記載のプロジェクト名をコピーペーストするようにしてください</t>
    </r>
    <phoneticPr fontId="4"/>
  </si>
  <si>
    <r>
      <rPr>
        <sz val="10"/>
        <color theme="1"/>
        <rFont val="メイリオ"/>
        <family val="3"/>
        <charset val="128"/>
      </rPr>
      <t>チェックリストの使用は必須です</t>
    </r>
    <phoneticPr fontId="4"/>
  </si>
  <si>
    <r>
      <rPr>
        <sz val="10"/>
        <color theme="1"/>
        <rFont val="メイリオ"/>
        <family val="3"/>
        <charset val="128"/>
      </rPr>
      <t>「本様式のチェックリスト」または「部門のチェックリスト」の何れを使用するのかの種別を選択し、右側のセルにチェックリスト名に記入してください</t>
    </r>
    <rPh sb="17" eb="19">
      <t>ブモン</t>
    </rPh>
    <rPh sb="29" eb="30">
      <t>イズ</t>
    </rPh>
    <rPh sb="32" eb="34">
      <t>シヨウ</t>
    </rPh>
    <rPh sb="39" eb="41">
      <t>シュベツ</t>
    </rPh>
    <rPh sb="42" eb="44">
      <t>センタク</t>
    </rPh>
    <rPh sb="46" eb="48">
      <t>ミギガワ</t>
    </rPh>
    <rPh sb="59" eb="60">
      <t>メイ</t>
    </rPh>
    <rPh sb="61" eb="63">
      <t>キニュウ</t>
    </rPh>
    <phoneticPr fontId="4"/>
  </si>
  <si>
    <r>
      <rPr>
        <sz val="10"/>
        <color theme="1"/>
        <rFont val="メイリオ"/>
        <family val="3"/>
        <charset val="128"/>
      </rPr>
      <t>標準開発手順管理表に記載のドキュメントがレビュー対象になっていない場合があります</t>
    </r>
    <rPh sb="24" eb="26">
      <t>タイショウ</t>
    </rPh>
    <rPh sb="33" eb="35">
      <t>バアイ</t>
    </rPh>
    <phoneticPr fontId="4"/>
  </si>
  <si>
    <r>
      <rPr>
        <sz val="10"/>
        <color theme="1"/>
        <rFont val="メイリオ"/>
        <family val="3"/>
        <charset val="128"/>
      </rPr>
      <t>標準開発手順管理表の当該工程に記載のドキュメントがレビュー対象になっているか確認してください</t>
    </r>
    <rPh sb="10" eb="12">
      <t>トウガイ</t>
    </rPh>
    <rPh sb="12" eb="14">
      <t>コウテイ</t>
    </rPh>
    <rPh sb="15" eb="17">
      <t>キサイ</t>
    </rPh>
    <rPh sb="29" eb="31">
      <t>タイショウ</t>
    </rPh>
    <rPh sb="38" eb="40">
      <t>カクニン</t>
    </rPh>
    <phoneticPr fontId="4"/>
  </si>
  <si>
    <r>
      <rPr>
        <sz val="10"/>
        <color theme="1"/>
        <rFont val="メイリオ"/>
        <family val="3"/>
        <charset val="128"/>
      </rPr>
      <t>バージョン管理が必要なドキュメントに対して、バージョンの記入漏れがあります</t>
    </r>
    <rPh sb="30" eb="31">
      <t>モ</t>
    </rPh>
    <phoneticPr fontId="4"/>
  </si>
  <si>
    <r>
      <rPr>
        <sz val="10"/>
        <color theme="1"/>
        <rFont val="メイリオ"/>
        <family val="3"/>
        <charset val="128"/>
      </rPr>
      <t>対象ドキュメントのバージョンを確認し、バージョン番号を記入してください</t>
    </r>
    <rPh sb="0" eb="2">
      <t>タイショウ</t>
    </rPh>
    <rPh sb="15" eb="17">
      <t>カクニン</t>
    </rPh>
    <rPh sb="24" eb="26">
      <t>バンゴウ</t>
    </rPh>
    <rPh sb="27" eb="29">
      <t>キニュウ</t>
    </rPh>
    <phoneticPr fontId="4"/>
  </si>
  <si>
    <r>
      <rPr>
        <sz val="10"/>
        <color theme="1"/>
        <rFont val="メイリオ"/>
        <family val="3"/>
        <charset val="128"/>
      </rPr>
      <t>対象規模および単位が未記入の場合があります</t>
    </r>
    <rPh sb="0" eb="2">
      <t>タイショウ</t>
    </rPh>
    <rPh sb="2" eb="4">
      <t>キボ</t>
    </rPh>
    <rPh sb="7" eb="9">
      <t>タンイ</t>
    </rPh>
    <rPh sb="10" eb="13">
      <t>ミキニュウ</t>
    </rPh>
    <rPh sb="14" eb="16">
      <t>バアイ</t>
    </rPh>
    <phoneticPr fontId="4"/>
  </si>
  <si>
    <r>
      <rPr>
        <sz val="10"/>
        <color theme="1"/>
        <rFont val="メイリオ"/>
        <family val="3"/>
        <charset val="128"/>
      </rPr>
      <t>対象規模、単位を記入してください
また、レビュー対象物の一部をレビューする場合は、対象規模は、実際にレビュー対象とした規模を記入してください</t>
    </r>
    <rPh sb="0" eb="2">
      <t>タイショウ</t>
    </rPh>
    <rPh sb="2" eb="4">
      <t>キボ</t>
    </rPh>
    <rPh sb="5" eb="7">
      <t>タンイ</t>
    </rPh>
    <rPh sb="8" eb="10">
      <t>キニュウ</t>
    </rPh>
    <rPh sb="24" eb="26">
      <t>タイショウ</t>
    </rPh>
    <rPh sb="26" eb="27">
      <t>ブツ</t>
    </rPh>
    <rPh sb="28" eb="30">
      <t>イチブ</t>
    </rPh>
    <rPh sb="37" eb="39">
      <t>バアイ</t>
    </rPh>
    <rPh sb="41" eb="43">
      <t>タイショウ</t>
    </rPh>
    <rPh sb="43" eb="45">
      <t>キボ</t>
    </rPh>
    <rPh sb="47" eb="49">
      <t>ジッサイ</t>
    </rPh>
    <rPh sb="54" eb="56">
      <t>タイショウ</t>
    </rPh>
    <rPh sb="59" eb="61">
      <t>キボ</t>
    </rPh>
    <rPh sb="62" eb="64">
      <t>キニュウ</t>
    </rPh>
    <phoneticPr fontId="4"/>
  </si>
  <si>
    <r>
      <t>”</t>
    </r>
    <r>
      <rPr>
        <sz val="10"/>
        <color theme="1"/>
        <rFont val="メイリオ"/>
        <family val="3"/>
        <charset val="128"/>
      </rPr>
      <t>再レビュー実施判定</t>
    </r>
    <r>
      <rPr>
        <sz val="10"/>
        <color theme="1"/>
        <rFont val="Arial"/>
        <family val="2"/>
      </rPr>
      <t>”</t>
    </r>
    <r>
      <rPr>
        <sz val="10"/>
        <color theme="1"/>
        <rFont val="メイリオ"/>
        <family val="3"/>
        <charset val="128"/>
      </rPr>
      <t>が未記入の場合があります</t>
    </r>
    <rPh sb="1" eb="2">
      <t>サイ</t>
    </rPh>
    <rPh sb="6" eb="8">
      <t>ジッシ</t>
    </rPh>
    <rPh sb="8" eb="10">
      <t>ハンテイ</t>
    </rPh>
    <rPh sb="12" eb="15">
      <t>ミキニュウ</t>
    </rPh>
    <rPh sb="16" eb="18">
      <t>バアイ</t>
    </rPh>
    <phoneticPr fontId="4"/>
  </si>
  <si>
    <r>
      <rPr>
        <sz val="10"/>
        <color theme="1"/>
        <rFont val="メイリオ"/>
        <family val="3"/>
        <charset val="128"/>
      </rPr>
      <t>再レビューの要否を判定した結果を忘れずに記入してください</t>
    </r>
    <rPh sb="0" eb="1">
      <t>サイ</t>
    </rPh>
    <rPh sb="6" eb="8">
      <t>ヨウヒ</t>
    </rPh>
    <rPh sb="9" eb="11">
      <t>ハンテイ</t>
    </rPh>
    <rPh sb="13" eb="15">
      <t>ケッカ</t>
    </rPh>
    <rPh sb="16" eb="17">
      <t>ワス</t>
    </rPh>
    <rPh sb="20" eb="22">
      <t>キニュウ</t>
    </rPh>
    <phoneticPr fontId="4"/>
  </si>
  <si>
    <r>
      <rPr>
        <sz val="10"/>
        <color theme="1"/>
        <rFont val="メイリオ"/>
        <family val="3"/>
        <charset val="128"/>
      </rPr>
      <t>未記入の場合があります。</t>
    </r>
    <phoneticPr fontId="4"/>
  </si>
  <si>
    <r>
      <rPr>
        <sz val="10"/>
        <color theme="1"/>
        <rFont val="メイリオ"/>
        <family val="3"/>
        <charset val="128"/>
      </rPr>
      <t>進捗確認会議で分析項目を分析した場合は、本様式の備考欄または測定と分析項目表に分析結果を記入してください</t>
    </r>
    <rPh sb="4" eb="6">
      <t>カイギ</t>
    </rPh>
    <rPh sb="7" eb="9">
      <t>ブンセキ</t>
    </rPh>
    <rPh sb="9" eb="11">
      <t>コウモク</t>
    </rPh>
    <rPh sb="12" eb="14">
      <t>ブンセキ</t>
    </rPh>
    <rPh sb="16" eb="18">
      <t>バアイ</t>
    </rPh>
    <rPh sb="20" eb="21">
      <t>ホン</t>
    </rPh>
    <rPh sb="21" eb="23">
      <t>ヨウシキ</t>
    </rPh>
    <rPh sb="24" eb="26">
      <t>ビコウ</t>
    </rPh>
    <rPh sb="26" eb="27">
      <t>ラン</t>
    </rPh>
    <rPh sb="30" eb="32">
      <t>ソクテイ</t>
    </rPh>
    <rPh sb="33" eb="35">
      <t>ブンセキ</t>
    </rPh>
    <rPh sb="35" eb="37">
      <t>コウモク</t>
    </rPh>
    <rPh sb="37" eb="38">
      <t>ヒョウ</t>
    </rPh>
    <rPh sb="39" eb="41">
      <t>ブンセキ</t>
    </rPh>
    <rPh sb="41" eb="43">
      <t>ケッカ</t>
    </rPh>
    <rPh sb="44" eb="46">
      <t>キニュウ</t>
    </rPh>
    <phoneticPr fontId="4"/>
  </si>
  <si>
    <r>
      <t xml:space="preserve">RCT-JB5001 9.7.4. </t>
    </r>
    <r>
      <rPr>
        <u/>
        <sz val="10"/>
        <color theme="10"/>
        <rFont val="メイリオ"/>
        <family val="3"/>
        <charset val="128"/>
      </rPr>
      <t>分析と対策[P.17]</t>
    </r>
    <phoneticPr fontId="4"/>
  </si>
  <si>
    <r>
      <rPr>
        <sz val="10"/>
        <rFont val="メイリオ"/>
        <family val="3"/>
        <charset val="128"/>
      </rPr>
      <t>ソースコードの記述単位について</t>
    </r>
    <rPh sb="7" eb="9">
      <t>キジュツ</t>
    </rPh>
    <rPh sb="9" eb="11">
      <t>タンイ</t>
    </rPh>
    <phoneticPr fontId="6"/>
  </si>
  <si>
    <r>
      <rPr>
        <sz val="10"/>
        <rFont val="メイリオ"/>
        <family val="3"/>
        <charset val="128"/>
      </rPr>
      <t>ソースコードの場合は、ファイル単位ではなく、</t>
    </r>
    <r>
      <rPr>
        <sz val="10"/>
        <rFont val="Arial"/>
        <family val="2"/>
      </rPr>
      <t>SW</t>
    </r>
    <r>
      <rPr>
        <sz val="10"/>
        <rFont val="メイリオ"/>
        <family val="3"/>
        <charset val="128"/>
      </rPr>
      <t>処理構造の単位で分割するなどレビュー指標を用いて分析する単位にまとめて良い。
（特に分割して分析不要であるならばソースコード全てをまとめても良い）</t>
    </r>
    <phoneticPr fontId="6"/>
  </si>
  <si>
    <r>
      <rPr>
        <sz val="10"/>
        <rFont val="メイリオ"/>
        <family val="3"/>
        <charset val="128"/>
      </rPr>
      <t>パスアラウンドのレビュー時間について</t>
    </r>
    <rPh sb="12" eb="14">
      <t>ジカン</t>
    </rPh>
    <phoneticPr fontId="6"/>
  </si>
  <si>
    <r>
      <rPr>
        <sz val="10"/>
        <rFont val="メイリオ"/>
        <family val="3"/>
        <charset val="128"/>
      </rPr>
      <t>パスアラウンドの場合は、その対象物に対するレビューア</t>
    </r>
    <r>
      <rPr>
        <sz val="10"/>
        <rFont val="Arial"/>
        <family val="2"/>
      </rPr>
      <t>1</t>
    </r>
    <r>
      <rPr>
        <sz val="10"/>
        <rFont val="メイリオ"/>
        <family val="3"/>
        <charset val="128"/>
      </rPr>
      <t>名あたりの平均時間を記載する。
【例】　パスアラウンド方式で、</t>
    </r>
    <r>
      <rPr>
        <sz val="10"/>
        <rFont val="Arial"/>
        <family val="2"/>
      </rPr>
      <t>4</t>
    </r>
    <r>
      <rPr>
        <sz val="10"/>
        <rFont val="メイリオ"/>
        <family val="3"/>
        <charset val="128"/>
      </rPr>
      <t>名の合計時間が</t>
    </r>
    <r>
      <rPr>
        <sz val="10"/>
        <rFont val="Arial"/>
        <family val="2"/>
      </rPr>
      <t>8.0</t>
    </r>
    <r>
      <rPr>
        <sz val="10"/>
        <rFont val="メイリオ"/>
        <family val="3"/>
        <charset val="128"/>
      </rPr>
      <t>時間の場合は、</t>
    </r>
    <r>
      <rPr>
        <sz val="10"/>
        <rFont val="Arial"/>
        <family val="2"/>
      </rPr>
      <t>2.00</t>
    </r>
    <r>
      <rPr>
        <sz val="10"/>
        <rFont val="メイリオ"/>
        <family val="3"/>
        <charset val="128"/>
      </rPr>
      <t>と記載。</t>
    </r>
    <phoneticPr fontId="6"/>
  </si>
  <si>
    <r>
      <t>In case of pass-around, describe average of review time for the Peer Review Target.
[Example]</t>
    </r>
    <r>
      <rPr>
        <sz val="10"/>
        <rFont val="メイリオ"/>
        <family val="3"/>
        <charset val="128"/>
      </rPr>
      <t>　</t>
    </r>
    <r>
      <rPr>
        <sz val="10"/>
        <rFont val="Arial"/>
        <family val="2"/>
      </rPr>
      <t>If total duration of review for the Peer Review Target was 8.0hr by 4 persons using pass-around, then it should be described "2.0hr".</t>
    </r>
    <phoneticPr fontId="6"/>
  </si>
  <si>
    <r>
      <t xml:space="preserve">RCT-JB5001 7.2.1.(2) </t>
    </r>
    <r>
      <rPr>
        <u/>
        <sz val="10"/>
        <color theme="10"/>
        <rFont val="メイリオ"/>
        <family val="3"/>
        <charset val="128"/>
      </rPr>
      <t>開発着手審議[P.4]</t>
    </r>
    <rPh sb="21" eb="23">
      <t>カイハツ</t>
    </rPh>
    <rPh sb="23" eb="25">
      <t>チャクシュ</t>
    </rPh>
    <rPh sb="25" eb="27">
      <t>シンギ</t>
    </rPh>
    <phoneticPr fontId="4"/>
  </si>
  <si>
    <r>
      <t xml:space="preserve">RCT-JB5001 7.2.1.(2) </t>
    </r>
    <r>
      <rPr>
        <u/>
        <sz val="10"/>
        <color theme="10"/>
        <rFont val="メイリオ"/>
        <family val="3"/>
        <charset val="128"/>
      </rPr>
      <t>開発着手審議[P.4]</t>
    </r>
    <phoneticPr fontId="4"/>
  </si>
  <si>
    <r>
      <t xml:space="preserve">RCT-JB5001 8.11. </t>
    </r>
    <r>
      <rPr>
        <u/>
        <sz val="10"/>
        <color theme="10"/>
        <rFont val="メイリオ"/>
        <family val="3"/>
        <charset val="128"/>
      </rPr>
      <t>トレーニング計画[P.16]</t>
    </r>
    <rPh sb="23" eb="25">
      <t>ケイカク</t>
    </rPh>
    <phoneticPr fontId="4"/>
  </si>
  <si>
    <r>
      <t xml:space="preserve">RCT-JB5001 7.2.1.(3) </t>
    </r>
    <r>
      <rPr>
        <u/>
        <sz val="10"/>
        <color theme="10"/>
        <rFont val="メイリオ"/>
        <family val="3"/>
        <charset val="128"/>
      </rPr>
      <t>計画DR[P.4]</t>
    </r>
    <rPh sb="21" eb="23">
      <t>ケイカク</t>
    </rPh>
    <phoneticPr fontId="4"/>
  </si>
  <si>
    <r>
      <t xml:space="preserve">RCT-JB5001-003 6.1. </t>
    </r>
    <r>
      <rPr>
        <u/>
        <sz val="10"/>
        <color theme="10"/>
        <rFont val="メイリオ"/>
        <family val="3"/>
        <charset val="128"/>
      </rPr>
      <t>要求の入手[P.31]</t>
    </r>
    <rPh sb="20" eb="22">
      <t>ヨウキュウ</t>
    </rPh>
    <rPh sb="23" eb="25">
      <t>ニュウシュ</t>
    </rPh>
    <phoneticPr fontId="4"/>
  </si>
  <si>
    <r>
      <t xml:space="preserve">RCT-JB5001-003 6.2. </t>
    </r>
    <r>
      <rPr>
        <u/>
        <sz val="10"/>
        <color theme="10"/>
        <rFont val="メイリオ"/>
        <family val="3"/>
        <charset val="128"/>
      </rPr>
      <t>要求の実現可否判断[P.32]</t>
    </r>
    <rPh sb="20" eb="22">
      <t>ヨウキュウ</t>
    </rPh>
    <rPh sb="23" eb="25">
      <t>ジツゲン</t>
    </rPh>
    <rPh sb="25" eb="27">
      <t>カヒ</t>
    </rPh>
    <rPh sb="27" eb="29">
      <t>ハンダン</t>
    </rPh>
    <phoneticPr fontId="4"/>
  </si>
  <si>
    <r>
      <t xml:space="preserve">RCT-JB5001-003 6.3. </t>
    </r>
    <r>
      <rPr>
        <u/>
        <sz val="10"/>
        <color theme="10"/>
        <rFont val="メイリオ"/>
        <family val="3"/>
        <charset val="128"/>
      </rPr>
      <t>要求への変換[P.32]</t>
    </r>
    <rPh sb="24" eb="26">
      <t>ヘンカン</t>
    </rPh>
    <phoneticPr fontId="4"/>
  </si>
  <si>
    <r>
      <t xml:space="preserve">RCT-JB5001-003 6.4. </t>
    </r>
    <r>
      <rPr>
        <u/>
        <sz val="10"/>
        <color theme="10"/>
        <rFont val="メイリオ"/>
        <family val="3"/>
        <charset val="128"/>
      </rPr>
      <t>トレーサビリティの確保[P.32]</t>
    </r>
    <rPh sb="29" eb="31">
      <t>カクホ</t>
    </rPh>
    <phoneticPr fontId="4"/>
  </si>
  <si>
    <r>
      <rPr>
        <sz val="10"/>
        <color theme="1"/>
        <rFont val="メイリオ"/>
        <family val="3"/>
        <charset val="128"/>
      </rPr>
      <t>以下、余白</t>
    </r>
    <rPh sb="0" eb="2">
      <t>イカ</t>
    </rPh>
    <rPh sb="3" eb="5">
      <t>ヨハク</t>
    </rPh>
    <phoneticPr fontId="4"/>
  </si>
  <si>
    <t>List of Issues/</t>
    <phoneticPr fontId="5"/>
  </si>
  <si>
    <t>Whether to conduct the review again/</t>
    <phoneticPr fontId="5"/>
  </si>
  <si>
    <t>NO.
(20190507版)</t>
    <phoneticPr fontId="4"/>
  </si>
  <si>
    <t>Renesas Design Vietnam Co., Ltd. (RVC)</t>
  </si>
  <si>
    <t>Pass-around</t>
  </si>
  <si>
    <t>use department checklist</t>
  </si>
  <si>
    <t>N/A</t>
  </si>
  <si>
    <t>Review date &amp; time</t>
    <phoneticPr fontId="4"/>
  </si>
  <si>
    <t>Item 
no.</t>
    <phoneticPr fontId="4"/>
  </si>
  <si>
    <t>Description</t>
    <phoneticPr fontId="4"/>
  </si>
  <si>
    <t>Priority</t>
  </si>
  <si>
    <t>Pre-check</t>
    <phoneticPr fontId="4"/>
  </si>
  <si>
    <t>Checked by</t>
    <phoneticPr fontId="4"/>
  </si>
  <si>
    <t>Check</t>
    <phoneticPr fontId="4"/>
  </si>
  <si>
    <t>High</t>
  </si>
  <si>
    <t>* "Pre-Check" and "Check" column: Enter Accepted/Not accepted/NA and no. of issues pointed out.</t>
  </si>
  <si>
    <t>Accepted</t>
  </si>
  <si>
    <t>Guide_Off</t>
  </si>
  <si>
    <t>Product part name</t>
    <phoneticPr fontId="4"/>
  </si>
  <si>
    <t>Remarks</t>
    <phoneticPr fontId="4"/>
  </si>
  <si>
    <t>1. General</t>
    <phoneticPr fontId="4"/>
  </si>
  <si>
    <t>[Notes]</t>
    <phoneticPr fontId="4"/>
  </si>
  <si>
    <t>Page</t>
  </si>
  <si>
    <t>Test Report</t>
  </si>
  <si>
    <t>Text must be concise, and easy and clear for a third party to understand.</t>
    <phoneticPr fontId="4"/>
  </si>
  <si>
    <t>Low</t>
  </si>
  <si>
    <t>Have date report created, revision number described clearly</t>
  </si>
  <si>
    <t>Have name of author, reviewer, approver described clearly</t>
  </si>
  <si>
    <t>New/Modified/Deleted content must be described in Revision History table</t>
  </si>
  <si>
    <t>New/Modified/Deleted content must be highlight</t>
  </si>
  <si>
    <t>Specify reference documents</t>
  </si>
  <si>
    <t>Detail Requirement (REQ)</t>
  </si>
  <si>
    <t>Available</t>
  </si>
  <si>
    <t>Design Specification (INT)</t>
  </si>
  <si>
    <t>Test Specification (VRF)</t>
  </si>
  <si>
    <t>Test Items Checklist (VRF-01)</t>
  </si>
  <si>
    <t>Unit test process</t>
  </si>
  <si>
    <t>User Manual (USR) Review Checklist</t>
  </si>
  <si>
    <t>This checklist is a collection of points requiring attention in review of User Manual (USR)</t>
  </si>
  <si>
    <t>Project Name</t>
    <phoneticPr fontId="4"/>
  </si>
  <si>
    <t>Review member</t>
    <phoneticPr fontId="4"/>
  </si>
  <si>
    <t>Target revision</t>
    <phoneticPr fontId="4"/>
  </si>
  <si>
    <t>Check date</t>
    <phoneticPr fontId="4"/>
  </si>
  <si>
    <t xml:space="preserve">2. Items to be Included </t>
    <phoneticPr fontId="4"/>
  </si>
  <si>
    <t>Built macro/option is specified</t>
  </si>
  <si>
    <t>Message table must be specified &amp; match with INT, VRF-01 documents</t>
  </si>
  <si>
    <t>Parameters/commands of model must is specified &amp; match with REQ, INT documents</t>
  </si>
  <si>
    <t>Parameters/commands sheet must also include corresponding class member functions of Python APIs</t>
  </si>
  <si>
    <t>List supported/unsupported features, functions, registers, ports must be specifed &amp; match with REQ, INT documents</t>
  </si>
  <si>
    <t>Constructor, explanation of each parameter of constructor, example of constructor must be described.</t>
  </si>
  <si>
    <t>Reated Document Checklist</t>
  </si>
  <si>
    <t>User manual</t>
  </si>
  <si>
    <t>1st review</t>
  </si>
  <si>
    <t>User Manual Checklist</t>
  </si>
  <si>
    <t>If there is abstracted serial communication interface in model, the interface specification is described for the person which uses it or creates the communiation-partner?</t>
  </si>
  <si>
    <t>Item 
No.</t>
    <phoneticPr fontId="4"/>
  </si>
  <si>
    <t>Available or not</t>
    <phoneticPr fontId="4"/>
  </si>
  <si>
    <t>Reason if not available</t>
    <phoneticPr fontId="4"/>
  </si>
  <si>
    <t>* Fill in "3. Others" column with project-specific check items.</t>
    <phoneticPr fontId="4"/>
  </si>
  <si>
    <t>Model limitation is specified if any (chapter in UM which mention about this point,  this limitation will be updated in future or not, write the python IF command which support for this point if any, write the ticket redmine if any).</t>
  </si>
  <si>
    <t>In Parameters_Commands sheet, have a description column about API information.</t>
  </si>
  <si>
    <t>Detail Requirement</t>
  </si>
  <si>
    <t>Design Specification</t>
  </si>
  <si>
    <t>Test Items Checklist</t>
  </si>
  <si>
    <t>If model is a wrapper or integration one, check description information is synchronized with sub model or not.</t>
  </si>
  <si>
    <t>ver1.18</t>
  </si>
  <si>
    <r>
      <t xml:space="preserve">Target scale of review
</t>
    </r>
    <r>
      <rPr>
        <sz val="10"/>
        <rFont val="游ゴシック"/>
        <family val="2"/>
        <charset val="128"/>
      </rPr>
      <t>レビュー量</t>
    </r>
  </si>
  <si>
    <r>
      <t xml:space="preserve">Unit
</t>
    </r>
    <r>
      <rPr>
        <sz val="10"/>
        <rFont val="游ゴシック"/>
        <family val="2"/>
        <charset val="128"/>
      </rPr>
      <t>単位</t>
    </r>
  </si>
  <si>
    <r>
      <t xml:space="preserve">Total number of review issues
</t>
    </r>
    <r>
      <rPr>
        <sz val="10"/>
        <rFont val="メイリオ"/>
        <family val="3"/>
        <charset val="128"/>
      </rPr>
      <t>指摘件数合計</t>
    </r>
  </si>
  <si>
    <r>
      <t xml:space="preserve">Total review duration
</t>
    </r>
    <r>
      <rPr>
        <sz val="10"/>
        <rFont val="メイリオ"/>
        <family val="3"/>
        <charset val="128"/>
      </rPr>
      <t>レビュー時間合計</t>
    </r>
  </si>
  <si>
    <t>Page</t>
    <phoneticPr fontId="8"/>
  </si>
  <si>
    <t>Line</t>
    <phoneticPr fontId="8"/>
  </si>
  <si>
    <t>Number</t>
    <phoneticPr fontId="8"/>
  </si>
  <si>
    <t xml:space="preserve"> </t>
  </si>
  <si>
    <r>
      <rPr>
        <sz val="11"/>
        <color theme="1"/>
        <rFont val="メイリオ"/>
        <family val="3"/>
        <charset val="128"/>
      </rPr>
      <t>ピアレビュー議事録</t>
    </r>
  </si>
  <si>
    <r>
      <rPr>
        <b/>
        <sz val="11"/>
        <color theme="1"/>
        <rFont val="メイリオ"/>
        <family val="3"/>
        <charset val="128"/>
      </rPr>
      <t>【</t>
    </r>
    <r>
      <rPr>
        <b/>
        <sz val="11"/>
        <color theme="1"/>
        <rFont val="Arial"/>
        <family val="2"/>
      </rPr>
      <t>Revision history</t>
    </r>
    <r>
      <rPr>
        <b/>
        <sz val="11"/>
        <color theme="1"/>
        <rFont val="メイリオ"/>
        <family val="3"/>
        <charset val="128"/>
      </rPr>
      <t>】</t>
    </r>
  </si>
  <si>
    <r>
      <rPr>
        <sz val="10"/>
        <color theme="1"/>
        <rFont val="メイリオ"/>
        <family val="3"/>
        <charset val="128"/>
      </rPr>
      <t xml:space="preserve">初版
</t>
    </r>
  </si>
  <si>
    <r>
      <t>- SEPG</t>
    </r>
    <r>
      <rPr>
        <sz val="10"/>
        <color theme="1"/>
        <rFont val="メイリオ"/>
        <family val="3"/>
        <charset val="128"/>
      </rPr>
      <t xml:space="preserve">作成の項目のセル色を変更した。
</t>
    </r>
    <r>
      <rPr>
        <sz val="10"/>
        <color theme="1"/>
        <rFont val="Arial"/>
        <family val="2"/>
      </rPr>
      <t xml:space="preserve">- </t>
    </r>
    <r>
      <rPr>
        <sz val="10"/>
        <color theme="1"/>
        <rFont val="メイリオ"/>
        <family val="3"/>
        <charset val="128"/>
      </rPr>
      <t xml:space="preserve">表紙にプロジェクト番号を追加した。
</t>
    </r>
    <r>
      <rPr>
        <sz val="10"/>
        <color theme="1"/>
        <rFont val="Arial"/>
        <family val="2"/>
      </rPr>
      <t xml:space="preserve">- </t>
    </r>
    <r>
      <rPr>
        <sz val="10"/>
        <color theme="1"/>
        <rFont val="メイリオ"/>
        <family val="3"/>
        <charset val="128"/>
      </rPr>
      <t>「</t>
    </r>
    <r>
      <rPr>
        <sz val="10"/>
        <color theme="1"/>
        <rFont val="Arial"/>
        <family val="2"/>
      </rPr>
      <t>RENESAS CONFIDENTIAL</t>
    </r>
    <r>
      <rPr>
        <sz val="10"/>
        <color theme="1"/>
        <rFont val="メイリオ"/>
        <family val="3"/>
        <charset val="128"/>
      </rPr>
      <t>」とリビジョンの表記を</t>
    </r>
    <r>
      <rPr>
        <sz val="10"/>
        <color theme="1"/>
        <rFont val="Arial"/>
        <family val="2"/>
      </rPr>
      <t>SEPG</t>
    </r>
    <r>
      <rPr>
        <sz val="10"/>
        <color theme="1"/>
        <rFont val="メイリオ"/>
        <family val="3"/>
        <charset val="128"/>
      </rPr>
      <t xml:space="preserve">様式の統一表記にした。
</t>
    </r>
    <r>
      <rPr>
        <sz val="10"/>
        <color theme="1"/>
        <rFont val="Arial"/>
        <family val="2"/>
      </rPr>
      <t xml:space="preserve">- </t>
    </r>
    <r>
      <rPr>
        <sz val="10"/>
        <color theme="1"/>
        <rFont val="メイリオ"/>
        <family val="3"/>
        <charset val="128"/>
      </rPr>
      <t xml:space="preserve">他のセルとリンクしている場合、セルコメントにどのシートのセルにリンクしているかを記載した。
</t>
    </r>
    <r>
      <rPr>
        <sz val="10"/>
        <color theme="1"/>
        <rFont val="Arial"/>
        <family val="2"/>
      </rPr>
      <t xml:space="preserve">- </t>
    </r>
    <r>
      <rPr>
        <sz val="10"/>
        <color theme="1"/>
        <rFont val="メイリオ"/>
        <family val="3"/>
        <charset val="128"/>
      </rPr>
      <t xml:space="preserve">日付の書式を統一した。
</t>
    </r>
    <r>
      <rPr>
        <sz val="10"/>
        <color theme="1"/>
        <rFont val="Arial"/>
        <family val="2"/>
      </rPr>
      <t xml:space="preserve">- </t>
    </r>
    <r>
      <rPr>
        <sz val="10"/>
        <color theme="1"/>
        <rFont val="メイリオ"/>
        <family val="3"/>
        <charset val="128"/>
      </rPr>
      <t xml:space="preserve">「使用チェックリスト」項目を「部門チェックリスト」と「本様式のチェックリスト」を選択できる方式に変更した。
</t>
    </r>
    <r>
      <rPr>
        <sz val="10"/>
        <color theme="1"/>
        <rFont val="Arial"/>
        <family val="2"/>
      </rPr>
      <t xml:space="preserve">- </t>
    </r>
    <r>
      <rPr>
        <sz val="10"/>
        <color theme="1"/>
        <rFont val="メイリオ"/>
        <family val="3"/>
        <charset val="128"/>
      </rPr>
      <t xml:space="preserve">「工程名」項目をリスト選択方式に変更した。
</t>
    </r>
    <r>
      <rPr>
        <sz val="10"/>
        <color theme="1"/>
        <rFont val="Arial"/>
        <family val="2"/>
      </rPr>
      <t xml:space="preserve">- </t>
    </r>
    <r>
      <rPr>
        <sz val="10"/>
        <color theme="1"/>
        <rFont val="メイリオ"/>
        <family val="3"/>
        <charset val="128"/>
      </rPr>
      <t xml:space="preserve">「指標値」項目を「指標値（計画値）」に変更した。
</t>
    </r>
    <r>
      <rPr>
        <sz val="10"/>
        <color theme="1"/>
        <rFont val="Arial"/>
        <family val="2"/>
      </rPr>
      <t xml:space="preserve">- </t>
    </r>
    <r>
      <rPr>
        <sz val="10"/>
        <color theme="1"/>
        <rFont val="メイリオ"/>
        <family val="3"/>
        <charset val="128"/>
      </rPr>
      <t xml:space="preserve">レビュー対象物の説明を修正した。
</t>
    </r>
    <r>
      <rPr>
        <sz val="10"/>
        <color theme="1"/>
        <rFont val="Arial"/>
        <family val="2"/>
      </rPr>
      <t xml:space="preserve">- </t>
    </r>
    <r>
      <rPr>
        <sz val="10"/>
        <color theme="1"/>
        <rFont val="メイリオ"/>
        <family val="3"/>
        <charset val="128"/>
      </rPr>
      <t>「指摘の内容</t>
    </r>
    <r>
      <rPr>
        <sz val="10"/>
        <color theme="1"/>
        <rFont val="Arial"/>
        <family val="2"/>
      </rPr>
      <t>/</t>
    </r>
    <r>
      <rPr>
        <sz val="10"/>
        <color theme="1"/>
        <rFont val="メイリオ"/>
        <family val="3"/>
        <charset val="128"/>
      </rPr>
      <t>質疑応答の内容」項目を「指摘の内容</t>
    </r>
    <r>
      <rPr>
        <sz val="10"/>
        <color theme="1"/>
        <rFont val="Arial"/>
        <family val="2"/>
      </rPr>
      <t>/</t>
    </r>
    <r>
      <rPr>
        <sz val="10"/>
        <color theme="1"/>
        <rFont val="メイリオ"/>
        <family val="3"/>
        <charset val="128"/>
      </rPr>
      <t xml:space="preserve">質疑の内容」に変更した。
</t>
    </r>
    <r>
      <rPr>
        <sz val="10"/>
        <color theme="1"/>
        <rFont val="Arial"/>
        <family val="2"/>
      </rPr>
      <t xml:space="preserve">- </t>
    </r>
    <r>
      <rPr>
        <sz val="10"/>
        <color theme="1"/>
        <rFont val="メイリオ"/>
        <family val="3"/>
        <charset val="128"/>
      </rPr>
      <t>「対応内容」項目を「対応の内容</t>
    </r>
    <r>
      <rPr>
        <sz val="10"/>
        <color theme="1"/>
        <rFont val="Arial"/>
        <family val="2"/>
      </rPr>
      <t>/</t>
    </r>
    <r>
      <rPr>
        <sz val="10"/>
        <color theme="1"/>
        <rFont val="メイリオ"/>
        <family val="3"/>
        <charset val="128"/>
      </rPr>
      <t xml:space="preserve">質疑の応答」に変更した。
</t>
    </r>
    <r>
      <rPr>
        <sz val="10"/>
        <color theme="1"/>
        <rFont val="Arial"/>
        <family val="2"/>
      </rPr>
      <t xml:space="preserve">- </t>
    </r>
    <r>
      <rPr>
        <sz val="10"/>
        <color theme="1"/>
        <rFont val="メイリオ"/>
        <family val="3"/>
        <charset val="128"/>
      </rPr>
      <t xml:space="preserve">指摘項目一覧のセルサイズを調整した。
</t>
    </r>
    <r>
      <rPr>
        <sz val="10"/>
        <color theme="1"/>
        <rFont val="Arial"/>
        <family val="2"/>
      </rPr>
      <t xml:space="preserve">- </t>
    </r>
    <r>
      <rPr>
        <sz val="10"/>
        <color theme="1"/>
        <rFont val="メイリオ"/>
        <family val="3"/>
        <charset val="128"/>
      </rPr>
      <t xml:space="preserve">「実施日時・参加者」の説明を修正した。
</t>
    </r>
    <r>
      <rPr>
        <sz val="10"/>
        <color theme="1"/>
        <rFont val="Arial"/>
        <family val="2"/>
      </rPr>
      <t xml:space="preserve">- </t>
    </r>
    <r>
      <rPr>
        <sz val="10"/>
        <color theme="1"/>
        <rFont val="メイリオ"/>
        <family val="3"/>
        <charset val="128"/>
      </rPr>
      <t xml:space="preserve">レビュー対象物の表に記載する「指摘件数」の実績値を自動計算に変更した。
</t>
    </r>
    <r>
      <rPr>
        <sz val="10"/>
        <color theme="1"/>
        <rFont val="Arial"/>
        <family val="2"/>
      </rPr>
      <t xml:space="preserve">- </t>
    </r>
    <r>
      <rPr>
        <sz val="10"/>
        <color theme="1"/>
        <rFont val="メイリオ"/>
        <family val="3"/>
        <charset val="128"/>
      </rPr>
      <t xml:space="preserve">レビュー指標の表に各指標の実績値を記載する欄を追加した。
</t>
    </r>
    <r>
      <rPr>
        <sz val="10"/>
        <color theme="1"/>
        <rFont val="Arial"/>
        <family val="2"/>
      </rPr>
      <t xml:space="preserve">- </t>
    </r>
    <r>
      <rPr>
        <sz val="10"/>
        <color theme="1"/>
        <rFont val="メイリオ"/>
        <family val="3"/>
        <charset val="128"/>
      </rPr>
      <t xml:space="preserve">レビュー対象物の表についての説明を修正した。
</t>
    </r>
    <r>
      <rPr>
        <sz val="10"/>
        <color theme="1"/>
        <rFont val="Arial"/>
        <family val="2"/>
      </rPr>
      <t xml:space="preserve">- </t>
    </r>
    <r>
      <rPr>
        <sz val="10"/>
        <color theme="1"/>
        <rFont val="メイリオ"/>
        <family val="3"/>
        <charset val="128"/>
      </rPr>
      <t xml:space="preserve">ピアレビューチェックリストの項目をレビューする工程に合わせて確認対象外を自動でグレー表示にするようにした。
</t>
    </r>
    <r>
      <rPr>
        <sz val="10"/>
        <color theme="1"/>
        <rFont val="Arial"/>
        <family val="2"/>
      </rPr>
      <t xml:space="preserve">- </t>
    </r>
    <r>
      <rPr>
        <sz val="10"/>
        <color theme="1"/>
        <rFont val="メイリオ"/>
        <family val="3"/>
        <charset val="128"/>
      </rPr>
      <t>「対応内容</t>
    </r>
    <r>
      <rPr>
        <sz val="10"/>
        <color theme="1"/>
        <rFont val="Arial"/>
        <family val="2"/>
      </rPr>
      <t>/</t>
    </r>
    <r>
      <rPr>
        <sz val="10"/>
        <color theme="1"/>
        <rFont val="メイリオ"/>
        <family val="3"/>
        <charset val="128"/>
      </rPr>
      <t>質疑の応答」のセル設定を「縮小表示」から「折り返して表示」に変更した。</t>
    </r>
  </si>
  <si>
    <r>
      <t xml:space="preserve">- </t>
    </r>
    <r>
      <rPr>
        <sz val="10"/>
        <color theme="1"/>
        <rFont val="メイリオ"/>
        <family val="3"/>
        <charset val="128"/>
      </rPr>
      <t>英語表記を追加した。</t>
    </r>
  </si>
  <si>
    <r>
      <t xml:space="preserve">- </t>
    </r>
    <r>
      <rPr>
        <sz val="10"/>
        <color theme="1"/>
        <rFont val="メイリオ"/>
        <family val="3"/>
        <charset val="128"/>
      </rPr>
      <t>英文翻訳の間違いを修正した。</t>
    </r>
  </si>
  <si>
    <r>
      <t xml:space="preserve">- </t>
    </r>
    <r>
      <rPr>
        <sz val="10"/>
        <color theme="1"/>
        <rFont val="メイリオ"/>
        <family val="3"/>
        <charset val="128"/>
      </rPr>
      <t>レビュー時間の予定を計算する式が間違っていたため修正した</t>
    </r>
  </si>
  <si>
    <t>-Added function of external Link mode function(Excel macro): Import comment data of word ,excel and powerpoint file.</t>
    <phoneticPr fontId="8"/>
  </si>
  <si>
    <t>T. Hino
Oct. 31, 2019</t>
    <phoneticPr fontId="8"/>
  </si>
  <si>
    <t>T. Aoyagi
Oct. 31, 2019</t>
    <phoneticPr fontId="8"/>
  </si>
  <si>
    <t>-拡張リンクモード機能（マクロ）の機能追加: Word excel powerpointファイルのコメント取込に対応</t>
    <rPh sb="1" eb="3">
      <t>カクチョウ</t>
    </rPh>
    <rPh sb="9" eb="11">
      <t>キノウ</t>
    </rPh>
    <rPh sb="17" eb="19">
      <t>キノウ</t>
    </rPh>
    <rPh sb="19" eb="21">
      <t>ツイカ</t>
    </rPh>
    <rPh sb="53" eb="55">
      <t>トリコミ</t>
    </rPh>
    <rPh sb="56" eb="58">
      <t>タイオウ</t>
    </rPh>
    <phoneticPr fontId="8"/>
  </si>
  <si>
    <t>REL-SEPG-PRM20190801
R1911</t>
    <phoneticPr fontId="8"/>
  </si>
  <si>
    <t>-Compatible with RCT-JB5001 Rev.8 form
-Process name changed
-Add field: Total mumber of review issues and total review duration by unit. 
-Add External Linkmode function (Excel macro).</t>
    <phoneticPr fontId="8"/>
  </si>
  <si>
    <t>T. Hino
Jul. 31, 2019</t>
    <phoneticPr fontId="8"/>
  </si>
  <si>
    <t>T. Aoyagi
Jul. 31, 2019</t>
    <phoneticPr fontId="8"/>
  </si>
  <si>
    <t>-RCT-JB5001 Rev.8の様式に対応
-グローバル化のための工程名変更
-指摘件数合計欄とレビュー時間合計欄を追加
-拡張リンクモード機能（マクロ）を追加</t>
    <rPh sb="48" eb="49">
      <t>ラン</t>
    </rPh>
    <rPh sb="58" eb="59">
      <t>ラン</t>
    </rPh>
    <rPh sb="60" eb="62">
      <t>ツイカ</t>
    </rPh>
    <rPh sb="64" eb="66">
      <t>カクチョウ</t>
    </rPh>
    <rPh sb="72" eb="74">
      <t>キノウ</t>
    </rPh>
    <rPh sb="80" eb="82">
      <t>ツイカ</t>
    </rPh>
    <phoneticPr fontId="8"/>
  </si>
  <si>
    <t>REL-SEPG-PRM20190801</t>
    <phoneticPr fontId="8"/>
  </si>
  <si>
    <t>- Integrated the explanation in the template into the HELP window, and the guide content has been enriched.
- Added a selection field for 1st review or re-review.
- When selecting inspection or team in review type, changed it to be able to enter the time of desk check etc.
- In the Peer Review Checklist, changed the check contents of PP and RD processes and the check contents regarding traceability of each process.</t>
    <phoneticPr fontId="8"/>
  </si>
  <si>
    <t>T. Hino
Apr. 26, 2019</t>
    <phoneticPr fontId="8"/>
  </si>
  <si>
    <t>T. Aoyagi
Apr. 26, 2019</t>
    <phoneticPr fontId="8"/>
  </si>
  <si>
    <r>
      <t xml:space="preserve">- </t>
    </r>
    <r>
      <rPr>
        <sz val="9"/>
        <rFont val="メイリオ"/>
        <family val="3"/>
        <charset val="128"/>
      </rPr>
      <t>様式内の説明を</t>
    </r>
    <r>
      <rPr>
        <sz val="9"/>
        <rFont val="Arial"/>
        <family val="2"/>
      </rPr>
      <t>HELP</t>
    </r>
    <r>
      <rPr>
        <sz val="9"/>
        <rFont val="メイリオ"/>
        <family val="3"/>
        <charset val="128"/>
      </rPr>
      <t>ウィンドウに統合、およびガイド内容の充実</t>
    </r>
    <r>
      <rPr>
        <sz val="9"/>
        <rFont val="Arial"/>
        <family val="3"/>
      </rPr>
      <t xml:space="preserve">
</t>
    </r>
    <r>
      <rPr>
        <sz val="9"/>
        <rFont val="Arial"/>
        <family val="2"/>
      </rPr>
      <t>- 1st</t>
    </r>
    <r>
      <rPr>
        <sz val="9"/>
        <rFont val="メイリオ"/>
        <family val="3"/>
        <charset val="128"/>
      </rPr>
      <t>レビューと再レビューの選択欄を追加</t>
    </r>
    <r>
      <rPr>
        <sz val="9"/>
        <rFont val="Arial"/>
        <family val="3"/>
      </rPr>
      <t xml:space="preserve">
</t>
    </r>
    <r>
      <rPr>
        <sz val="9"/>
        <rFont val="Arial"/>
        <family val="2"/>
      </rPr>
      <t xml:space="preserve">- </t>
    </r>
    <r>
      <rPr>
        <sz val="9"/>
        <rFont val="メイリオ"/>
        <family val="3"/>
        <charset val="128"/>
      </rPr>
      <t>レビュー種別でインスペクションまたはチームレビュー選択時に机上チェックの時間などが記入できるように変更</t>
    </r>
    <r>
      <rPr>
        <sz val="9"/>
        <rFont val="Arial"/>
        <family val="2"/>
      </rPr>
      <t xml:space="preserve">
- </t>
    </r>
    <r>
      <rPr>
        <sz val="9"/>
        <rFont val="メイリオ"/>
        <family val="3"/>
        <charset val="128"/>
      </rPr>
      <t>ピアレビューチェックリストの</t>
    </r>
    <r>
      <rPr>
        <sz val="9"/>
        <rFont val="Arial"/>
        <family val="2"/>
      </rPr>
      <t>PP, RD</t>
    </r>
    <r>
      <rPr>
        <sz val="9"/>
        <rFont val="メイリオ"/>
        <family val="3"/>
        <charset val="128"/>
      </rPr>
      <t>工程のチェック内容、および各工程のトレーサビリティチェック内容の見直し</t>
    </r>
  </si>
  <si>
    <t>REL-SEPG-PRM20190507</t>
    <phoneticPr fontId="8"/>
  </si>
  <si>
    <t>-Added sheet and macro of  standard template item FAQ.</t>
    <phoneticPr fontId="8"/>
  </si>
  <si>
    <t>T. Hino
Feb. 28, 2019</t>
    <phoneticPr fontId="8"/>
  </si>
  <si>
    <t>T. Aoyagi
Feb. 28, 2019</t>
    <phoneticPr fontId="8"/>
  </si>
  <si>
    <r>
      <t>-</t>
    </r>
    <r>
      <rPr>
        <sz val="10"/>
        <color theme="1"/>
        <rFont val="メイリオ"/>
        <family val="3"/>
        <charset val="128"/>
      </rPr>
      <t>開発プロセス支援ガイド</t>
    </r>
    <r>
      <rPr>
        <sz val="10"/>
        <color theme="1"/>
        <rFont val="Arial"/>
        <family val="2"/>
      </rPr>
      <t>_</t>
    </r>
    <r>
      <rPr>
        <sz val="10"/>
        <color theme="1"/>
        <rFont val="メイリオ"/>
        <family val="3"/>
        <charset val="128"/>
      </rPr>
      <t>標準類作成</t>
    </r>
    <r>
      <rPr>
        <sz val="10"/>
        <color theme="1"/>
        <rFont val="Arial"/>
        <family val="2"/>
      </rPr>
      <t>FAQ</t>
    </r>
    <r>
      <rPr>
        <sz val="10"/>
        <color theme="1"/>
        <rFont val="メイリオ"/>
        <family val="3"/>
        <charset val="128"/>
      </rPr>
      <t>の情報及びマクロを追加</t>
    </r>
  </si>
  <si>
    <t>REL-SEPG-PRM20190228</t>
    <phoneticPr fontId="8"/>
  </si>
  <si>
    <t>- Fixed because the formula to compute the review duration target value was wrong.</t>
    <phoneticPr fontId="8"/>
  </si>
  <si>
    <t>K. Takahashi
Dec. 4, 2018</t>
    <phoneticPr fontId="8"/>
  </si>
  <si>
    <t>T. Aoyagi
Dec. 4, 2018</t>
    <phoneticPr fontId="8"/>
  </si>
  <si>
    <t>REL-SEPG-PRM20181204</t>
    <phoneticPr fontId="8"/>
  </si>
  <si>
    <t>- Fixed a mistake in English translation.</t>
    <phoneticPr fontId="8"/>
  </si>
  <si>
    <t>K. Takahashi
Nov. 9, 2018</t>
    <phoneticPr fontId="8"/>
  </si>
  <si>
    <t>T. Aoyagi
Nov. 9, 2018</t>
    <phoneticPr fontId="8"/>
  </si>
  <si>
    <t>REL-SEPG-PRM20181113</t>
    <phoneticPr fontId="8"/>
  </si>
  <si>
    <t>- English description added.</t>
    <phoneticPr fontId="8"/>
  </si>
  <si>
    <t>M. Nakamura
K. Takahashi
Oct. 1, 2018</t>
    <phoneticPr fontId="8"/>
  </si>
  <si>
    <t>T. Aoyagi
Oct. 30, 2018</t>
    <phoneticPr fontId="8"/>
  </si>
  <si>
    <t>REL-SEPG-PRM20181101</t>
    <phoneticPr fontId="8"/>
  </si>
  <si>
    <t>- Changed the cell color of items created by SEPG.
- Project number added to cover page.
- The notation of "RENESAS CONFIDENTIAL" and the revision was made into a unified representation of SEPG templates style.
- When linking with another cell, it is described which sheet cell is linked to cell comment.
- Unified format of dates.
- Changed the "checklist to use" item to a method that allows you to select "department checklist" and "checklist of this template".
- Changed "process name" item to list selection method.
- The "index value" item was changed to "index value (planned value)".
- Modified the description of the review subject.
- "Contents of indication Contents of question-and-answer of contents" was changed to "Contents of indication/Contents of question and answer."
- Changed "correspondence contents" item to "content of correspondence/response of questioning".
- Adjusted the cell size of "pointed out item list".
- Revised the explanation of "implementation date/participant".
- The actual value of "Number of points to be pointed out" described in "Table of review subjects" was changed to automatic calculation.
- A column for describing the actual value of each indicator was added to the "table of review indicators".
- Revised the description of "Table of Review Objects".
- Items not checked according to the process of reviewing the items of the peer review checklist are automatically grayed out.
- Changed the cell setting of "Response / Q &amp; A response" from "Reduced display" to "Wrapped display".</t>
    <phoneticPr fontId="11"/>
  </si>
  <si>
    <t>S. Masukawa
Aug. 20, 2018</t>
    <phoneticPr fontId="11"/>
  </si>
  <si>
    <t>K. Takahashi
Aug. 20, 2018</t>
    <phoneticPr fontId="11"/>
  </si>
  <si>
    <t>REL-SEPG-PRM20180820</t>
    <phoneticPr fontId="11"/>
  </si>
  <si>
    <t>Initial release</t>
    <phoneticPr fontId="11"/>
  </si>
  <si>
    <t>S. Masukawa
May 21, 2018</t>
    <phoneticPr fontId="11"/>
  </si>
  <si>
    <t>K. Takahashi
May 21, 2018</t>
    <phoneticPr fontId="11"/>
  </si>
  <si>
    <t>REL-SEPG20180521</t>
    <phoneticPr fontId="7"/>
  </si>
  <si>
    <t>Author</t>
    <phoneticPr fontId="6"/>
  </si>
  <si>
    <t>Approver</t>
    <phoneticPr fontId="6"/>
  </si>
  <si>
    <t>Description of change</t>
    <phoneticPr fontId="6"/>
  </si>
  <si>
    <t xml:space="preserve">
Revision
</t>
    <phoneticPr fontId="6"/>
  </si>
  <si>
    <t xml:space="preserve">     GuideCheck:20191101</t>
    <phoneticPr fontId="8"/>
  </si>
  <si>
    <t>The template revision history describes the change contents of the template itself.</t>
    <phoneticPr fontId="7"/>
  </si>
  <si>
    <t>.bmp , .jpg , .gif</t>
    <phoneticPr fontId="8"/>
  </si>
  <si>
    <t xml:space="preserve">.txt , .c , .h </t>
    <phoneticPr fontId="8"/>
  </si>
  <si>
    <t>HyperLink</t>
    <phoneticPr fontId="6"/>
  </si>
  <si>
    <t>WordAPP</t>
    <phoneticPr fontId="6"/>
  </si>
  <si>
    <t>[RENESAS CONFIDEINTIAL]</t>
    <phoneticPr fontId="6"/>
  </si>
  <si>
    <t>U2A &amp; U2B</t>
  </si>
  <si>
    <t>Renesas Design Vietnam Co., Ltd
Software Engineering Division
Core Software Department
Core Software 1 Section
RH850 Modeling Group</t>
  </si>
  <si>
    <t>Core Software</t>
  </si>
  <si>
    <t>1.3</t>
  </si>
  <si>
    <t>Model is not Wrapper or intergration</t>
  </si>
  <si>
    <t>Model does not have abstracted serial communication interface</t>
  </si>
  <si>
    <t>Duong Phan</t>
  </si>
  <si>
    <t>SPIDCTL</t>
  </si>
  <si>
    <t>USR-MCS-20001_SPIDCTL.xls</t>
  </si>
  <si>
    <t>REQ-MCS-20001_SPIDCTL.xlsx</t>
  </si>
  <si>
    <t>INT-MCS-20001_SPIDCTL.doc</t>
  </si>
  <si>
    <t>VRF-MCS-20001_01_SPIDCTL.xls</t>
  </si>
  <si>
    <t>1.2</t>
  </si>
  <si>
    <t>MCU_model (RH850_U2B)
Maintenance for U2B/SPIDCTL Model</t>
  </si>
  <si>
    <t>Review the User Manual (USR) for the update after feedback at ticket #153308</t>
  </si>
  <si>
    <t>Thiep Nguyen</t>
  </si>
  <si>
    <t>Approve USR.
Reason: Object is reviewed and fixed. 
Review issue density is higher than planned range because the issue pointed out is kind of typo so it is OK for quality.
Review speed is in range.</t>
  </si>
  <si>
    <t>Dec/01/2021</t>
  </si>
  <si>
    <t>Duong Phan
Dec/01/2021</t>
  </si>
  <si>
    <t xml:space="preserve">Build Option </t>
  </si>
  <si>
    <t>At note -2 , How about BMSPIDOUT ports which is mention at note-1?
By the way, I think BMSPIDOUT should be BMSPIDOUT[64] as model  or BMnSPIDOUT as HW port.</t>
  </si>
  <si>
    <t>Issue</t>
  </si>
  <si>
    <t>AI</t>
  </si>
  <si>
    <t>I updated the port name and information to be more clear</t>
  </si>
  <si>
    <t>Threshold is 30% for issue density and review speed. So:
- Issue density = 0.5 is out range 0.211 +/- 30% (0.1477 - 0.2743).
- Review speed = 10 is in range 10.4 +/- 30% (7.28 - 13.52)</t>
  </si>
  <si>
    <t>Chuong Le
Dec/01/2021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</si>
</sst>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h:mm;@"/>
    <numFmt numFmtId="165" formatCode="0.00_);[Red]\(0.00\)"/>
    <numFmt numFmtId="166" formatCode="0.0000_);[Red]\(0.0000\)"/>
    <numFmt numFmtId="167" formatCode="0_);[Red]\(0\)"/>
    <numFmt numFmtId="168" formatCode="yy/mm/dd"/>
    <numFmt numFmtId="169" formatCode="dd/mm/yyyy"/>
    <numFmt numFmtId="170" formatCode="0.0"/>
    <numFmt numFmtId="171" formatCode="0.00_ "/>
  </numFmts>
  <fonts count="42">
    <font>
      <sz val="11"/>
      <color theme="1"/>
      <name val="メイリオ"/>
      <family val="2"/>
      <charset val="128"/>
    </font>
    <font>
      <sz val="11"/>
      <color theme="1"/>
      <name val="Calibri"/>
      <family val="2"/>
      <charset val="128"/>
      <scheme val="minor"/>
    </font>
    <font>
      <sz val="11"/>
      <color theme="1"/>
      <name val="Calibri"/>
      <family val="2"/>
      <charset val="128"/>
      <scheme val="minor"/>
    </font>
    <font>
      <sz val="11"/>
      <name val="ＭＳ Ｐゴシック"/>
      <family val="3"/>
      <charset val="128"/>
    </font>
    <font>
      <sz val="6"/>
      <name val="Calibri"/>
      <family val="2"/>
      <charset val="128"/>
      <scheme val="minor"/>
    </font>
    <font>
      <sz val="6"/>
      <name val="ＭＳ Ｐゴシック"/>
      <family val="3"/>
      <charset val="128"/>
    </font>
    <font>
      <sz val="6"/>
      <name val="メイリオ"/>
      <family val="2"/>
      <charset val="128"/>
    </font>
    <font>
      <sz val="11"/>
      <color theme="1"/>
      <name val="Calibri"/>
      <family val="3"/>
      <charset val="128"/>
      <scheme val="minor"/>
    </font>
    <font>
      <sz val="9"/>
      <color indexed="10"/>
      <name val="游ゴシック"/>
      <family val="3"/>
      <charset val="128"/>
    </font>
    <font>
      <sz val="11"/>
      <color theme="1"/>
      <name val="Calibri"/>
      <family val="2"/>
      <charset val="128"/>
      <scheme val="minor"/>
    </font>
    <font>
      <b/>
      <sz val="8"/>
      <color indexed="81"/>
      <name val="MS P ゴシック"/>
      <family val="3"/>
      <charset val="128"/>
    </font>
    <font>
      <b/>
      <sz val="10"/>
      <color indexed="81"/>
      <name val="MS P ゴシック"/>
      <family val="3"/>
      <charset val="128"/>
    </font>
    <font>
      <u/>
      <sz val="11"/>
      <color theme="10"/>
      <name val="Calibri"/>
      <family val="2"/>
      <charset val="128"/>
      <scheme val="minor"/>
    </font>
    <font>
      <sz val="11"/>
      <color theme="1"/>
      <name val="メイリオ"/>
      <family val="3"/>
      <charset val="128"/>
    </font>
    <font>
      <u/>
      <sz val="11"/>
      <color theme="10"/>
      <name val="メイリオ"/>
      <family val="2"/>
      <charset val="128"/>
    </font>
    <font>
      <sz val="9"/>
      <color indexed="81"/>
      <name val="MS P ゴシック"/>
      <family val="3"/>
      <charset val="128"/>
    </font>
    <font>
      <sz val="11"/>
      <color rgb="FF9C0006"/>
      <name val="メイリオ"/>
      <family val="2"/>
      <charset val="128"/>
    </font>
    <font>
      <sz val="10"/>
      <name val="メイリオ"/>
      <family val="3"/>
      <charset val="128"/>
    </font>
    <font>
      <sz val="8"/>
      <color rgb="FFFF0000"/>
      <name val="メイリオ"/>
      <family val="3"/>
      <charset val="128"/>
    </font>
    <font>
      <sz val="10"/>
      <color theme="1"/>
      <name val="メイリオ"/>
      <family val="3"/>
      <charset val="128"/>
    </font>
    <font>
      <b/>
      <sz val="16"/>
      <name val="メイリオ"/>
      <family val="3"/>
      <charset val="128"/>
    </font>
    <font>
      <sz val="10"/>
      <name val="Arial"/>
      <family val="2"/>
    </font>
    <font>
      <sz val="10"/>
      <color rgb="FFFF0000"/>
      <name val="Arial"/>
      <family val="2"/>
    </font>
    <font>
      <sz val="8"/>
      <color rgb="FFFF0000"/>
      <name val="Arial"/>
      <family val="2"/>
    </font>
    <font>
      <sz val="11"/>
      <color theme="1"/>
      <name val="Arial"/>
      <family val="2"/>
    </font>
    <font>
      <sz val="10"/>
      <color theme="1"/>
      <name val="Arial"/>
      <family val="2"/>
    </font>
    <font>
      <b/>
      <sz val="16"/>
      <name val="Arial"/>
      <family val="2"/>
    </font>
    <font>
      <sz val="16"/>
      <name val="Arial"/>
      <family val="2"/>
    </font>
    <font>
      <b/>
      <sz val="11"/>
      <color theme="1"/>
      <name val="メイリオ"/>
      <family val="3"/>
      <charset val="128"/>
    </font>
    <font>
      <b/>
      <sz val="11"/>
      <color theme="1"/>
      <name val="Arial"/>
      <family val="2"/>
    </font>
    <font>
      <b/>
      <sz val="11"/>
      <color rgb="FFFF0000"/>
      <name val="Arial"/>
      <family val="2"/>
    </font>
    <font>
      <u/>
      <sz val="10"/>
      <color theme="10"/>
      <name val="Arial"/>
      <family val="2"/>
    </font>
    <font>
      <u/>
      <sz val="10"/>
      <color theme="10"/>
      <name val="メイリオ"/>
      <family val="2"/>
      <charset val="128"/>
    </font>
    <font>
      <u/>
      <sz val="10"/>
      <color theme="10"/>
      <name val="メイリオ"/>
      <family val="3"/>
      <charset val="128"/>
    </font>
    <font>
      <sz val="10"/>
      <color rgb="FF0000FF"/>
      <name val="Arial"/>
      <family val="2"/>
    </font>
    <font>
      <sz val="9"/>
      <name val="Arial"/>
      <family val="2"/>
    </font>
    <font>
      <sz val="9"/>
      <name val="メイリオ"/>
      <family val="3"/>
      <charset val="128"/>
    </font>
    <font>
      <b/>
      <sz val="10"/>
      <name val="Arial"/>
      <family val="2"/>
    </font>
    <font>
      <b/>
      <sz val="9"/>
      <color indexed="81"/>
      <name val="Tahoma"/>
      <family val="2"/>
    </font>
    <font>
      <sz val="9"/>
      <color indexed="81"/>
      <name val="Tahoma"/>
      <family val="2"/>
    </font>
    <font>
      <sz val="10"/>
      <name val="游ゴシック"/>
      <family val="2"/>
      <charset val="128"/>
    </font>
    <font>
      <sz val="9"/>
      <name val="Arial"/>
      <family val="3"/>
    </font>
  </fonts>
  <fills count="17">
    <fill>
      <patternFill patternType="none"/>
    </fill>
    <fill>
      <patternFill patternType="gray125"/>
    </fill>
    <fill>
      <patternFill patternType="solid">
        <fgColor theme="4" tint="0.79998168889431442"/>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0"/>
        <bgColor indexed="64"/>
      </patternFill>
    </fill>
    <fill>
      <patternFill patternType="solid">
        <fgColor rgb="FFFFCCFF"/>
        <bgColor indexed="64"/>
      </patternFill>
    </fill>
    <fill>
      <patternFill patternType="solid">
        <fgColor rgb="FFFFFFCC"/>
        <bgColor indexed="64"/>
      </patternFill>
    </fill>
    <fill>
      <patternFill patternType="solid">
        <fgColor rgb="FFFFFF00"/>
        <bgColor indexed="64"/>
      </patternFill>
    </fill>
    <fill>
      <patternFill patternType="solid">
        <fgColor rgb="FFF0F0F0"/>
        <bgColor indexed="64"/>
      </patternFill>
    </fill>
    <fill>
      <patternFill patternType="solid">
        <fgColor indexed="13"/>
        <bgColor indexed="64"/>
      </patternFill>
    </fill>
    <fill>
      <patternFill patternType="solid">
        <fgColor rgb="FFFFC7CE"/>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bgColor indexed="64"/>
      </patternFill>
    </fill>
    <fill>
      <patternFill patternType="solid">
        <fgColor indexed="43"/>
        <bgColor indexed="64"/>
      </patternFill>
    </fill>
  </fills>
  <borders count="56">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style="medium">
        <color indexed="64"/>
      </right>
      <top/>
      <bottom/>
      <diagonal/>
    </border>
    <border>
      <left style="thin">
        <color indexed="64"/>
      </left>
      <right style="medium">
        <color indexed="64"/>
      </right>
      <top style="thin">
        <color indexed="64"/>
      </top>
      <bottom/>
      <diagonal/>
    </border>
  </borders>
  <cellStyleXfs count="21">
    <xf numFmtId="0" fontId="0" fillId="0" borderId="0">
      <alignment vertical="center"/>
    </xf>
    <xf numFmtId="0" fontId="3" fillId="0" borderId="0"/>
    <xf numFmtId="0" fontId="3" fillId="0" borderId="0">
      <alignment vertical="center"/>
    </xf>
    <xf numFmtId="0" fontId="7" fillId="0" borderId="0">
      <alignment vertical="center"/>
    </xf>
    <xf numFmtId="0" fontId="3" fillId="0" borderId="0">
      <alignment vertical="center"/>
    </xf>
    <xf numFmtId="0" fontId="3" fillId="0" borderId="0"/>
    <xf numFmtId="0" fontId="3" fillId="0" borderId="0"/>
    <xf numFmtId="0" fontId="9" fillId="0" borderId="0">
      <alignment vertical="center"/>
    </xf>
    <xf numFmtId="0" fontId="9" fillId="0" borderId="0">
      <alignment vertical="center"/>
    </xf>
    <xf numFmtId="0" fontId="12" fillId="0" borderId="0" applyNumberFormat="0" applyFill="0" applyBorder="0" applyAlignment="0" applyProtection="0">
      <alignment vertical="center"/>
    </xf>
    <xf numFmtId="0" fontId="2" fillId="0" borderId="0">
      <alignment vertical="center"/>
    </xf>
    <xf numFmtId="0" fontId="2" fillId="0" borderId="0">
      <alignment vertical="center"/>
    </xf>
    <xf numFmtId="0" fontId="14" fillId="0" borderId="0" applyNumberFormat="0" applyFill="0" applyBorder="0" applyAlignment="0" applyProtection="0">
      <alignment vertical="center"/>
    </xf>
    <xf numFmtId="0" fontId="16" fillId="11" borderId="0" applyNumberFormat="0" applyBorder="0" applyAlignment="0" applyProtection="0">
      <alignment vertical="center"/>
    </xf>
    <xf numFmtId="0" fontId="1" fillId="0" borderId="0">
      <alignment vertical="center"/>
    </xf>
    <xf numFmtId="0" fontId="1" fillId="0" borderId="0">
      <alignment vertical="center"/>
    </xf>
    <xf numFmtId="0" fontId="3" fillId="0" borderId="0"/>
    <xf numFmtId="0" fontId="3" fillId="0" borderId="0">
      <alignment vertical="center"/>
    </xf>
    <xf numFmtId="0" fontId="3" fillId="0" borderId="0">
      <alignment vertical="center"/>
    </xf>
    <xf numFmtId="0" fontId="1" fillId="0" borderId="0">
      <alignment vertical="center"/>
    </xf>
    <xf numFmtId="0" fontId="1" fillId="0" borderId="0">
      <alignment vertical="center"/>
    </xf>
  </cellStyleXfs>
  <cellXfs count="393">
    <xf numFmtId="0" fontId="0" fillId="0" borderId="0" xfId="0">
      <alignment vertical="center"/>
    </xf>
    <xf numFmtId="0" fontId="21" fillId="0" borderId="0" xfId="1" applyFont="1" applyAlignment="1">
      <alignment horizontal="left" vertical="top"/>
    </xf>
    <xf numFmtId="0" fontId="22" fillId="0" borderId="0" xfId="1" applyFont="1" applyAlignment="1">
      <alignment vertical="top"/>
    </xf>
    <xf numFmtId="0" fontId="21" fillId="0" borderId="0" xfId="1" applyFont="1" applyAlignment="1">
      <alignment vertical="top"/>
    </xf>
    <xf numFmtId="0" fontId="23" fillId="0" borderId="0" xfId="1" applyFont="1" applyAlignment="1">
      <alignment horizontal="left" vertical="top"/>
    </xf>
    <xf numFmtId="0" fontId="21" fillId="0" borderId="0" xfId="2" applyFont="1" applyAlignment="1">
      <alignment horizontal="right" vertical="top"/>
    </xf>
    <xf numFmtId="0" fontId="21" fillId="0" borderId="0" xfId="2" applyFont="1" applyAlignment="1">
      <alignment horizontal="left" vertical="top"/>
    </xf>
    <xf numFmtId="0" fontId="21" fillId="0" borderId="0" xfId="1" applyFont="1" applyAlignment="1">
      <alignment horizontal="left" vertical="top" wrapText="1"/>
    </xf>
    <xf numFmtId="0" fontId="21" fillId="10" borderId="0" xfId="1" applyFont="1" applyFill="1" applyAlignment="1">
      <alignment vertical="top" wrapText="1"/>
    </xf>
    <xf numFmtId="0" fontId="21" fillId="0" borderId="0" xfId="1" applyFont="1" applyAlignment="1">
      <alignment vertical="top" wrapText="1"/>
    </xf>
    <xf numFmtId="0" fontId="24" fillId="0" borderId="1" xfId="0" applyFont="1" applyBorder="1" applyAlignment="1">
      <alignment vertical="top"/>
    </xf>
    <xf numFmtId="0" fontId="21" fillId="0" borderId="0" xfId="2" applyFont="1" applyAlignment="1">
      <alignment horizontal="left" vertical="top" wrapText="1"/>
    </xf>
    <xf numFmtId="0" fontId="25" fillId="0" borderId="0" xfId="3" applyFont="1" applyAlignment="1">
      <alignment horizontal="left" vertical="top" wrapText="1"/>
    </xf>
    <xf numFmtId="0" fontId="22" fillId="0" borderId="0" xfId="1" applyFont="1" applyAlignment="1">
      <alignment horizontal="left" vertical="top" wrapText="1"/>
    </xf>
    <xf numFmtId="0" fontId="21" fillId="0" borderId="0" xfId="4" applyFont="1" applyAlignment="1">
      <alignment horizontal="left" vertical="top"/>
    </xf>
    <xf numFmtId="0" fontId="21" fillId="0" borderId="0" xfId="5" applyFont="1" applyAlignment="1">
      <alignment horizontal="left" vertical="top"/>
    </xf>
    <xf numFmtId="0" fontId="21" fillId="0" borderId="0" xfId="4" applyFont="1">
      <alignment vertical="center"/>
    </xf>
    <xf numFmtId="0" fontId="21" fillId="2" borderId="13" xfId="5" applyFont="1" applyFill="1" applyBorder="1" applyAlignment="1">
      <alignment horizontal="center" vertical="center" wrapText="1"/>
    </xf>
    <xf numFmtId="0" fontId="21" fillId="0" borderId="8" xfId="5" applyFont="1" applyBorder="1" applyAlignment="1">
      <alignment horizontal="left" vertical="top"/>
    </xf>
    <xf numFmtId="0" fontId="21" fillId="0" borderId="1" xfId="4" applyFont="1" applyBorder="1" applyAlignment="1" applyProtection="1">
      <alignment horizontal="left" vertical="top" wrapText="1"/>
      <protection locked="0"/>
    </xf>
    <xf numFmtId="0" fontId="21" fillId="0" borderId="1" xfId="4" applyFont="1" applyBorder="1" applyAlignment="1">
      <alignment horizontal="left" vertical="top"/>
    </xf>
    <xf numFmtId="0" fontId="21" fillId="0" borderId="0" xfId="4" applyFont="1" applyAlignment="1" applyProtection="1">
      <alignment horizontal="left" vertical="top" wrapText="1"/>
      <protection locked="0"/>
    </xf>
    <xf numFmtId="0" fontId="21" fillId="2" borderId="13" xfId="4" applyFont="1" applyFill="1" applyBorder="1" applyAlignment="1">
      <alignment horizontal="center" vertical="center" wrapText="1"/>
    </xf>
    <xf numFmtId="0" fontId="21" fillId="0" borderId="6" xfId="4" applyFont="1" applyBorder="1">
      <alignment vertical="center"/>
    </xf>
    <xf numFmtId="0" fontId="21" fillId="0" borderId="8" xfId="4" applyFont="1" applyBorder="1">
      <alignment vertical="center"/>
    </xf>
    <xf numFmtId="0" fontId="21" fillId="0" borderId="1" xfId="5" applyFont="1" applyBorder="1" applyAlignment="1">
      <alignment horizontal="left" vertical="top"/>
    </xf>
    <xf numFmtId="0" fontId="21" fillId="2" borderId="13" xfId="4" applyFont="1" applyFill="1" applyBorder="1" applyAlignment="1">
      <alignment horizontal="center" vertical="center" wrapText="1" shrinkToFit="1"/>
    </xf>
    <xf numFmtId="165" fontId="21" fillId="4" borderId="13" xfId="4" applyNumberFormat="1" applyFont="1" applyFill="1" applyBorder="1" applyAlignment="1" applyProtection="1">
      <alignment horizontal="center" vertical="center" shrinkToFit="1"/>
      <protection locked="0"/>
    </xf>
    <xf numFmtId="167" fontId="21" fillId="4" borderId="13" xfId="5" applyNumberFormat="1" applyFont="1" applyFill="1" applyBorder="1" applyAlignment="1" applyProtection="1">
      <alignment horizontal="center" vertical="center" shrinkToFit="1"/>
      <protection locked="0"/>
    </xf>
    <xf numFmtId="0" fontId="21" fillId="0" borderId="0" xfId="4" applyFont="1" applyAlignment="1">
      <alignment vertical="center" wrapText="1"/>
    </xf>
    <xf numFmtId="0" fontId="21" fillId="2" borderId="13" xfId="5" applyFont="1" applyFill="1" applyBorder="1" applyAlignment="1" applyProtection="1">
      <alignment horizontal="center" vertical="center"/>
      <protection locked="0"/>
    </xf>
    <xf numFmtId="0" fontId="21" fillId="0" borderId="13" xfId="5" applyFont="1" applyBorder="1" applyAlignment="1" applyProtection="1">
      <alignment horizontal="center" vertical="center" wrapText="1"/>
      <protection locked="0"/>
    </xf>
    <xf numFmtId="49" fontId="21" fillId="0" borderId="13" xfId="5" applyNumberFormat="1" applyFont="1" applyBorder="1" applyAlignment="1" applyProtection="1">
      <alignment horizontal="center" vertical="center" wrapText="1"/>
      <protection locked="0"/>
    </xf>
    <xf numFmtId="0" fontId="21" fillId="0" borderId="13" xfId="4" applyFont="1" applyBorder="1" applyAlignment="1">
      <alignment horizontal="center" vertical="center" wrapText="1"/>
    </xf>
    <xf numFmtId="14" fontId="21" fillId="0" borderId="13" xfId="4" applyNumberFormat="1" applyFont="1" applyBorder="1" applyAlignment="1">
      <alignment vertical="center" wrapText="1" shrinkToFit="1"/>
    </xf>
    <xf numFmtId="0" fontId="21" fillId="3" borderId="0" xfId="5" applyFont="1" applyFill="1" applyAlignment="1" applyProtection="1">
      <alignment horizontal="center" vertical="center"/>
      <protection locked="0"/>
    </xf>
    <xf numFmtId="0" fontId="21" fillId="3" borderId="0" xfId="5" applyFont="1" applyFill="1" applyAlignment="1" applyProtection="1">
      <alignment horizontal="center" vertical="center" wrapText="1"/>
      <protection locked="0"/>
    </xf>
    <xf numFmtId="49" fontId="21" fillId="3" borderId="0" xfId="5" applyNumberFormat="1" applyFont="1" applyFill="1" applyAlignment="1" applyProtection="1">
      <alignment horizontal="center" vertical="center" wrapText="1"/>
      <protection locked="0"/>
    </xf>
    <xf numFmtId="0" fontId="21" fillId="3" borderId="0" xfId="4" applyFont="1" applyFill="1" applyAlignment="1">
      <alignment horizontal="center" vertical="center" wrapText="1"/>
    </xf>
    <xf numFmtId="0" fontId="21" fillId="3" borderId="0" xfId="4" applyFont="1" applyFill="1" applyAlignment="1">
      <alignment vertical="center" wrapText="1"/>
    </xf>
    <xf numFmtId="0" fontId="21" fillId="3" borderId="0" xfId="4" applyFont="1" applyFill="1">
      <alignment vertical="center"/>
    </xf>
    <xf numFmtId="0" fontId="21" fillId="0" borderId="0" xfId="4" applyFont="1" applyProtection="1">
      <alignment vertical="center"/>
      <protection locked="0"/>
    </xf>
    <xf numFmtId="0" fontId="21" fillId="0" borderId="0" xfId="4" applyFont="1" applyAlignment="1" applyProtection="1">
      <alignment vertical="top"/>
      <protection locked="0"/>
    </xf>
    <xf numFmtId="0" fontId="21" fillId="0" borderId="0" xfId="6" applyFont="1" applyAlignment="1">
      <alignment vertical="top"/>
    </xf>
    <xf numFmtId="0" fontId="21" fillId="9" borderId="13" xfId="4" applyFont="1" applyFill="1" applyBorder="1" applyAlignment="1" applyProtection="1">
      <alignment horizontal="center" vertical="center" shrinkToFit="1"/>
      <protection locked="0"/>
    </xf>
    <xf numFmtId="165" fontId="21" fillId="9" borderId="13" xfId="4" applyNumberFormat="1" applyFont="1" applyFill="1" applyBorder="1" applyAlignment="1" applyProtection="1">
      <alignment horizontal="center" vertical="center" shrinkToFit="1"/>
      <protection locked="0"/>
    </xf>
    <xf numFmtId="0" fontId="31" fillId="8" borderId="13" xfId="9" applyFont="1" applyFill="1" applyBorder="1" applyAlignment="1">
      <alignment horizontal="center" vertical="center" wrapText="1" shrinkToFit="1"/>
    </xf>
    <xf numFmtId="0" fontId="21" fillId="0" borderId="0" xfId="13" applyFont="1" applyFill="1" applyAlignment="1">
      <alignment vertical="center" wrapText="1"/>
    </xf>
    <xf numFmtId="0" fontId="32" fillId="0" borderId="0" xfId="12" applyFont="1" applyAlignment="1">
      <alignment vertical="center" wrapText="1"/>
    </xf>
    <xf numFmtId="0" fontId="25" fillId="8" borderId="13" xfId="14" applyFont="1" applyFill="1" applyBorder="1" applyAlignment="1">
      <alignment horizontal="center" vertical="center" shrinkToFit="1"/>
    </xf>
    <xf numFmtId="0" fontId="25" fillId="8" borderId="13" xfId="14" applyFont="1" applyFill="1" applyBorder="1" applyAlignment="1">
      <alignment horizontal="center" vertical="center" wrapText="1"/>
    </xf>
    <xf numFmtId="0" fontId="25" fillId="8" borderId="13" xfId="14" applyFont="1" applyFill="1" applyBorder="1">
      <alignment vertical="center"/>
    </xf>
    <xf numFmtId="0" fontId="25" fillId="0" borderId="0" xfId="14" applyFont="1">
      <alignment vertical="center"/>
    </xf>
    <xf numFmtId="0" fontId="25" fillId="0" borderId="0" xfId="14" applyFont="1" applyAlignment="1">
      <alignment horizontal="center" vertical="center" shrinkToFit="1"/>
    </xf>
    <xf numFmtId="0" fontId="25" fillId="0" borderId="0" xfId="14" applyFont="1" applyAlignment="1">
      <alignment horizontal="center" vertical="center" wrapText="1"/>
    </xf>
    <xf numFmtId="0" fontId="25" fillId="0" borderId="0" xfId="14" applyFont="1" applyAlignment="1">
      <alignment vertical="center" wrapText="1"/>
    </xf>
    <xf numFmtId="0" fontId="25" fillId="0" borderId="0" xfId="15" applyFont="1" applyAlignment="1">
      <alignment vertical="center" wrapText="1"/>
    </xf>
    <xf numFmtId="0" fontId="21" fillId="0" borderId="0" xfId="15" applyFont="1" applyAlignment="1">
      <alignment vertical="center" wrapText="1"/>
    </xf>
    <xf numFmtId="0" fontId="21" fillId="0" borderId="0" xfId="14" applyFont="1" applyAlignment="1">
      <alignment horizontal="center" vertical="center" shrinkToFit="1"/>
    </xf>
    <xf numFmtId="0" fontId="21" fillId="0" borderId="0" xfId="15" applyFont="1" applyAlignment="1">
      <alignment horizontal="center" vertical="center" wrapText="1"/>
    </xf>
    <xf numFmtId="0" fontId="21" fillId="0" borderId="0" xfId="14" applyFont="1" applyAlignment="1">
      <alignment horizontal="center" vertical="center" wrapText="1"/>
    </xf>
    <xf numFmtId="0" fontId="21" fillId="0" borderId="0" xfId="14" applyFont="1" applyAlignment="1">
      <alignment vertical="center" wrapText="1"/>
    </xf>
    <xf numFmtId="0" fontId="14" fillId="0" borderId="0" xfId="12" applyAlignment="1">
      <alignment vertical="center" wrapText="1"/>
    </xf>
    <xf numFmtId="0" fontId="34" fillId="0" borderId="0" xfId="14" applyFont="1" applyAlignment="1">
      <alignment vertical="center" wrapText="1"/>
    </xf>
    <xf numFmtId="0" fontId="21" fillId="0" borderId="0" xfId="4" applyFont="1" applyAlignment="1">
      <alignment horizontal="center" vertical="center"/>
    </xf>
    <xf numFmtId="0" fontId="21" fillId="0" borderId="0" xfId="16" applyFont="1" applyBorder="1" applyAlignment="1">
      <alignment wrapText="1"/>
    </xf>
    <xf numFmtId="0" fontId="21" fillId="0" borderId="0" xfId="16" applyFont="1" applyBorder="1" applyAlignment="1">
      <alignment vertical="center" wrapText="1"/>
    </xf>
    <xf numFmtId="0" fontId="21" fillId="0" borderId="0" xfId="16" applyFont="1" applyAlignment="1">
      <alignment wrapText="1"/>
    </xf>
    <xf numFmtId="168" fontId="21" fillId="0" borderId="0" xfId="4" applyNumberFormat="1" applyFont="1">
      <alignment vertical="center"/>
    </xf>
    <xf numFmtId="0" fontId="21" fillId="0" borderId="0" xfId="16" applyFont="1"/>
    <xf numFmtId="0" fontId="21" fillId="0" borderId="0" xfId="4" applyFont="1" applyBorder="1">
      <alignment vertical="center"/>
    </xf>
    <xf numFmtId="0" fontId="21" fillId="0" borderId="0" xfId="16" applyFont="1" applyBorder="1" applyAlignment="1">
      <alignment vertical="center"/>
    </xf>
    <xf numFmtId="168" fontId="21" fillId="0" borderId="0" xfId="4" applyNumberFormat="1" applyFont="1" applyBorder="1">
      <alignment vertical="center"/>
    </xf>
    <xf numFmtId="0" fontId="21" fillId="0" borderId="0" xfId="16" applyFont="1" applyBorder="1" applyAlignment="1">
      <alignment horizontal="left"/>
    </xf>
    <xf numFmtId="0" fontId="21" fillId="0" borderId="0" xfId="4" applyFont="1" applyBorder="1" applyAlignment="1">
      <alignment horizontal="left"/>
    </xf>
    <xf numFmtId="168" fontId="21" fillId="0" borderId="0" xfId="4" applyNumberFormat="1" applyFont="1" applyBorder="1" applyAlignment="1">
      <alignment horizontal="left"/>
    </xf>
    <xf numFmtId="0" fontId="21" fillId="0" borderId="34" xfId="4" applyNumberFormat="1" applyFont="1" applyBorder="1" applyAlignment="1">
      <alignment horizontal="center" vertical="center"/>
    </xf>
    <xf numFmtId="0" fontId="21" fillId="0" borderId="36" xfId="4" applyFont="1" applyBorder="1" applyAlignment="1">
      <alignment horizontal="center" vertical="center"/>
    </xf>
    <xf numFmtId="0" fontId="21" fillId="0" borderId="34" xfId="4" applyFont="1" applyBorder="1" applyAlignment="1">
      <alignment horizontal="center" vertical="center"/>
    </xf>
    <xf numFmtId="0" fontId="21" fillId="0" borderId="37" xfId="4" applyFont="1" applyBorder="1">
      <alignment vertical="center"/>
    </xf>
    <xf numFmtId="0" fontId="21" fillId="0" borderId="36" xfId="4" applyFont="1" applyBorder="1">
      <alignment vertical="center"/>
    </xf>
    <xf numFmtId="0" fontId="37" fillId="0" borderId="0" xfId="18" applyFont="1" applyAlignment="1">
      <alignment vertical="center"/>
    </xf>
    <xf numFmtId="0" fontId="21" fillId="16" borderId="21" xfId="16" applyFont="1" applyFill="1" applyBorder="1" applyAlignment="1">
      <alignment vertical="center" wrapText="1"/>
    </xf>
    <xf numFmtId="0" fontId="21" fillId="12" borderId="25" xfId="18" applyFont="1" applyFill="1" applyBorder="1" applyAlignment="1">
      <alignment horizontal="center" vertical="center" wrapText="1"/>
    </xf>
    <xf numFmtId="0" fontId="21" fillId="10" borderId="27" xfId="18" applyFont="1" applyFill="1" applyBorder="1" applyAlignment="1">
      <alignment horizontal="center" vertical="center"/>
    </xf>
    <xf numFmtId="0" fontId="21" fillId="12" borderId="25" xfId="18" applyFont="1" applyFill="1" applyBorder="1" applyAlignment="1">
      <alignment horizontal="center" vertical="center"/>
    </xf>
    <xf numFmtId="168" fontId="21" fillId="12" borderId="28" xfId="18" applyNumberFormat="1" applyFont="1" applyFill="1" applyBorder="1" applyAlignment="1">
      <alignment horizontal="center" vertical="center"/>
    </xf>
    <xf numFmtId="0" fontId="21" fillId="12" borderId="29" xfId="18" applyFont="1" applyFill="1" applyBorder="1" applyAlignment="1">
      <alignment horizontal="center" vertical="center"/>
    </xf>
    <xf numFmtId="0" fontId="21" fillId="13" borderId="25" xfId="18" applyFont="1" applyFill="1" applyBorder="1" applyAlignment="1">
      <alignment horizontal="center" vertical="center"/>
    </xf>
    <xf numFmtId="168" fontId="21" fillId="13" borderId="28" xfId="18" applyNumberFormat="1" applyFont="1" applyFill="1" applyBorder="1" applyAlignment="1">
      <alignment horizontal="center" vertical="center"/>
    </xf>
    <xf numFmtId="0" fontId="21" fillId="13" borderId="29" xfId="18" applyFont="1" applyFill="1" applyBorder="1" applyAlignment="1">
      <alignment horizontal="center" vertical="center"/>
    </xf>
    <xf numFmtId="169" fontId="21" fillId="0" borderId="13" xfId="18" applyNumberFormat="1" applyFont="1" applyBorder="1" applyAlignment="1">
      <alignment horizontal="center" vertical="center"/>
    </xf>
    <xf numFmtId="49" fontId="37" fillId="15" borderId="43" xfId="18" applyNumberFormat="1" applyFont="1" applyFill="1" applyBorder="1" applyAlignment="1">
      <alignment vertical="center"/>
    </xf>
    <xf numFmtId="0" fontId="21" fillId="15" borderId="3" xfId="18" applyFont="1" applyFill="1" applyBorder="1" applyAlignment="1">
      <alignment vertical="center" wrapText="1"/>
    </xf>
    <xf numFmtId="0" fontId="21" fillId="15" borderId="3" xfId="18" applyFont="1" applyFill="1" applyBorder="1" applyAlignment="1">
      <alignment vertical="center"/>
    </xf>
    <xf numFmtId="0" fontId="21" fillId="15" borderId="35" xfId="18" applyFont="1" applyFill="1" applyBorder="1" applyAlignment="1">
      <alignment vertical="center"/>
    </xf>
    <xf numFmtId="0" fontId="21" fillId="12" borderId="39" xfId="18" applyFont="1" applyFill="1" applyBorder="1" applyAlignment="1">
      <alignment horizontal="center" vertical="center" wrapText="1"/>
    </xf>
    <xf numFmtId="0" fontId="21" fillId="12" borderId="42" xfId="18" applyFont="1" applyFill="1" applyBorder="1" applyAlignment="1">
      <alignment horizontal="center" vertical="center" wrapText="1"/>
    </xf>
    <xf numFmtId="0" fontId="21" fillId="0" borderId="34" xfId="18" applyFont="1" applyBorder="1" applyAlignment="1">
      <alignment horizontal="center" vertical="center"/>
    </xf>
    <xf numFmtId="0" fontId="21" fillId="0" borderId="13" xfId="18" applyFont="1" applyBorder="1" applyAlignment="1">
      <alignment horizontal="center" vertical="center"/>
    </xf>
    <xf numFmtId="0" fontId="21" fillId="0" borderId="38" xfId="18" applyFont="1" applyBorder="1" applyAlignment="1">
      <alignment horizontal="center" vertical="center"/>
    </xf>
    <xf numFmtId="0" fontId="21" fillId="0" borderId="5" xfId="18" applyFont="1" applyBorder="1" applyAlignment="1">
      <alignment horizontal="center" vertical="center"/>
    </xf>
    <xf numFmtId="0" fontId="21" fillId="0" borderId="44" xfId="18" applyFont="1" applyBorder="1" applyAlignment="1">
      <alignment horizontal="center" vertical="center"/>
    </xf>
    <xf numFmtId="0" fontId="21" fillId="0" borderId="47" xfId="18" applyFont="1" applyBorder="1" applyAlignment="1">
      <alignment horizontal="center" vertical="center"/>
    </xf>
    <xf numFmtId="0" fontId="21" fillId="0" borderId="0" xfId="18" applyFont="1">
      <alignment vertical="center"/>
    </xf>
    <xf numFmtId="0" fontId="21" fillId="0" borderId="0" xfId="18" applyFont="1" applyAlignment="1">
      <alignment vertical="center" wrapText="1"/>
    </xf>
    <xf numFmtId="0" fontId="21" fillId="0" borderId="0" xfId="18" applyFont="1" applyAlignment="1">
      <alignment horizontal="center" vertical="center"/>
    </xf>
    <xf numFmtId="168" fontId="21" fillId="0" borderId="0" xfId="18" applyNumberFormat="1" applyFont="1">
      <alignment vertical="center"/>
    </xf>
    <xf numFmtId="0" fontId="21" fillId="0" borderId="0" xfId="18" applyFont="1" applyAlignment="1">
      <alignment horizontal="right" vertical="center"/>
    </xf>
    <xf numFmtId="0" fontId="21" fillId="5" borderId="34" xfId="4" applyNumberFormat="1" applyFont="1" applyFill="1" applyBorder="1" applyAlignment="1">
      <alignment horizontal="center" vertical="center"/>
    </xf>
    <xf numFmtId="0" fontId="21" fillId="14" borderId="34" xfId="4" applyNumberFormat="1" applyFont="1" applyFill="1" applyBorder="1" applyAlignment="1">
      <alignment horizontal="center" vertical="center"/>
    </xf>
    <xf numFmtId="0" fontId="21" fillId="0" borderId="34" xfId="4" applyNumberFormat="1" applyFont="1" applyFill="1" applyBorder="1" applyAlignment="1">
      <alignment horizontal="center" vertical="center"/>
    </xf>
    <xf numFmtId="0" fontId="21" fillId="0" borderId="44" xfId="4" applyFont="1" applyBorder="1" applyAlignment="1">
      <alignment horizontal="center" vertical="center"/>
    </xf>
    <xf numFmtId="0" fontId="21" fillId="0" borderId="50" xfId="4" applyFont="1" applyBorder="1" applyAlignment="1">
      <alignment horizontal="center" vertical="center"/>
    </xf>
    <xf numFmtId="0" fontId="21" fillId="0" borderId="50" xfId="4" applyFont="1" applyBorder="1">
      <alignment vertical="center"/>
    </xf>
    <xf numFmtId="0" fontId="21" fillId="6" borderId="13" xfId="4" applyFont="1" applyFill="1" applyBorder="1" applyAlignment="1">
      <alignment horizontal="center" vertical="center" wrapText="1" shrinkToFit="1"/>
    </xf>
    <xf numFmtId="0" fontId="21" fillId="4" borderId="13" xfId="4" applyFont="1" applyFill="1" applyBorder="1">
      <alignment vertical="center"/>
    </xf>
    <xf numFmtId="171" fontId="21" fillId="4" borderId="13" xfId="4" applyNumberFormat="1" applyFont="1" applyFill="1" applyBorder="1">
      <alignment vertical="center"/>
    </xf>
    <xf numFmtId="0" fontId="21" fillId="0" borderId="13" xfId="5" applyFont="1" applyBorder="1" applyAlignment="1" applyProtection="1">
      <alignment horizontal="center" vertical="center"/>
      <protection locked="0"/>
    </xf>
    <xf numFmtId="49" fontId="21" fillId="0" borderId="13" xfId="5" quotePrefix="1" applyNumberFormat="1" applyFont="1" applyBorder="1" applyAlignment="1" applyProtection="1">
      <alignment horizontal="left" vertical="center" wrapText="1"/>
      <protection locked="0"/>
    </xf>
    <xf numFmtId="169" fontId="21" fillId="0" borderId="47" xfId="18" applyNumberFormat="1" applyFont="1" applyBorder="1" applyAlignment="1">
      <alignment horizontal="center" vertical="center"/>
    </xf>
    <xf numFmtId="0" fontId="21" fillId="0" borderId="51" xfId="4" applyFont="1" applyBorder="1">
      <alignment vertical="center"/>
    </xf>
    <xf numFmtId="0" fontId="24" fillId="0" borderId="0" xfId="19" applyFont="1">
      <alignment vertical="center"/>
    </xf>
    <xf numFmtId="0" fontId="30" fillId="0" borderId="0" xfId="19" applyFont="1">
      <alignment vertical="center"/>
    </xf>
    <xf numFmtId="0" fontId="24" fillId="0" borderId="0" xfId="19" applyFont="1" applyAlignment="1">
      <alignment vertical="center" shrinkToFit="1"/>
    </xf>
    <xf numFmtId="0" fontId="24" fillId="0" borderId="0" xfId="19" applyFont="1" applyAlignment="1">
      <alignment horizontal="left" vertical="center" indent="1"/>
    </xf>
    <xf numFmtId="0" fontId="29" fillId="0" borderId="0" xfId="19" applyFont="1">
      <alignment vertical="center"/>
    </xf>
    <xf numFmtId="0" fontId="24" fillId="0" borderId="0" xfId="20" applyFont="1">
      <alignment vertical="center"/>
    </xf>
    <xf numFmtId="0" fontId="29" fillId="7" borderId="13" xfId="19" applyFont="1" applyFill="1" applyBorder="1" applyAlignment="1">
      <alignment horizontal="center" vertical="center" wrapText="1"/>
    </xf>
    <xf numFmtId="0" fontId="29" fillId="7" borderId="13" xfId="19" applyFont="1" applyFill="1" applyBorder="1" applyAlignment="1">
      <alignment horizontal="center" vertical="center"/>
    </xf>
    <xf numFmtId="49" fontId="25" fillId="0" borderId="13" xfId="19" applyNumberFormat="1" applyFont="1" applyBorder="1" applyAlignment="1">
      <alignment horizontal="left" vertical="top" wrapText="1"/>
    </xf>
    <xf numFmtId="49" fontId="25" fillId="0" borderId="13" xfId="20" applyNumberFormat="1" applyFont="1" applyBorder="1" applyAlignment="1">
      <alignment horizontal="left" vertical="top" wrapText="1"/>
    </xf>
    <xf numFmtId="49" fontId="35" fillId="0" borderId="13" xfId="20" applyNumberFormat="1" applyFont="1" applyBorder="1" applyAlignment="1">
      <alignment horizontal="left" vertical="top" wrapText="1"/>
    </xf>
    <xf numFmtId="49" fontId="19" fillId="0" borderId="13" xfId="20" applyNumberFormat="1" applyFont="1" applyBorder="1" applyAlignment="1">
      <alignment horizontal="left" vertical="top" wrapText="1"/>
    </xf>
    <xf numFmtId="0" fontId="24" fillId="0" borderId="13" xfId="19" applyFont="1" applyBorder="1" applyAlignment="1">
      <alignment horizontal="left" vertical="top"/>
    </xf>
    <xf numFmtId="170" fontId="21" fillId="16" borderId="21" xfId="16" applyNumberFormat="1" applyFont="1" applyFill="1" applyBorder="1" applyAlignment="1">
      <alignment horizontal="left" vertical="center" wrapText="1"/>
    </xf>
    <xf numFmtId="0" fontId="21" fillId="0" borderId="52" xfId="4" applyFont="1" applyBorder="1" applyAlignment="1">
      <alignment horizontal="center" vertical="center"/>
    </xf>
    <xf numFmtId="0" fontId="21" fillId="0" borderId="54" xfId="4" applyFont="1" applyBorder="1" applyAlignment="1">
      <alignment horizontal="center" vertical="center"/>
    </xf>
    <xf numFmtId="169" fontId="21" fillId="0" borderId="5" xfId="18" applyNumberFormat="1" applyFont="1" applyBorder="1" applyAlignment="1">
      <alignment horizontal="center" vertical="center"/>
    </xf>
    <xf numFmtId="0" fontId="21" fillId="0" borderId="55" xfId="4" applyFont="1" applyBorder="1">
      <alignment vertical="center"/>
    </xf>
    <xf numFmtId="0" fontId="21" fillId="0" borderId="54" xfId="4" applyFont="1" applyBorder="1">
      <alignment vertical="center"/>
    </xf>
    <xf numFmtId="0" fontId="21" fillId="0" borderId="44" xfId="4" applyFont="1" applyFill="1" applyBorder="1" applyAlignment="1">
      <alignment horizontal="center" vertical="center"/>
    </xf>
    <xf numFmtId="49" fontId="21" fillId="0" borderId="13" xfId="5" quotePrefix="1" applyNumberFormat="1" applyFont="1" applyBorder="1" applyAlignment="1" applyProtection="1">
      <alignment horizontal="center" vertical="center" wrapText="1"/>
      <protection locked="0"/>
    </xf>
    <xf numFmtId="0" fontId="21" fillId="0" borderId="13" xfId="5" applyFont="1" applyBorder="1" applyAlignment="1" applyProtection="1">
      <alignment horizontal="left" vertical="center" wrapText="1"/>
      <protection locked="0"/>
    </xf>
    <xf numFmtId="14" fontId="21" fillId="0" borderId="13" xfId="4" applyNumberFormat="1" applyFont="1" applyBorder="1" applyAlignment="1">
      <alignment horizontal="center" vertical="center" wrapText="1"/>
    </xf>
    <xf numFmtId="14" fontId="21" fillId="0" borderId="13" xfId="5" applyNumberFormat="1" applyFont="1" applyBorder="1" applyAlignment="1" applyProtection="1">
      <alignment horizontal="center" vertical="center" wrapText="1"/>
      <protection locked="0"/>
    </xf>
    <xf numFmtId="0" fontId="21" fillId="0" borderId="13" xfId="4" applyFont="1" applyBorder="1" applyAlignment="1">
      <alignment horizontal="left" vertical="center" wrapText="1"/>
    </xf>
    <xf numFmtId="0" fontId="21" fillId="0" borderId="2" xfId="5" applyFont="1" applyBorder="1" applyAlignment="1" applyProtection="1">
      <alignment horizontal="left" vertical="center" wrapText="1"/>
      <protection locked="0"/>
    </xf>
    <xf numFmtId="0" fontId="21" fillId="0" borderId="3" xfId="5" applyFont="1" applyBorder="1" applyAlignment="1" applyProtection="1">
      <alignment horizontal="left" vertical="center" wrapText="1"/>
      <protection locked="0"/>
    </xf>
    <xf numFmtId="0" fontId="21" fillId="0" borderId="4" xfId="5" applyFont="1" applyBorder="1" applyAlignment="1" applyProtection="1">
      <alignment horizontal="left" vertical="center" wrapText="1"/>
      <protection locked="0"/>
    </xf>
    <xf numFmtId="14" fontId="21" fillId="0" borderId="2" xfId="4" applyNumberFormat="1" applyFont="1" applyBorder="1" applyAlignment="1">
      <alignment horizontal="center" vertical="center" wrapText="1"/>
    </xf>
    <xf numFmtId="14" fontId="21" fillId="0" borderId="4" xfId="4" applyNumberFormat="1" applyFont="1" applyBorder="1" applyAlignment="1">
      <alignment horizontal="center" vertical="center" wrapText="1"/>
    </xf>
    <xf numFmtId="0" fontId="21" fillId="0" borderId="2" xfId="4" applyFont="1" applyBorder="1" applyAlignment="1">
      <alignment horizontal="left" vertical="center" wrapText="1"/>
    </xf>
    <xf numFmtId="0" fontId="21" fillId="0" borderId="3" xfId="4" applyFont="1" applyBorder="1" applyAlignment="1">
      <alignment horizontal="left" vertical="center" wrapText="1"/>
    </xf>
    <xf numFmtId="0" fontId="21" fillId="0" borderId="4" xfId="4" applyFont="1" applyBorder="1" applyAlignment="1">
      <alignment horizontal="left" vertical="center" wrapText="1"/>
    </xf>
    <xf numFmtId="0" fontId="21" fillId="2" borderId="13" xfId="4" applyFont="1" applyFill="1" applyBorder="1" applyAlignment="1">
      <alignment horizontal="center" vertical="center" wrapText="1"/>
    </xf>
    <xf numFmtId="0" fontId="21" fillId="2" borderId="13" xfId="4" applyFont="1" applyFill="1" applyBorder="1" applyAlignment="1">
      <alignment horizontal="center" vertical="center"/>
    </xf>
    <xf numFmtId="0" fontId="21" fillId="0" borderId="13" xfId="4" applyFont="1" applyBorder="1" applyAlignment="1">
      <alignment horizontal="left" vertical="center"/>
    </xf>
    <xf numFmtId="0" fontId="21" fillId="3" borderId="0" xfId="5" applyFont="1" applyFill="1" applyAlignment="1" applyProtection="1">
      <alignment horizontal="left" vertical="center" wrapText="1"/>
      <protection locked="0"/>
    </xf>
    <xf numFmtId="0" fontId="21" fillId="2" borderId="13" xfId="4" applyFont="1" applyFill="1" applyBorder="1" applyAlignment="1" applyProtection="1">
      <alignment horizontal="center" vertical="center" wrapText="1" shrinkToFit="1"/>
      <protection locked="0"/>
    </xf>
    <xf numFmtId="0" fontId="21" fillId="2" borderId="13" xfId="4" applyFont="1" applyFill="1" applyBorder="1" applyAlignment="1" applyProtection="1">
      <alignment horizontal="center" vertical="center" shrinkToFit="1"/>
      <protection locked="0"/>
    </xf>
    <xf numFmtId="0" fontId="21" fillId="0" borderId="13" xfId="4" applyFont="1" applyBorder="1" applyAlignment="1" applyProtection="1">
      <alignment horizontal="left" vertical="center" wrapText="1" shrinkToFit="1"/>
      <protection locked="0"/>
    </xf>
    <xf numFmtId="0" fontId="21" fillId="2" borderId="2" xfId="4" applyFont="1" applyFill="1" applyBorder="1" applyAlignment="1">
      <alignment horizontal="center" vertical="center" wrapText="1"/>
    </xf>
    <xf numFmtId="0" fontId="21" fillId="2" borderId="3" xfId="4" applyFont="1" applyFill="1" applyBorder="1" applyAlignment="1">
      <alignment horizontal="center" vertical="center"/>
    </xf>
    <xf numFmtId="0" fontId="21" fillId="2" borderId="4" xfId="4" applyFont="1" applyFill="1" applyBorder="1" applyAlignment="1">
      <alignment horizontal="center" vertical="center"/>
    </xf>
    <xf numFmtId="0" fontId="21" fillId="2" borderId="2" xfId="4" applyFont="1" applyFill="1" applyBorder="1" applyAlignment="1">
      <alignment horizontal="center" vertical="center"/>
    </xf>
    <xf numFmtId="0" fontId="21" fillId="9" borderId="2" xfId="5" applyFont="1" applyFill="1" applyBorder="1" applyAlignment="1" applyProtection="1">
      <alignment vertical="center" wrapText="1"/>
      <protection locked="0"/>
    </xf>
    <xf numFmtId="0" fontId="21" fillId="9" borderId="3" xfId="5" applyFont="1" applyFill="1" applyBorder="1" applyAlignment="1" applyProtection="1">
      <alignment vertical="center" wrapText="1"/>
      <protection locked="0"/>
    </xf>
    <xf numFmtId="0" fontId="21" fillId="9" borderId="4" xfId="5" applyFont="1" applyFill="1" applyBorder="1" applyAlignment="1" applyProtection="1">
      <alignment vertical="center" wrapText="1"/>
      <protection locked="0"/>
    </xf>
    <xf numFmtId="0" fontId="21" fillId="9" borderId="2" xfId="4" applyFont="1" applyFill="1" applyBorder="1" applyAlignment="1" applyProtection="1">
      <alignment vertical="center" wrapText="1" shrinkToFit="1"/>
      <protection locked="0"/>
    </xf>
    <xf numFmtId="0" fontId="21" fillId="9" borderId="3" xfId="4" applyFont="1" applyFill="1" applyBorder="1" applyAlignment="1" applyProtection="1">
      <alignment vertical="center" wrapText="1" shrinkToFit="1"/>
      <protection locked="0"/>
    </xf>
    <xf numFmtId="0" fontId="21" fillId="9" borderId="4" xfId="4" applyFont="1" applyFill="1" applyBorder="1" applyAlignment="1" applyProtection="1">
      <alignment vertical="center" wrapText="1" shrinkToFit="1"/>
      <protection locked="0"/>
    </xf>
    <xf numFmtId="0" fontId="21" fillId="9" borderId="2" xfId="4" applyFont="1" applyFill="1" applyBorder="1" applyAlignment="1" applyProtection="1">
      <alignment vertical="center" shrinkToFit="1"/>
      <protection locked="0"/>
    </xf>
    <xf numFmtId="0" fontId="21" fillId="9" borderId="4" xfId="4" applyFont="1" applyFill="1" applyBorder="1" applyAlignment="1" applyProtection="1">
      <alignment vertical="center" shrinkToFit="1"/>
      <protection locked="0"/>
    </xf>
    <xf numFmtId="0" fontId="21" fillId="2" borderId="6" xfId="4" applyFont="1" applyFill="1" applyBorder="1" applyAlignment="1">
      <alignment horizontal="center" vertical="center" wrapText="1"/>
    </xf>
    <xf numFmtId="0" fontId="21" fillId="2" borderId="8" xfId="4" applyFont="1" applyFill="1" applyBorder="1" applyAlignment="1">
      <alignment horizontal="center" vertical="center"/>
    </xf>
    <xf numFmtId="0" fontId="21" fillId="2" borderId="7" xfId="4" applyFont="1" applyFill="1" applyBorder="1" applyAlignment="1">
      <alignment horizontal="center" vertical="center"/>
    </xf>
    <xf numFmtId="0" fontId="21" fillId="2" borderId="9" xfId="4" applyFont="1" applyFill="1" applyBorder="1" applyAlignment="1">
      <alignment horizontal="center" vertical="center"/>
    </xf>
    <xf numFmtId="0" fontId="21" fillId="2" borderId="1" xfId="4" applyFont="1" applyFill="1" applyBorder="1" applyAlignment="1">
      <alignment horizontal="center" vertical="center"/>
    </xf>
    <xf numFmtId="0" fontId="21" fillId="2" borderId="10" xfId="4" applyFont="1" applyFill="1" applyBorder="1" applyAlignment="1">
      <alignment horizontal="center" vertical="center"/>
    </xf>
    <xf numFmtId="0" fontId="21" fillId="6" borderId="2" xfId="4" applyFont="1" applyFill="1" applyBorder="1" applyAlignment="1">
      <alignment horizontal="center" vertical="center" wrapText="1"/>
    </xf>
    <xf numFmtId="0" fontId="21" fillId="6" borderId="3" xfId="4" applyFont="1" applyFill="1" applyBorder="1" applyAlignment="1">
      <alignment horizontal="center" vertical="center" wrapText="1"/>
    </xf>
    <xf numFmtId="0" fontId="21" fillId="6" borderId="4" xfId="4" applyFont="1" applyFill="1" applyBorder="1" applyAlignment="1">
      <alignment horizontal="center" vertical="center" wrapText="1"/>
    </xf>
    <xf numFmtId="0" fontId="21" fillId="2" borderId="6" xfId="4" applyFont="1" applyFill="1" applyBorder="1" applyAlignment="1">
      <alignment horizontal="center" vertical="center" shrinkToFit="1"/>
    </xf>
    <xf numFmtId="0" fontId="21" fillId="2" borderId="8" xfId="4" applyFont="1" applyFill="1" applyBorder="1" applyAlignment="1">
      <alignment horizontal="center" vertical="center" shrinkToFit="1"/>
    </xf>
    <xf numFmtId="0" fontId="21" fillId="2" borderId="7" xfId="4" applyFont="1" applyFill="1" applyBorder="1" applyAlignment="1">
      <alignment horizontal="center" vertical="center" shrinkToFit="1"/>
    </xf>
    <xf numFmtId="0" fontId="21" fillId="2" borderId="9" xfId="4" applyFont="1" applyFill="1" applyBorder="1" applyAlignment="1">
      <alignment horizontal="center" vertical="center" shrinkToFit="1"/>
    </xf>
    <xf numFmtId="0" fontId="21" fillId="2" borderId="1" xfId="4" applyFont="1" applyFill="1" applyBorder="1" applyAlignment="1">
      <alignment horizontal="center" vertical="center" shrinkToFit="1"/>
    </xf>
    <xf numFmtId="0" fontId="21" fillId="2" borderId="10" xfId="4" applyFont="1" applyFill="1" applyBorder="1" applyAlignment="1">
      <alignment horizontal="center" vertical="center" shrinkToFit="1"/>
    </xf>
    <xf numFmtId="14" fontId="21" fillId="2" borderId="13" xfId="4" applyNumberFormat="1" applyFont="1" applyFill="1" applyBorder="1" applyAlignment="1">
      <alignment horizontal="center" vertical="center" wrapText="1"/>
    </xf>
    <xf numFmtId="14" fontId="21" fillId="2" borderId="13" xfId="4" applyNumberFormat="1" applyFont="1" applyFill="1" applyBorder="1" applyAlignment="1">
      <alignment horizontal="center" vertical="center"/>
    </xf>
    <xf numFmtId="14" fontId="21" fillId="0" borderId="13" xfId="4" applyNumberFormat="1" applyFont="1" applyBorder="1" applyAlignment="1">
      <alignment horizontal="center" vertical="center"/>
    </xf>
    <xf numFmtId="14" fontId="21" fillId="0" borderId="2" xfId="5" applyNumberFormat="1" applyFont="1" applyBorder="1" applyAlignment="1" applyProtection="1">
      <alignment horizontal="center" vertical="center" wrapText="1"/>
      <protection locked="0"/>
    </xf>
    <xf numFmtId="14" fontId="21" fillId="0" borderId="4" xfId="5" applyNumberFormat="1" applyFont="1" applyBorder="1" applyAlignment="1" applyProtection="1">
      <alignment horizontal="center" vertical="center" wrapText="1"/>
      <protection locked="0"/>
    </xf>
    <xf numFmtId="0" fontId="21" fillId="2" borderId="13" xfId="5" applyFont="1" applyFill="1" applyBorder="1" applyAlignment="1">
      <alignment horizontal="center" vertical="center" wrapText="1"/>
    </xf>
    <xf numFmtId="0" fontId="21" fillId="0" borderId="13" xfId="4" applyFont="1" applyBorder="1" applyAlignment="1" applyProtection="1">
      <alignment horizontal="left" vertical="top" wrapText="1"/>
      <protection locked="0"/>
    </xf>
    <xf numFmtId="0" fontId="21" fillId="2" borderId="2" xfId="5" applyFont="1" applyFill="1" applyBorder="1" applyAlignment="1">
      <alignment horizontal="center" vertical="center" wrapText="1"/>
    </xf>
    <xf numFmtId="0" fontId="21" fillId="2" borderId="3" xfId="5" applyFont="1" applyFill="1" applyBorder="1" applyAlignment="1">
      <alignment horizontal="center" vertical="center"/>
    </xf>
    <xf numFmtId="0" fontId="21" fillId="2" borderId="4" xfId="5" applyFont="1" applyFill="1" applyBorder="1" applyAlignment="1">
      <alignment horizontal="center" vertical="center"/>
    </xf>
    <xf numFmtId="0" fontId="21" fillId="0" borderId="8" xfId="4" applyFont="1" applyBorder="1" applyAlignment="1" applyProtection="1">
      <alignment horizontal="center" vertical="center" wrapText="1" shrinkToFit="1"/>
      <protection locked="0"/>
    </xf>
    <xf numFmtId="0" fontId="21" fillId="2" borderId="5" xfId="4" applyFont="1" applyFill="1" applyBorder="1" applyAlignment="1" applyProtection="1">
      <alignment horizontal="center" vertical="center" wrapText="1" shrinkToFit="1"/>
      <protection locked="0"/>
    </xf>
    <xf numFmtId="0" fontId="21" fillId="2" borderId="5" xfId="4" applyFont="1" applyFill="1" applyBorder="1" applyAlignment="1" applyProtection="1">
      <alignment horizontal="center" vertical="center" shrinkToFit="1"/>
      <protection locked="0"/>
    </xf>
    <xf numFmtId="0" fontId="21" fillId="0" borderId="2" xfId="4" applyFont="1" applyBorder="1" applyAlignment="1" applyProtection="1">
      <alignment vertical="center" wrapText="1" shrinkToFit="1"/>
      <protection locked="0"/>
    </xf>
    <xf numFmtId="0" fontId="21" fillId="0" borderId="4" xfId="4" applyFont="1" applyBorder="1" applyAlignment="1" applyProtection="1">
      <alignment vertical="center" wrapText="1" shrinkToFit="1"/>
      <protection locked="0"/>
    </xf>
    <xf numFmtId="0" fontId="21" fillId="2" borderId="2" xfId="4" applyFont="1" applyFill="1" applyBorder="1" applyAlignment="1" applyProtection="1">
      <alignment horizontal="center" vertical="center" wrapText="1" shrinkToFit="1"/>
      <protection locked="0"/>
    </xf>
    <xf numFmtId="0" fontId="21" fillId="2" borderId="4" xfId="4" applyFont="1" applyFill="1" applyBorder="1" applyAlignment="1" applyProtection="1">
      <alignment horizontal="center" vertical="center" shrinkToFit="1"/>
      <protection locked="0"/>
    </xf>
    <xf numFmtId="0" fontId="21" fillId="0" borderId="3" xfId="4" applyFont="1" applyBorder="1" applyAlignment="1" applyProtection="1">
      <alignment vertical="center" wrapText="1" shrinkToFit="1"/>
      <protection locked="0"/>
    </xf>
    <xf numFmtId="0" fontId="21" fillId="0" borderId="13" xfId="4" applyFont="1" applyBorder="1" applyAlignment="1" applyProtection="1">
      <alignment horizontal="center" vertical="center" wrapText="1"/>
      <protection locked="0"/>
    </xf>
    <xf numFmtId="0" fontId="21" fillId="9" borderId="13" xfId="4" applyFont="1" applyFill="1" applyBorder="1" applyAlignment="1" applyProtection="1">
      <alignment horizontal="center" vertical="center" wrapText="1"/>
      <protection locked="0"/>
    </xf>
    <xf numFmtId="0" fontId="21" fillId="2" borderId="13" xfId="5" applyFont="1" applyFill="1" applyBorder="1" applyAlignment="1">
      <alignment horizontal="center" vertical="center"/>
    </xf>
    <xf numFmtId="0" fontId="21" fillId="6" borderId="3" xfId="4" applyFont="1" applyFill="1" applyBorder="1" applyAlignment="1">
      <alignment horizontal="center" vertical="center"/>
    </xf>
    <xf numFmtId="0" fontId="21" fillId="6" borderId="4" xfId="4" applyFont="1" applyFill="1" applyBorder="1" applyAlignment="1">
      <alignment horizontal="center" vertical="center"/>
    </xf>
    <xf numFmtId="0" fontId="21" fillId="0" borderId="2" xfId="4" applyFont="1" applyBorder="1" applyAlignment="1">
      <alignment horizontal="center" vertical="center"/>
    </xf>
    <xf numFmtId="0" fontId="21" fillId="0" borderId="3" xfId="4" applyFont="1" applyBorder="1" applyAlignment="1">
      <alignment horizontal="center" vertical="center"/>
    </xf>
    <xf numFmtId="0" fontId="21" fillId="0" borderId="4" xfId="4" applyFont="1" applyBorder="1" applyAlignment="1">
      <alignment horizontal="center" vertical="center"/>
    </xf>
    <xf numFmtId="0" fontId="21" fillId="0" borderId="13" xfId="4" applyFont="1" applyBorder="1" applyAlignment="1">
      <alignment horizontal="center" vertical="center"/>
    </xf>
    <xf numFmtId="0" fontId="21" fillId="2" borderId="13" xfId="2" applyFont="1" applyFill="1" applyBorder="1" applyAlignment="1">
      <alignment horizontal="left" vertical="top" wrapText="1"/>
    </xf>
    <xf numFmtId="0" fontId="25" fillId="2" borderId="6" xfId="2" applyFont="1" applyFill="1" applyBorder="1" applyAlignment="1">
      <alignment horizontal="center" vertical="center" wrapText="1"/>
    </xf>
    <xf numFmtId="0" fontId="25" fillId="2" borderId="8" xfId="2" applyFont="1" applyFill="1" applyBorder="1" applyAlignment="1">
      <alignment horizontal="center" vertical="center" wrapText="1"/>
    </xf>
    <xf numFmtId="0" fontId="25" fillId="2" borderId="7" xfId="2" applyFont="1" applyFill="1" applyBorder="1" applyAlignment="1">
      <alignment horizontal="center" vertical="center" wrapText="1"/>
    </xf>
    <xf numFmtId="0" fontId="25" fillId="2" borderId="9" xfId="2" applyFont="1" applyFill="1" applyBorder="1" applyAlignment="1">
      <alignment horizontal="center" vertical="center" wrapText="1"/>
    </xf>
    <xf numFmtId="0" fontId="25" fillId="2" borderId="1" xfId="2" applyFont="1" applyFill="1" applyBorder="1" applyAlignment="1">
      <alignment horizontal="center" vertical="center" wrapText="1"/>
    </xf>
    <xf numFmtId="0" fontId="25" fillId="2" borderId="10" xfId="2" applyFont="1" applyFill="1" applyBorder="1" applyAlignment="1">
      <alignment horizontal="center" vertical="center" wrapText="1"/>
    </xf>
    <xf numFmtId="0" fontId="25" fillId="0" borderId="6" xfId="2" applyFont="1" applyBorder="1" applyAlignment="1">
      <alignment horizontal="center" vertical="center" wrapText="1"/>
    </xf>
    <xf numFmtId="0" fontId="25" fillId="0" borderId="8" xfId="2" applyFont="1" applyBorder="1" applyAlignment="1">
      <alignment horizontal="center" vertical="center" wrapText="1"/>
    </xf>
    <xf numFmtId="0" fontId="25" fillId="0" borderId="7" xfId="2" applyFont="1" applyBorder="1" applyAlignment="1">
      <alignment horizontal="center" vertical="center" wrapText="1"/>
    </xf>
    <xf numFmtId="0" fontId="25" fillId="0" borderId="9" xfId="2" applyFont="1" applyBorder="1" applyAlignment="1">
      <alignment horizontal="center" vertical="center" wrapText="1"/>
    </xf>
    <xf numFmtId="0" fontId="25" fillId="0" borderId="1" xfId="2" applyFont="1" applyBorder="1" applyAlignment="1">
      <alignment horizontal="center" vertical="center" wrapText="1"/>
    </xf>
    <xf numFmtId="0" fontId="25" fillId="0" borderId="10" xfId="2" applyFont="1" applyBorder="1" applyAlignment="1">
      <alignment horizontal="center" vertical="center" wrapText="1"/>
    </xf>
    <xf numFmtId="0" fontId="21" fillId="9" borderId="13" xfId="2" applyFont="1" applyFill="1" applyBorder="1" applyAlignment="1">
      <alignment horizontal="left" vertical="top" wrapText="1"/>
    </xf>
    <xf numFmtId="0" fontId="21" fillId="0" borderId="13" xfId="2" applyFont="1" applyBorder="1" applyAlignment="1">
      <alignment horizontal="left" vertical="top" wrapText="1"/>
    </xf>
    <xf numFmtId="0" fontId="26" fillId="0" borderId="6" xfId="2" applyFont="1" applyBorder="1" applyAlignment="1">
      <alignment horizontal="center" vertical="center" wrapText="1"/>
    </xf>
    <xf numFmtId="0" fontId="26" fillId="0" borderId="8" xfId="2" applyFont="1" applyBorder="1" applyAlignment="1">
      <alignment horizontal="center" vertical="center" wrapText="1"/>
    </xf>
    <xf numFmtId="0" fontId="26" fillId="0" borderId="7" xfId="2" applyFont="1" applyBorder="1" applyAlignment="1">
      <alignment horizontal="center" vertical="center" wrapText="1"/>
    </xf>
    <xf numFmtId="0" fontId="26" fillId="0" borderId="11" xfId="2" applyFont="1" applyBorder="1" applyAlignment="1">
      <alignment horizontal="center" vertical="center" wrapText="1"/>
    </xf>
    <xf numFmtId="0" fontId="26" fillId="0" borderId="0" xfId="2" applyFont="1" applyAlignment="1">
      <alignment horizontal="center" vertical="center" wrapText="1"/>
    </xf>
    <xf numFmtId="0" fontId="26" fillId="0" borderId="12" xfId="2" applyFont="1" applyBorder="1" applyAlignment="1">
      <alignment horizontal="center" vertical="center" wrapText="1"/>
    </xf>
    <xf numFmtId="0" fontId="26" fillId="0" borderId="9" xfId="2" applyFont="1" applyBorder="1" applyAlignment="1">
      <alignment horizontal="center" vertical="center" wrapText="1"/>
    </xf>
    <xf numFmtId="0" fontId="26" fillId="0" borderId="1" xfId="2" applyFont="1" applyBorder="1" applyAlignment="1">
      <alignment horizontal="center" vertical="center" wrapText="1"/>
    </xf>
    <xf numFmtId="0" fontId="26" fillId="0" borderId="10" xfId="2" applyFont="1" applyBorder="1" applyAlignment="1">
      <alignment horizontal="center" vertical="center" wrapText="1"/>
    </xf>
    <xf numFmtId="14" fontId="25" fillId="0" borderId="6" xfId="2" applyNumberFormat="1" applyFont="1" applyBorder="1" applyAlignment="1">
      <alignment horizontal="center" vertical="center" wrapText="1"/>
    </xf>
    <xf numFmtId="14" fontId="25" fillId="0" borderId="8" xfId="2" applyNumberFormat="1" applyFont="1" applyBorder="1" applyAlignment="1">
      <alignment horizontal="center" vertical="center" wrapText="1"/>
    </xf>
    <xf numFmtId="14" fontId="25" fillId="0" borderId="7" xfId="2" applyNumberFormat="1" applyFont="1" applyBorder="1" applyAlignment="1">
      <alignment horizontal="center" vertical="center" wrapText="1"/>
    </xf>
    <xf numFmtId="14" fontId="25" fillId="0" borderId="9" xfId="2" applyNumberFormat="1" applyFont="1" applyBorder="1" applyAlignment="1">
      <alignment horizontal="center" vertical="center" wrapText="1"/>
    </xf>
    <xf numFmtId="14" fontId="25" fillId="0" borderId="1" xfId="2" applyNumberFormat="1" applyFont="1" applyBorder="1" applyAlignment="1">
      <alignment horizontal="center" vertical="center" wrapText="1"/>
    </xf>
    <xf numFmtId="14" fontId="25" fillId="0" borderId="10" xfId="2" applyNumberFormat="1" applyFont="1" applyBorder="1" applyAlignment="1">
      <alignment horizontal="center" vertical="center" wrapText="1"/>
    </xf>
    <xf numFmtId="0" fontId="27" fillId="0" borderId="6" xfId="2" applyFont="1" applyBorder="1" applyAlignment="1">
      <alignment horizontal="center" vertical="center" wrapText="1"/>
    </xf>
    <xf numFmtId="0" fontId="27" fillId="0" borderId="8"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11" xfId="2" applyFont="1" applyBorder="1" applyAlignment="1">
      <alignment horizontal="center" vertical="center" wrapText="1"/>
    </xf>
    <xf numFmtId="0" fontId="27" fillId="0" borderId="0" xfId="2" applyFont="1" applyAlignment="1">
      <alignment horizontal="center" vertical="center" wrapText="1"/>
    </xf>
    <xf numFmtId="0" fontId="27" fillId="0" borderId="12"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 xfId="2" applyFont="1" applyBorder="1" applyAlignment="1">
      <alignment horizontal="center" vertical="center" wrapText="1"/>
    </xf>
    <xf numFmtId="0" fontId="27" fillId="0" borderId="10" xfId="2" applyFont="1" applyBorder="1" applyAlignment="1">
      <alignment horizontal="center" vertical="center" wrapText="1"/>
    </xf>
    <xf numFmtId="0" fontId="25" fillId="2" borderId="13" xfId="2" applyFont="1" applyFill="1" applyBorder="1" applyAlignment="1">
      <alignment horizontal="center" vertical="center" wrapText="1"/>
    </xf>
    <xf numFmtId="0" fontId="25" fillId="0" borderId="13" xfId="2" applyFont="1" applyBorder="1" applyAlignment="1">
      <alignment horizontal="center" vertical="center" wrapText="1"/>
    </xf>
    <xf numFmtId="0" fontId="21" fillId="6" borderId="2" xfId="2" applyFont="1" applyFill="1" applyBorder="1" applyAlignment="1">
      <alignment horizontal="left" vertical="center" wrapText="1"/>
    </xf>
    <xf numFmtId="0" fontId="21" fillId="6" borderId="3" xfId="2" applyFont="1" applyFill="1" applyBorder="1" applyAlignment="1">
      <alignment horizontal="left" vertical="center" wrapText="1"/>
    </xf>
    <xf numFmtId="0" fontId="21" fillId="6" borderId="4" xfId="2" applyFont="1" applyFill="1" applyBorder="1" applyAlignment="1">
      <alignment horizontal="left" vertical="center" wrapText="1"/>
    </xf>
    <xf numFmtId="0" fontId="21" fillId="0" borderId="2" xfId="2" applyFont="1" applyBorder="1" applyAlignment="1">
      <alignment horizontal="left" vertical="center" wrapText="1"/>
    </xf>
    <xf numFmtId="0" fontId="21" fillId="0" borderId="3" xfId="2" applyFont="1" applyBorder="1" applyAlignment="1">
      <alignment horizontal="left" vertical="center" wrapText="1"/>
    </xf>
    <xf numFmtId="0" fontId="21" fillId="0" borderId="4" xfId="2" applyFont="1" applyBorder="1" applyAlignment="1">
      <alignment horizontal="left" vertical="center" wrapText="1"/>
    </xf>
    <xf numFmtId="0" fontId="27" fillId="9" borderId="6" xfId="2" applyFont="1" applyFill="1" applyBorder="1" applyAlignment="1">
      <alignment horizontal="center" vertical="center" wrapText="1"/>
    </xf>
    <xf numFmtId="0" fontId="21" fillId="2" borderId="6" xfId="5" applyFont="1" applyFill="1" applyBorder="1" applyAlignment="1">
      <alignment horizontal="center" vertical="center" wrapText="1"/>
    </xf>
    <xf numFmtId="0" fontId="21" fillId="2" borderId="7" xfId="5" applyFont="1" applyFill="1" applyBorder="1" applyAlignment="1">
      <alignment horizontal="center" vertical="center" wrapText="1"/>
    </xf>
    <xf numFmtId="0" fontId="21" fillId="2" borderId="9" xfId="5" applyFont="1" applyFill="1" applyBorder="1" applyAlignment="1">
      <alignment horizontal="center" vertical="center" wrapText="1"/>
    </xf>
    <xf numFmtId="0" fontId="21" fillId="2" borderId="10" xfId="5" applyFont="1" applyFill="1" applyBorder="1" applyAlignment="1">
      <alignment horizontal="center" vertical="center" wrapText="1"/>
    </xf>
    <xf numFmtId="165" fontId="21" fillId="4" borderId="13" xfId="4" applyNumberFormat="1" applyFont="1" applyFill="1" applyBorder="1" applyAlignment="1">
      <alignment horizontal="right" vertical="center"/>
    </xf>
    <xf numFmtId="166" fontId="21" fillId="0" borderId="13" xfId="4" applyNumberFormat="1" applyFont="1" applyBorder="1" applyAlignment="1">
      <alignment vertical="center"/>
    </xf>
    <xf numFmtId="165" fontId="21" fillId="0" borderId="13" xfId="4" applyNumberFormat="1" applyFont="1" applyBorder="1" applyAlignment="1">
      <alignment vertical="center"/>
    </xf>
    <xf numFmtId="0" fontId="21" fillId="2" borderId="8" xfId="5" applyFont="1" applyFill="1" applyBorder="1" applyAlignment="1">
      <alignment horizontal="center" vertical="center" wrapText="1"/>
    </xf>
    <xf numFmtId="0" fontId="21" fillId="2" borderId="1" xfId="5" applyFont="1" applyFill="1" applyBorder="1" applyAlignment="1">
      <alignment horizontal="center" vertical="center" wrapText="1"/>
    </xf>
    <xf numFmtId="166" fontId="21" fillId="4" borderId="13" xfId="4" applyNumberFormat="1" applyFont="1" applyFill="1" applyBorder="1" applyAlignment="1">
      <alignment horizontal="right" vertical="center"/>
    </xf>
    <xf numFmtId="2" fontId="21" fillId="0" borderId="13" xfId="4" applyNumberFormat="1" applyFont="1" applyBorder="1" applyAlignment="1">
      <alignment horizontal="center" vertical="center"/>
    </xf>
    <xf numFmtId="14" fontId="21" fillId="0" borderId="13" xfId="4" applyNumberFormat="1" applyFont="1" applyBorder="1" applyAlignment="1" applyProtection="1">
      <alignment horizontal="center" vertical="center" shrinkToFit="1"/>
      <protection locked="0"/>
    </xf>
    <xf numFmtId="164" fontId="21" fillId="0" borderId="13" xfId="4" applyNumberFormat="1" applyFont="1" applyBorder="1" applyAlignment="1" applyProtection="1">
      <alignment horizontal="center" vertical="center" shrinkToFit="1"/>
      <protection locked="0"/>
    </xf>
    <xf numFmtId="164" fontId="21" fillId="0" borderId="2" xfId="4" applyNumberFormat="1" applyFont="1" applyBorder="1" applyAlignment="1">
      <alignment horizontal="center" vertical="center"/>
    </xf>
    <xf numFmtId="164" fontId="21" fillId="0" borderId="4" xfId="4" applyNumberFormat="1" applyFont="1" applyBorder="1" applyAlignment="1">
      <alignment horizontal="center" vertical="center"/>
    </xf>
    <xf numFmtId="0" fontId="21" fillId="6" borderId="13" xfId="4" applyFont="1" applyFill="1" applyBorder="1" applyAlignment="1">
      <alignment horizontal="center" vertical="center" wrapText="1"/>
    </xf>
    <xf numFmtId="0" fontId="21" fillId="6" borderId="13" xfId="4" applyFont="1" applyFill="1" applyBorder="1" applyAlignment="1">
      <alignment horizontal="center" vertical="center"/>
    </xf>
    <xf numFmtId="0" fontId="21" fillId="2" borderId="13" xfId="4" applyFont="1" applyFill="1" applyBorder="1" applyAlignment="1">
      <alignment horizontal="center" vertical="center" wrapText="1" shrinkToFit="1"/>
    </xf>
    <xf numFmtId="2" fontId="21" fillId="9" borderId="2" xfId="4" quotePrefix="1" applyNumberFormat="1" applyFont="1" applyFill="1" applyBorder="1" applyAlignment="1" applyProtection="1">
      <alignment horizontal="right" vertical="center" wrapText="1" shrinkToFit="1"/>
      <protection locked="0"/>
    </xf>
    <xf numFmtId="2" fontId="21" fillId="9" borderId="3" xfId="4" applyNumberFormat="1" applyFont="1" applyFill="1" applyBorder="1" applyAlignment="1" applyProtection="1">
      <alignment horizontal="right" vertical="center" wrapText="1" shrinkToFit="1"/>
      <protection locked="0"/>
    </xf>
    <xf numFmtId="2" fontId="21" fillId="9" borderId="4" xfId="4" applyNumberFormat="1" applyFont="1" applyFill="1" applyBorder="1" applyAlignment="1" applyProtection="1">
      <alignment horizontal="right" vertical="center" wrapText="1" shrinkToFit="1"/>
      <protection locked="0"/>
    </xf>
    <xf numFmtId="170" fontId="21" fillId="9" borderId="2" xfId="4" applyNumberFormat="1" applyFont="1" applyFill="1" applyBorder="1" applyAlignment="1" applyProtection="1">
      <alignment horizontal="right" vertical="center" wrapText="1" shrinkToFit="1"/>
      <protection locked="0"/>
    </xf>
    <xf numFmtId="170" fontId="21" fillId="9" borderId="3" xfId="4" applyNumberFormat="1" applyFont="1" applyFill="1" applyBorder="1" applyAlignment="1" applyProtection="1">
      <alignment horizontal="right" vertical="center" wrapText="1" shrinkToFit="1"/>
      <protection locked="0"/>
    </xf>
    <xf numFmtId="170" fontId="21" fillId="9" borderId="4" xfId="4" applyNumberFormat="1" applyFont="1" applyFill="1" applyBorder="1" applyAlignment="1" applyProtection="1">
      <alignment horizontal="right" vertical="center" wrapText="1" shrinkToFit="1"/>
      <protection locked="0"/>
    </xf>
    <xf numFmtId="49" fontId="21" fillId="9" borderId="2" xfId="4" applyNumberFormat="1" applyFont="1" applyFill="1" applyBorder="1" applyAlignment="1" applyProtection="1">
      <alignment horizontal="right" vertical="center" wrapText="1" shrinkToFit="1"/>
      <protection locked="0"/>
    </xf>
    <xf numFmtId="49" fontId="21" fillId="9" borderId="3" xfId="4" applyNumberFormat="1" applyFont="1" applyFill="1" applyBorder="1" applyAlignment="1" applyProtection="1">
      <alignment horizontal="right" vertical="center" wrapText="1" shrinkToFit="1"/>
      <protection locked="0"/>
    </xf>
    <xf numFmtId="49" fontId="21" fillId="9" borderId="4" xfId="4" applyNumberFormat="1" applyFont="1" applyFill="1" applyBorder="1" applyAlignment="1" applyProtection="1">
      <alignment horizontal="right" vertical="center" wrapText="1" shrinkToFit="1"/>
      <protection locked="0"/>
    </xf>
    <xf numFmtId="0" fontId="21" fillId="9" borderId="2" xfId="4" applyNumberFormat="1" applyFont="1" applyFill="1" applyBorder="1" applyAlignment="1" applyProtection="1">
      <alignment horizontal="right" vertical="center" wrapText="1" shrinkToFit="1"/>
      <protection locked="0"/>
    </xf>
    <xf numFmtId="0" fontId="21" fillId="9" borderId="3" xfId="4" applyNumberFormat="1" applyFont="1" applyFill="1" applyBorder="1" applyAlignment="1" applyProtection="1">
      <alignment horizontal="right" vertical="center" wrapText="1" shrinkToFit="1"/>
      <protection locked="0"/>
    </xf>
    <xf numFmtId="0" fontId="21" fillId="9" borderId="4" xfId="4" applyNumberFormat="1" applyFont="1" applyFill="1" applyBorder="1" applyAlignment="1" applyProtection="1">
      <alignment horizontal="right" vertical="center" wrapText="1" shrinkToFit="1"/>
      <protection locked="0"/>
    </xf>
    <xf numFmtId="0" fontId="21" fillId="3" borderId="8" xfId="4" applyFont="1" applyFill="1" applyBorder="1" applyAlignment="1" applyProtection="1">
      <alignment vertical="center" wrapText="1" shrinkToFit="1"/>
      <protection locked="0"/>
    </xf>
    <xf numFmtId="0" fontId="21" fillId="3" borderId="8" xfId="5" applyFont="1" applyFill="1" applyBorder="1" applyAlignment="1" applyProtection="1">
      <alignment vertical="center" wrapText="1"/>
      <protection locked="0"/>
    </xf>
    <xf numFmtId="0" fontId="21" fillId="5" borderId="2" xfId="4" quotePrefix="1" applyFont="1" applyFill="1" applyBorder="1" applyAlignment="1">
      <alignment horizontal="left" vertical="center" wrapText="1"/>
    </xf>
    <xf numFmtId="0" fontId="21" fillId="5" borderId="3" xfId="4" applyFont="1" applyFill="1" applyBorder="1" applyAlignment="1">
      <alignment horizontal="left" vertical="center"/>
    </xf>
    <xf numFmtId="0" fontId="21" fillId="5" borderId="4" xfId="4" applyFont="1" applyFill="1" applyBorder="1" applyAlignment="1">
      <alignment horizontal="left" vertical="center"/>
    </xf>
    <xf numFmtId="14" fontId="21" fillId="3" borderId="0" xfId="5" applyNumberFormat="1" applyFont="1" applyFill="1" applyAlignment="1" applyProtection="1">
      <alignment horizontal="center" vertical="center" wrapText="1"/>
      <protection locked="0"/>
    </xf>
    <xf numFmtId="0" fontId="21" fillId="3" borderId="0" xfId="4" applyFont="1" applyFill="1" applyAlignment="1">
      <alignment horizontal="left" vertical="center" shrinkToFit="1"/>
    </xf>
    <xf numFmtId="14" fontId="21" fillId="3" borderId="0" xfId="4" applyNumberFormat="1" applyFont="1" applyFill="1" applyAlignment="1">
      <alignment horizontal="center" vertical="center" wrapText="1"/>
    </xf>
    <xf numFmtId="0" fontId="21" fillId="9" borderId="2" xfId="4" applyFont="1" applyFill="1" applyBorder="1" applyAlignment="1" applyProtection="1">
      <alignment horizontal="right" vertical="center" shrinkToFit="1"/>
      <protection locked="0"/>
    </xf>
    <xf numFmtId="0" fontId="21" fillId="9" borderId="4" xfId="4" applyFont="1" applyFill="1" applyBorder="1" applyAlignment="1" applyProtection="1">
      <alignment horizontal="right" vertical="center" shrinkToFit="1"/>
      <protection locked="0"/>
    </xf>
    <xf numFmtId="0" fontId="21" fillId="3" borderId="8" xfId="4" applyFont="1" applyFill="1" applyBorder="1" applyAlignment="1">
      <alignment horizontal="center" vertical="center"/>
    </xf>
    <xf numFmtId="0" fontId="21" fillId="9" borderId="2" xfId="4" quotePrefix="1" applyFont="1" applyFill="1" applyBorder="1" applyAlignment="1" applyProtection="1">
      <alignment horizontal="right" vertical="center" shrinkToFit="1"/>
      <protection locked="0"/>
    </xf>
    <xf numFmtId="0" fontId="21" fillId="3" borderId="8" xfId="4" applyFont="1" applyFill="1" applyBorder="1" applyAlignment="1" applyProtection="1">
      <alignment vertical="center" shrinkToFit="1"/>
      <protection locked="0"/>
    </xf>
    <xf numFmtId="0" fontId="21" fillId="2" borderId="6" xfId="4" applyFont="1" applyFill="1" applyBorder="1" applyAlignment="1">
      <alignment horizontal="center" vertical="center" wrapText="1" shrinkToFit="1"/>
    </xf>
    <xf numFmtId="0" fontId="21" fillId="2" borderId="8" xfId="4" applyFont="1" applyFill="1" applyBorder="1" applyAlignment="1">
      <alignment horizontal="center" vertical="center" wrapText="1" shrinkToFit="1"/>
    </xf>
    <xf numFmtId="0" fontId="21" fillId="2" borderId="9" xfId="4" applyFont="1" applyFill="1" applyBorder="1" applyAlignment="1">
      <alignment horizontal="center" vertical="center" wrapText="1" shrinkToFit="1"/>
    </xf>
    <xf numFmtId="0" fontId="21" fillId="2" borderId="1" xfId="4" applyFont="1" applyFill="1" applyBorder="1" applyAlignment="1">
      <alignment horizontal="center" vertical="center" wrapText="1" shrinkToFit="1"/>
    </xf>
    <xf numFmtId="0" fontId="21" fillId="6" borderId="1" xfId="2" applyFont="1" applyFill="1" applyBorder="1" applyAlignment="1">
      <alignment horizontal="left" vertical="top" wrapText="1"/>
    </xf>
    <xf numFmtId="0" fontId="24" fillId="0" borderId="1" xfId="0" applyFont="1" applyBorder="1" applyAlignment="1">
      <alignment vertical="top"/>
    </xf>
    <xf numFmtId="0" fontId="24" fillId="0" borderId="8" xfId="0" applyFont="1" applyBorder="1" applyAlignment="1">
      <alignment horizontal="center" vertical="center" wrapText="1"/>
    </xf>
    <xf numFmtId="0" fontId="24" fillId="0" borderId="7" xfId="0" applyFont="1" applyBorder="1" applyAlignment="1">
      <alignment horizontal="center" vertical="center" wrapText="1"/>
    </xf>
    <xf numFmtId="0" fontId="24" fillId="0" borderId="9"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0" xfId="0" applyFont="1" applyBorder="1" applyAlignment="1">
      <alignment horizontal="center" vertical="center" wrapText="1"/>
    </xf>
    <xf numFmtId="0" fontId="21" fillId="2" borderId="3" xfId="4" applyFont="1" applyFill="1" applyBorder="1" applyAlignment="1">
      <alignment horizontal="center" vertical="center" wrapText="1"/>
    </xf>
    <xf numFmtId="0" fontId="21" fillId="2" borderId="4" xfId="4" applyFont="1" applyFill="1" applyBorder="1" applyAlignment="1">
      <alignment horizontal="center" vertical="center" wrapText="1"/>
    </xf>
    <xf numFmtId="0" fontId="21" fillId="6" borderId="2" xfId="4" applyFont="1" applyFill="1" applyBorder="1" applyAlignment="1">
      <alignment horizontal="center" vertical="center" wrapText="1" shrinkToFit="1"/>
    </xf>
    <xf numFmtId="0" fontId="21" fillId="6" borderId="4" xfId="4" applyFont="1" applyFill="1" applyBorder="1" applyAlignment="1">
      <alignment horizontal="center" vertical="center" wrapText="1" shrinkToFit="1"/>
    </xf>
    <xf numFmtId="0" fontId="21" fillId="2" borderId="13" xfId="4" applyFont="1" applyFill="1" applyBorder="1" applyAlignment="1">
      <alignment horizontal="center" vertical="center" shrinkToFit="1"/>
    </xf>
    <xf numFmtId="0" fontId="21" fillId="0" borderId="2" xfId="4" applyFont="1" applyFill="1" applyBorder="1" applyAlignment="1">
      <alignment horizontal="left" vertical="center" wrapText="1"/>
    </xf>
    <xf numFmtId="0" fontId="21" fillId="0" borderId="35" xfId="4" applyFont="1" applyFill="1" applyBorder="1" applyAlignment="1">
      <alignment horizontal="left" vertical="center" wrapText="1"/>
    </xf>
    <xf numFmtId="0" fontId="21" fillId="0" borderId="15" xfId="16" applyFont="1" applyBorder="1" applyAlignment="1">
      <alignment horizontal="center" vertical="center"/>
    </xf>
    <xf numFmtId="0" fontId="21" fillId="0" borderId="16" xfId="16" applyFont="1" applyBorder="1" applyAlignment="1">
      <alignment horizontal="center" vertical="center"/>
    </xf>
    <xf numFmtId="0" fontId="21" fillId="0" borderId="19" xfId="16" applyFont="1" applyBorder="1" applyAlignment="1">
      <alignment horizontal="center" vertical="center"/>
    </xf>
    <xf numFmtId="0" fontId="21" fillId="0" borderId="20" xfId="16" applyFont="1" applyBorder="1" applyAlignment="1">
      <alignment horizontal="center" vertical="center"/>
    </xf>
    <xf numFmtId="0" fontId="21" fillId="16" borderId="17" xfId="16" applyFont="1" applyFill="1" applyBorder="1" applyAlignment="1">
      <alignment horizontal="left" vertical="center" wrapText="1"/>
    </xf>
    <xf numFmtId="0" fontId="21" fillId="16" borderId="21" xfId="16" applyFont="1" applyFill="1" applyBorder="1" applyAlignment="1">
      <alignment horizontal="left" vertical="center" wrapText="1"/>
    </xf>
    <xf numFmtId="0" fontId="21" fillId="0" borderId="15" xfId="4" applyFont="1" applyBorder="1" applyAlignment="1">
      <alignment horizontal="center" vertical="center"/>
    </xf>
    <xf numFmtId="0" fontId="21" fillId="0" borderId="16" xfId="4" applyFont="1" applyBorder="1" applyAlignment="1">
      <alignment horizontal="center" vertical="center"/>
    </xf>
    <xf numFmtId="0" fontId="21" fillId="0" borderId="19" xfId="4" applyFont="1" applyBorder="1" applyAlignment="1">
      <alignment horizontal="center" vertical="center"/>
    </xf>
    <xf numFmtId="0" fontId="21" fillId="0" borderId="20" xfId="4" applyFont="1" applyBorder="1" applyAlignment="1">
      <alignment horizontal="center" vertical="center"/>
    </xf>
    <xf numFmtId="169" fontId="21" fillId="16" borderId="15" xfId="16" applyNumberFormat="1" applyFont="1" applyFill="1" applyBorder="1" applyAlignment="1">
      <alignment horizontal="left" vertical="center"/>
    </xf>
    <xf numFmtId="169" fontId="21" fillId="16" borderId="18" xfId="16" applyNumberFormat="1" applyFont="1" applyFill="1" applyBorder="1" applyAlignment="1">
      <alignment horizontal="left" vertical="center"/>
    </xf>
    <xf numFmtId="169" fontId="21" fillId="16" borderId="16" xfId="16" applyNumberFormat="1" applyFont="1" applyFill="1" applyBorder="1" applyAlignment="1">
      <alignment horizontal="left" vertical="center"/>
    </xf>
    <xf numFmtId="169" fontId="21" fillId="16" borderId="19" xfId="16" applyNumberFormat="1" applyFont="1" applyFill="1" applyBorder="1" applyAlignment="1">
      <alignment horizontal="left" vertical="center"/>
    </xf>
    <xf numFmtId="169" fontId="21" fillId="16" borderId="22" xfId="16" applyNumberFormat="1" applyFont="1" applyFill="1" applyBorder="1" applyAlignment="1">
      <alignment horizontal="left" vertical="center"/>
    </xf>
    <xf numFmtId="169" fontId="21" fillId="16" borderId="20" xfId="16" applyNumberFormat="1" applyFont="1" applyFill="1" applyBorder="1" applyAlignment="1">
      <alignment horizontal="left" vertical="center"/>
    </xf>
    <xf numFmtId="0" fontId="21" fillId="0" borderId="23" xfId="16" applyFont="1" applyBorder="1" applyAlignment="1">
      <alignment horizontal="center" vertical="center"/>
    </xf>
    <xf numFmtId="0" fontId="21" fillId="0" borderId="24" xfId="16" applyFont="1" applyBorder="1" applyAlignment="1">
      <alignment horizontal="center" vertical="center"/>
    </xf>
    <xf numFmtId="0" fontId="21" fillId="16" borderId="15" xfId="16" applyFont="1" applyFill="1" applyBorder="1" applyAlignment="1">
      <alignment horizontal="left" vertical="center"/>
    </xf>
    <xf numFmtId="0" fontId="21" fillId="16" borderId="18" xfId="16" applyFont="1" applyFill="1" applyBorder="1" applyAlignment="1">
      <alignment horizontal="left" vertical="center"/>
    </xf>
    <xf numFmtId="0" fontId="21" fillId="16" borderId="16" xfId="16" applyFont="1" applyFill="1" applyBorder="1" applyAlignment="1">
      <alignment horizontal="left" vertical="center"/>
    </xf>
    <xf numFmtId="0" fontId="21" fillId="16" borderId="19" xfId="16" applyFont="1" applyFill="1" applyBorder="1" applyAlignment="1">
      <alignment horizontal="left" vertical="center"/>
    </xf>
    <xf numFmtId="0" fontId="21" fillId="16" borderId="22" xfId="16" applyFont="1" applyFill="1" applyBorder="1" applyAlignment="1">
      <alignment horizontal="left" vertical="center"/>
    </xf>
    <xf numFmtId="0" fontId="21" fillId="16" borderId="20" xfId="16" applyFont="1" applyFill="1" applyBorder="1" applyAlignment="1">
      <alignment horizontal="left" vertical="center"/>
    </xf>
    <xf numFmtId="0" fontId="21" fillId="12" borderId="26" xfId="18" applyFont="1" applyFill="1" applyBorder="1" applyAlignment="1">
      <alignment horizontal="left" vertical="center" wrapText="1"/>
    </xf>
    <xf numFmtId="0" fontId="21" fillId="12" borderId="24" xfId="18" applyFont="1" applyFill="1" applyBorder="1" applyAlignment="1">
      <alignment horizontal="left" vertical="center" wrapText="1"/>
    </xf>
    <xf numFmtId="0" fontId="37" fillId="14" borderId="23" xfId="18" applyFont="1" applyFill="1" applyBorder="1" applyAlignment="1">
      <alignment horizontal="left" vertical="center"/>
    </xf>
    <xf numFmtId="0" fontId="37" fillId="14" borderId="30" xfId="18" applyFont="1" applyFill="1" applyBorder="1" applyAlignment="1">
      <alignment horizontal="left" vertical="center"/>
    </xf>
    <xf numFmtId="0" fontId="37" fillId="14" borderId="24" xfId="18" applyFont="1" applyFill="1" applyBorder="1" applyAlignment="1">
      <alignment horizontal="left" vertical="center"/>
    </xf>
    <xf numFmtId="49" fontId="37" fillId="15" borderId="31" xfId="18" applyNumberFormat="1" applyFont="1" applyFill="1" applyBorder="1" applyAlignment="1">
      <alignment vertical="center"/>
    </xf>
    <xf numFmtId="49" fontId="37" fillId="15" borderId="32" xfId="18" applyNumberFormat="1" applyFont="1" applyFill="1" applyBorder="1" applyAlignment="1">
      <alignment vertical="center"/>
    </xf>
    <xf numFmtId="49" fontId="37" fillId="15" borderId="33" xfId="18" applyNumberFormat="1" applyFont="1" applyFill="1" applyBorder="1" applyAlignment="1">
      <alignment vertical="center"/>
    </xf>
    <xf numFmtId="0" fontId="21" fillId="0" borderId="2" xfId="18" applyFont="1" applyBorder="1" applyAlignment="1">
      <alignment vertical="center" wrapText="1"/>
    </xf>
    <xf numFmtId="0" fontId="21" fillId="0" borderId="35" xfId="18" applyFont="1" applyBorder="1" applyAlignment="1">
      <alignment vertical="center" wrapText="1"/>
    </xf>
    <xf numFmtId="0" fontId="37" fillId="14" borderId="23" xfId="18" applyFont="1" applyFill="1" applyBorder="1" applyAlignment="1">
      <alignment vertical="center"/>
    </xf>
    <xf numFmtId="0" fontId="37" fillId="14" borderId="30" xfId="18" applyFont="1" applyFill="1" applyBorder="1" applyAlignment="1">
      <alignment vertical="center"/>
    </xf>
    <xf numFmtId="0" fontId="37" fillId="14" borderId="24" xfId="18" applyFont="1" applyFill="1" applyBorder="1" applyAlignment="1">
      <alignment vertical="center"/>
    </xf>
    <xf numFmtId="0" fontId="21" fillId="0" borderId="35" xfId="4" applyFont="1" applyBorder="1" applyAlignment="1">
      <alignment horizontal="left" vertical="center" wrapText="1"/>
    </xf>
    <xf numFmtId="0" fontId="21" fillId="5" borderId="2" xfId="4" applyFont="1" applyFill="1" applyBorder="1" applyAlignment="1">
      <alignment horizontal="left" vertical="center" wrapText="1"/>
    </xf>
    <xf numFmtId="0" fontId="21" fillId="5" borderId="35" xfId="4" applyFont="1" applyFill="1" applyBorder="1" applyAlignment="1">
      <alignment horizontal="left" vertical="center" wrapText="1"/>
    </xf>
    <xf numFmtId="0" fontId="21" fillId="0" borderId="2" xfId="4" applyFont="1" applyBorder="1" applyAlignment="1">
      <alignment vertical="center" wrapText="1"/>
    </xf>
    <xf numFmtId="0" fontId="21" fillId="0" borderId="35" xfId="4" applyFont="1" applyBorder="1" applyAlignment="1">
      <alignment vertical="center" wrapText="1"/>
    </xf>
    <xf numFmtId="0" fontId="21" fillId="0" borderId="6" xfId="4" applyFont="1" applyBorder="1" applyAlignment="1">
      <alignment horizontal="left" vertical="center" wrapText="1"/>
    </xf>
    <xf numFmtId="0" fontId="21" fillId="0" borderId="53" xfId="4" applyFont="1" applyBorder="1" applyAlignment="1">
      <alignment horizontal="left" vertical="center" wrapText="1"/>
    </xf>
    <xf numFmtId="0" fontId="21" fillId="14" borderId="2" xfId="4" applyFont="1" applyFill="1" applyBorder="1" applyAlignment="1">
      <alignment horizontal="left" vertical="center" wrapText="1"/>
    </xf>
    <xf numFmtId="0" fontId="21" fillId="14" borderId="35" xfId="4" applyFont="1" applyFill="1" applyBorder="1" applyAlignment="1">
      <alignment horizontal="left" vertical="center" wrapText="1"/>
    </xf>
    <xf numFmtId="0" fontId="21" fillId="0" borderId="45" xfId="4" applyFont="1" applyFill="1" applyBorder="1" applyAlignment="1">
      <alignment horizontal="left" vertical="center" wrapText="1"/>
    </xf>
    <xf numFmtId="0" fontId="21" fillId="0" borderId="48" xfId="4" applyFont="1" applyFill="1" applyBorder="1" applyAlignment="1">
      <alignment horizontal="left" vertical="center" wrapText="1"/>
    </xf>
    <xf numFmtId="0" fontId="25" fillId="0" borderId="2" xfId="18" applyFont="1" applyBorder="1" applyAlignment="1">
      <alignment horizontal="left" vertical="center" wrapText="1"/>
    </xf>
    <xf numFmtId="0" fontId="25" fillId="0" borderId="4" xfId="18" applyFont="1" applyBorder="1" applyAlignment="1">
      <alignment horizontal="left" vertical="center" wrapText="1"/>
    </xf>
    <xf numFmtId="0" fontId="21" fillId="0" borderId="2" xfId="18" applyFont="1" applyBorder="1" applyAlignment="1">
      <alignment horizontal="left" vertical="center"/>
    </xf>
    <xf numFmtId="0" fontId="21" fillId="0" borderId="3" xfId="18" applyFont="1" applyBorder="1" applyAlignment="1">
      <alignment horizontal="left" vertical="center"/>
    </xf>
    <xf numFmtId="0" fontId="21" fillId="0" borderId="35" xfId="18" applyFont="1" applyBorder="1" applyAlignment="1">
      <alignment horizontal="left" vertical="center"/>
    </xf>
    <xf numFmtId="0" fontId="25" fillId="0" borderId="45" xfId="18" applyFont="1" applyBorder="1" applyAlignment="1">
      <alignment horizontal="left" vertical="center" wrapText="1"/>
    </xf>
    <xf numFmtId="0" fontId="25" fillId="0" borderId="46" xfId="18" applyFont="1" applyBorder="1" applyAlignment="1">
      <alignment horizontal="left" vertical="center" wrapText="1"/>
    </xf>
    <xf numFmtId="0" fontId="21" fillId="0" borderId="45" xfId="18" applyFont="1" applyBorder="1" applyAlignment="1">
      <alignment horizontal="left" vertical="center"/>
    </xf>
    <xf numFmtId="0" fontId="21" fillId="0" borderId="49" xfId="18" applyFont="1" applyBorder="1" applyAlignment="1">
      <alignment horizontal="left" vertical="center"/>
    </xf>
    <xf numFmtId="0" fontId="21" fillId="0" borderId="48" xfId="18" applyFont="1" applyBorder="1" applyAlignment="1">
      <alignment horizontal="left" vertical="center"/>
    </xf>
    <xf numFmtId="0" fontId="21" fillId="12" borderId="40" xfId="18" applyFont="1" applyFill="1" applyBorder="1" applyAlignment="1">
      <alignment horizontal="center" vertical="center" wrapText="1"/>
    </xf>
    <xf numFmtId="0" fontId="21" fillId="12" borderId="41" xfId="18" applyFont="1" applyFill="1" applyBorder="1" applyAlignment="1">
      <alignment horizontal="center" vertical="center" wrapText="1"/>
    </xf>
    <xf numFmtId="0" fontId="21" fillId="12" borderId="40" xfId="18" applyFont="1" applyFill="1" applyBorder="1" applyAlignment="1">
      <alignment horizontal="center" vertical="center"/>
    </xf>
    <xf numFmtId="0" fontId="21" fillId="12" borderId="32" xfId="18" applyFont="1" applyFill="1" applyBorder="1" applyAlignment="1">
      <alignment horizontal="center" vertical="center"/>
    </xf>
    <xf numFmtId="0" fontId="21" fillId="12" borderId="33" xfId="18" applyFont="1" applyFill="1" applyBorder="1" applyAlignment="1">
      <alignment horizontal="center" vertical="center"/>
    </xf>
    <xf numFmtId="0" fontId="24" fillId="0" borderId="5" xfId="20" applyFont="1" applyBorder="1" applyAlignment="1">
      <alignment horizontal="center" vertical="top" wrapText="1" shrinkToFit="1"/>
    </xf>
    <xf numFmtId="0" fontId="24" fillId="0" borderId="14" xfId="20" applyFont="1" applyBorder="1" applyAlignment="1">
      <alignment horizontal="center" vertical="top" shrinkToFit="1"/>
    </xf>
    <xf numFmtId="0" fontId="24" fillId="0" borderId="5" xfId="20" applyFont="1" applyBorder="1" applyAlignment="1">
      <alignment horizontal="center" vertical="top" shrinkToFit="1"/>
    </xf>
    <xf numFmtId="0" fontId="24" fillId="0" borderId="5" xfId="19" applyFont="1" applyBorder="1" applyAlignment="1">
      <alignment horizontal="center" vertical="top" wrapText="1" shrinkToFit="1"/>
    </xf>
    <xf numFmtId="0" fontId="24" fillId="0" borderId="14" xfId="19" applyFont="1" applyBorder="1" applyAlignment="1">
      <alignment horizontal="center" vertical="top" shrinkToFit="1"/>
    </xf>
  </cellXfs>
  <cellStyles count="21">
    <cellStyle name="Bad" xfId="13" builtinId="27"/>
    <cellStyle name="Hyperlink" xfId="12" builtinId="8"/>
    <cellStyle name="Normal" xfId="0" builtinId="0"/>
    <cellStyle name="Normal 2" xfId="18" xr:uid="{00000000-0005-0000-0000-000003000000}"/>
    <cellStyle name="ハイパーリンク 2" xfId="9" xr:uid="{00000000-0005-0000-0000-000004000000}"/>
    <cellStyle name="標準 2" xfId="1" xr:uid="{00000000-0005-0000-0000-000005000000}"/>
    <cellStyle name="標準 2 2" xfId="4" xr:uid="{00000000-0005-0000-0000-000006000000}"/>
    <cellStyle name="標準 2 2 2" xfId="17" xr:uid="{00000000-0005-0000-0000-000007000000}"/>
    <cellStyle name="標準 2 5" xfId="7" xr:uid="{00000000-0005-0000-0000-000008000000}"/>
    <cellStyle name="標準 2 5 2" xfId="20" xr:uid="{00000000-0005-0000-0000-000009000000}"/>
    <cellStyle name="標準 3" xfId="2" xr:uid="{00000000-0005-0000-0000-00000A000000}"/>
    <cellStyle name="標準 4" xfId="3" xr:uid="{00000000-0005-0000-0000-00000B000000}"/>
    <cellStyle name="標準 4 2" xfId="8" xr:uid="{00000000-0005-0000-0000-00000C000000}"/>
    <cellStyle name="標準 4 2 2" xfId="19" xr:uid="{00000000-0005-0000-0000-00000D000000}"/>
    <cellStyle name="標準 5" xfId="10" xr:uid="{00000000-0005-0000-0000-00000E000000}"/>
    <cellStyle name="標準 5 2" xfId="14" xr:uid="{00000000-0005-0000-0000-00000F000000}"/>
    <cellStyle name="標準 6" xfId="11" xr:uid="{00000000-0005-0000-0000-000010000000}"/>
    <cellStyle name="標準 6 2" xfId="15" xr:uid="{00000000-0005-0000-0000-000011000000}"/>
    <cellStyle name="標準_コードレビューに関するコメント" xfId="16" xr:uid="{00000000-0005-0000-0000-000012000000}"/>
    <cellStyle name="標準_コードレビューに関するコメント_コードレビューチェックリストv0.22" xfId="5" xr:uid="{00000000-0005-0000-0000-000013000000}"/>
    <cellStyle name="標準_レビューチェックリスト_機能仕様書" xfId="6" xr:uid="{00000000-0005-0000-0000-000014000000}"/>
  </cellStyles>
  <dxfs count="242">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numFmt numFmtId="0" formatCode="General"/>
      <fill>
        <patternFill patternType="none">
          <fgColor indexed="64"/>
          <bgColor indexed="65"/>
        </patternFill>
      </fill>
      <alignment horizontal="center" vertical="center" textRotation="0" wrapText="0" indent="0" justifyLastLine="0" shrinkToFit="1" readingOrder="0"/>
    </dxf>
    <dxf>
      <font>
        <strike val="0"/>
        <outline val="0"/>
        <shadow val="0"/>
        <vertAlign val="baseline"/>
        <sz val="10"/>
        <name val="Arial"/>
        <scheme val="none"/>
      </font>
      <fill>
        <patternFill patternType="none">
          <fgColor rgb="FF000000"/>
          <bgColor rgb="FFFFFFFF"/>
        </patternFill>
      </fill>
      <alignment horizontal="general" vertical="center"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general" vertical="center" textRotation="0" wrapText="1" indent="0" justifyLastLine="0" shrinkToFit="0" readingOrder="0"/>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rgb="FF0000FF"/>
      </font>
    </dxf>
    <dxf>
      <font>
        <color rgb="FF0000FF"/>
      </font>
    </dxf>
    <dxf>
      <font>
        <color rgb="FF0000FF"/>
      </font>
    </dxf>
    <dxf>
      <font>
        <color rgb="FF0000FF"/>
      </font>
    </dxf>
    <dxf>
      <font>
        <color theme="0"/>
      </font>
      <fill>
        <patternFill>
          <bgColor theme="0" tint="-0.24994659260841701"/>
        </patternFill>
      </fill>
    </dxf>
    <dxf>
      <font>
        <color theme="0"/>
      </font>
      <fill>
        <patternFill>
          <bgColor theme="0" tint="-0.34998626667073579"/>
        </patternFill>
      </fill>
    </dxf>
    <dxf>
      <fill>
        <patternFill>
          <bgColor theme="0" tint="-0.34998626667073579"/>
        </patternFill>
      </fill>
    </dxf>
    <dxf>
      <font>
        <color theme="0"/>
      </font>
      <fill>
        <patternFill>
          <bgColor theme="0" tint="-0.24994659260841701"/>
        </patternFill>
      </fill>
    </dxf>
    <dxf>
      <font>
        <color rgb="FF0000FF"/>
      </font>
    </dxf>
    <dxf>
      <font>
        <color rgb="FF0000FF"/>
      </font>
    </dxf>
    <dxf>
      <font>
        <color theme="0"/>
      </font>
      <fill>
        <patternFill>
          <bgColor theme="0" tint="-0.24994659260841701"/>
        </patternFill>
      </fill>
    </dxf>
    <dxf>
      <font>
        <color rgb="FF0000FF"/>
      </font>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241"/>
      <tableStyleElement type="headerRow" dxfId="240"/>
    </tableStyle>
  </tableStyles>
  <colors>
    <mruColors>
      <color rgb="FFCCFFFF"/>
      <color rgb="FFF0F0F0"/>
      <color rgb="FFFFCCFF"/>
      <color rgb="FF0000FF"/>
      <color rgb="FFFFE0D7"/>
      <color rgb="FFF8FEC2"/>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5088417\Desktop\&#30906;&#35469;&#29992;\REL_SEPG_Peer_Review_Minutes_b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er Review Minutes"/>
      <sheetName val="Peer Review Checklist"/>
      <sheetName val="REL-SEPG-PRM20190507"/>
      <sheetName val="Template Revision history"/>
    </sheetNames>
    <sheetDataSet>
      <sheetData sheetId="0">
        <row r="8">
          <cell r="G8" t="str">
            <v>(Select)</v>
          </cell>
        </row>
      </sheetData>
      <sheetData sheetId="1" refreshError="1"/>
      <sheetData sheetId="2" refreshError="1"/>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テーブル13283232" displayName="テーブル13283232" ref="A2:I69" totalsRowShown="0" headerRowDxfId="10" dataDxfId="9">
  <tableColumns count="9">
    <tableColumn id="1" xr3:uid="{00000000-0010-0000-0000-000001000000}" name="列1" dataDxfId="8">
      <calculatedColumnFormula>ROW()-2</calculatedColumnFormula>
    </tableColumn>
    <tableColumn id="2" xr3:uid="{00000000-0010-0000-0000-000002000000}" name="列2" dataDxfId="7"/>
    <tableColumn id="3" xr3:uid="{00000000-0010-0000-0000-000003000000}" name="列3" dataDxfId="6"/>
    <tableColumn id="4" xr3:uid="{00000000-0010-0000-0000-000004000000}" name="列4" dataDxfId="5"/>
    <tableColumn id="5" xr3:uid="{00000000-0010-0000-0000-000005000000}" name="列5" dataDxfId="4"/>
    <tableColumn id="6" xr3:uid="{00000000-0010-0000-0000-000006000000}" name="列6" dataDxfId="3"/>
    <tableColumn id="7" xr3:uid="{00000000-0010-0000-0000-000007000000}" name="列42" dataDxfId="2"/>
    <tableColumn id="8" xr3:uid="{00000000-0010-0000-0000-000008000000}" name="列52" dataDxfId="1"/>
    <tableColumn id="9" xr3:uid="{00000000-0010-0000-0000-000009000000}" name="列62" dataDxfId="0"/>
  </tableColumns>
  <tableStyleInfo name="TableStyleLight1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ocrm.dgn.renesas.com/websvn/filedetails.php?repname=REL_SW-Std&amp;path=/trunk/template/en/0102en_Standard_Development_Procedure_Management_Table.xlsx" TargetMode="External"/><Relationship Id="rId13" Type="http://schemas.openxmlformats.org/officeDocument/2006/relationships/hyperlink" Target="https://renesasgroup.sharepoint.com/sites/CQ/SEPG/standards/guideline/SW_ProcessGuideline_j.pdf" TargetMode="External"/><Relationship Id="rId18" Type="http://schemas.openxmlformats.org/officeDocument/2006/relationships/hyperlink" Target="https://renesasgroup.sharepoint.com/sites/CK/Global_SEPG/Shared%20Documents/SW_ProcessGuideline_e.pdf" TargetMode="External"/><Relationship Id="rId26" Type="http://schemas.openxmlformats.org/officeDocument/2006/relationships/table" Target="../tables/table1.xml"/><Relationship Id="rId3" Type="http://schemas.openxmlformats.org/officeDocument/2006/relationships/hyperlink" Target="https://renesasgroup.sharepoint.com/sites/CQ/SEPG/standards/guideline/SW_ProcessGuideline_j.pdf" TargetMode="External"/><Relationship Id="rId21" Type="http://schemas.openxmlformats.org/officeDocument/2006/relationships/hyperlink" Target="https://renesasgroup.sharepoint.com/sites/CK/Global_SEPG/Shared%20Documents/SW_ProcessGuideline_e.pdf" TargetMode="External"/><Relationship Id="rId7" Type="http://schemas.openxmlformats.org/officeDocument/2006/relationships/hyperlink" Target="http://socrm.dgn.renesas.com/websvn/filedetails.php?repname=REL_SW-Std&amp;path=/trunk/template/en/0102en_Standard_Development_Procedure_Management_Table.xlsx" TargetMode="External"/><Relationship Id="rId12" Type="http://schemas.openxmlformats.org/officeDocument/2006/relationships/hyperlink" Target="https://renesasgroup.sharepoint.com/sites/CK/Global_SEPG/Shared%20Documents/REL_SEPG_templates_for_GlobalSEPG.zip" TargetMode="External"/><Relationship Id="rId17" Type="http://schemas.openxmlformats.org/officeDocument/2006/relationships/hyperlink" Target="https://renesasgroup.sharepoint.com/sites/CK/Global_SEPG/Shared%20Documents/SW_ProcessGuideline_e.pdf" TargetMode="External"/><Relationship Id="rId25" Type="http://schemas.openxmlformats.org/officeDocument/2006/relationships/printerSettings" Target="../printerSettings/printerSettings4.bin"/><Relationship Id="rId2" Type="http://schemas.openxmlformats.org/officeDocument/2006/relationships/hyperlink" Target="https://renesasgroup.sharepoint.com/sites/CK/Global_SEPG/Shared%20Documents/SW_ProcessGuideline_e.pdf" TargetMode="External"/><Relationship Id="rId16" Type="http://schemas.openxmlformats.org/officeDocument/2006/relationships/hyperlink" Target="https://renesasgroup.sharepoint.com/sites/CQ/SEPG/standards/guideline/SW_ProcessGuideline_j.pdf" TargetMode="External"/><Relationship Id="rId20" Type="http://schemas.openxmlformats.org/officeDocument/2006/relationships/hyperlink" Target="https://renesasgroup.sharepoint.com/sites/CK/Global_SEPG/Shared%20Documents/SW_ProcessGuideline_e.pdf" TargetMode="External"/><Relationship Id="rId1" Type="http://schemas.openxmlformats.org/officeDocument/2006/relationships/hyperlink" Target="https://renesasgroup.sharepoint.com/sites/CQ/SEPG/standards/guideline/SW_ProcessGuideline_j.pdf" TargetMode="External"/><Relationship Id="rId6" Type="http://schemas.openxmlformats.org/officeDocument/2006/relationships/hyperlink" Target="https://renesasgroup.sharepoint.com/sites/CQ/SEPG/standards/guideline/SW_ProcessGuideline_j.pdf" TargetMode="External"/><Relationship Id="rId11" Type="http://schemas.openxmlformats.org/officeDocument/2006/relationships/hyperlink" Target="https://renesasgroup.sharepoint.com/sites/CQ/SEPG/standards/template2/REL_SEPG_Project_Plan.xlsm" TargetMode="External"/><Relationship Id="rId24" Type="http://schemas.openxmlformats.org/officeDocument/2006/relationships/hyperlink" Target="https://renesasgroup.sharepoint.com/sites/CK/Global_SEPG/Shared%20Documents/SW_ProcessGuideline_e.pdf" TargetMode="External"/><Relationship Id="rId5" Type="http://schemas.openxmlformats.org/officeDocument/2006/relationships/hyperlink" Target="https://renesasgroup.sharepoint.com/sites/CQ/SEPG/standards/guideline/SW_ProcessGuideline_j.pdf" TargetMode="External"/><Relationship Id="rId15" Type="http://schemas.openxmlformats.org/officeDocument/2006/relationships/hyperlink" Target="https://renesasgroup.sharepoint.com/sites/CQ/SEPG/standards/guideline/SW_ProcessGuideline_j.pdf" TargetMode="External"/><Relationship Id="rId23" Type="http://schemas.openxmlformats.org/officeDocument/2006/relationships/hyperlink" Target="https://renesasgroup.sharepoint.com/sites/CK/Global_SEPG/Shared%20Documents/SW_ProcessGuideline_e.pdf" TargetMode="External"/><Relationship Id="rId10" Type="http://schemas.openxmlformats.org/officeDocument/2006/relationships/hyperlink" Target="http://socrm.dgn.renesas.com/websvn/filedetails.php?repname=REL_SW-Std&amp;path=/trunk/template/ja/0102ja_Standard_Development_Procedure_Management_Table.xlsx" TargetMode="External"/><Relationship Id="rId19" Type="http://schemas.openxmlformats.org/officeDocument/2006/relationships/hyperlink" Target="https://renesasgroup.sharepoint.com/sites/CK/Global_SEPG/Shared%20Documents/SW_ProcessGuideline_e.pdf" TargetMode="External"/><Relationship Id="rId4" Type="http://schemas.openxmlformats.org/officeDocument/2006/relationships/hyperlink" Target="https://renesasgroup.sharepoint.com/sites/CQ/SEPG/standards/guideline/SW_ProcessGuideline_j.pdf" TargetMode="External"/><Relationship Id="rId9" Type="http://schemas.openxmlformats.org/officeDocument/2006/relationships/hyperlink" Target="http://socrm.dgn.renesas.com/websvn/filedetails.php?repname=REL_SW-Std&amp;path=/trunk/template/ja/0102ja_Standard_Development_Procedure_Management_Table.xlsx" TargetMode="External"/><Relationship Id="rId14" Type="http://schemas.openxmlformats.org/officeDocument/2006/relationships/hyperlink" Target="https://renesasgroup.sharepoint.com/sites/CQ/SEPG/standards/guideline/SW_ProcessGuideline_j.pdf" TargetMode="External"/><Relationship Id="rId22" Type="http://schemas.openxmlformats.org/officeDocument/2006/relationships/hyperlink" Target="https://renesasgroup.sharepoint.com/sites/CK/Global_SEPG/Shared%20Documents/SW_ProcessGuideline_e.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BL105"/>
  <sheetViews>
    <sheetView showGridLines="0" tabSelected="1" zoomScale="70" zoomScaleNormal="70" zoomScaleSheetLayoutView="100" workbookViewId="0">
      <selection activeCell="G19" sqref="G19:Z19"/>
    </sheetView>
  </sheetViews>
  <sheetFormatPr defaultColWidth="8.88671875" defaultRowHeight="12.75"/>
  <cols>
    <col min="1" max="2" width="2.88671875" style="16" customWidth="1"/>
    <col min="3" max="3" width="5" style="16" customWidth="1"/>
    <col min="4" max="4" width="6.88671875" style="16" customWidth="1"/>
    <col min="5" max="5" width="9.109375" style="16" customWidth="1"/>
    <col min="6" max="7" width="9.88671875" style="16" customWidth="1"/>
    <col min="8" max="14" width="6.88671875" style="16" customWidth="1"/>
    <col min="15" max="16" width="9.88671875" style="16" customWidth="1"/>
    <col min="17" max="21" width="6.88671875" style="16" customWidth="1"/>
    <col min="22" max="22" width="7.88671875" style="16" customWidth="1"/>
    <col min="23" max="26" width="9.88671875" style="16" customWidth="1"/>
    <col min="27" max="27" width="2.88671875" style="16" hidden="1" customWidth="1"/>
    <col min="28" max="29" width="2.88671875" style="16" customWidth="1"/>
    <col min="30" max="40" width="8.88671875" style="16"/>
    <col min="41" max="41" width="3.44140625" style="16" customWidth="1"/>
    <col min="42" max="42" width="8.88671875" style="16" customWidth="1"/>
    <col min="43" max="43" width="36.44140625" style="16" customWidth="1"/>
    <col min="44" max="44" width="13.109375" style="16" customWidth="1"/>
    <col min="45" max="45" width="10" style="16" customWidth="1"/>
    <col min="46" max="46" width="11.88671875" style="16" customWidth="1"/>
    <col min="47" max="51" width="8.88671875" style="16" customWidth="1"/>
    <col min="52" max="16384" width="8.88671875" style="16"/>
  </cols>
  <sheetData>
    <row r="1" spans="2:28" s="1" customFormat="1" ht="17.100000000000001" customHeight="1">
      <c r="C1" s="2" t="s">
        <v>0</v>
      </c>
      <c r="D1" s="3"/>
      <c r="E1" s="3"/>
      <c r="F1" s="3"/>
      <c r="J1" s="4" t="s">
        <v>104</v>
      </c>
      <c r="U1" s="3"/>
      <c r="V1" s="3"/>
      <c r="X1" s="5"/>
      <c r="Z1" s="5" t="str">
        <f>'Template Revision history'!B3</f>
        <v>REL-SEPG-PRM20190801</v>
      </c>
      <c r="AA1" s="6"/>
      <c r="AB1" s="6"/>
    </row>
    <row r="2" spans="2:28" s="7" customFormat="1" ht="17.100000000000001" customHeight="1">
      <c r="C2" s="8" t="s">
        <v>340</v>
      </c>
      <c r="D2" s="9"/>
      <c r="E2" s="9"/>
      <c r="F2" s="9"/>
      <c r="G2" s="9"/>
      <c r="H2" s="9"/>
      <c r="I2" s="9"/>
      <c r="J2" s="311" t="s">
        <v>105</v>
      </c>
      <c r="K2" s="312"/>
      <c r="L2" s="312"/>
      <c r="M2" s="312"/>
      <c r="N2" s="312"/>
      <c r="O2" s="312"/>
      <c r="P2" s="312"/>
      <c r="Q2" s="312"/>
      <c r="R2" s="312"/>
      <c r="S2" s="312"/>
      <c r="T2" s="312"/>
      <c r="U2" s="312"/>
      <c r="V2" s="312"/>
      <c r="W2" s="312"/>
      <c r="X2" s="312"/>
      <c r="Y2" s="10"/>
      <c r="Z2" s="10"/>
      <c r="AA2" s="6"/>
      <c r="AB2" s="6"/>
    </row>
    <row r="3" spans="2:28" s="7" customFormat="1" ht="17.100000000000001" customHeight="1">
      <c r="B3" s="11" t="s">
        <v>1</v>
      </c>
      <c r="C3" s="216" t="s">
        <v>106</v>
      </c>
      <c r="D3" s="216"/>
      <c r="E3" s="216"/>
      <c r="F3" s="216"/>
      <c r="G3" s="216" t="s">
        <v>107</v>
      </c>
      <c r="H3" s="216"/>
      <c r="I3" s="216"/>
      <c r="J3" s="216"/>
      <c r="K3" s="216"/>
      <c r="L3" s="216"/>
      <c r="M3" s="216"/>
      <c r="N3" s="216"/>
      <c r="O3" s="216"/>
      <c r="P3" s="216"/>
      <c r="Q3" s="216"/>
      <c r="R3" s="217" t="s">
        <v>108</v>
      </c>
      <c r="S3" s="218"/>
      <c r="T3" s="219"/>
      <c r="U3" s="223" t="s">
        <v>203</v>
      </c>
      <c r="V3" s="224"/>
      <c r="W3" s="224"/>
      <c r="X3" s="224"/>
      <c r="Y3" s="224"/>
      <c r="Z3" s="225"/>
    </row>
    <row r="4" spans="2:28" s="7" customFormat="1" ht="17.100000000000001" customHeight="1">
      <c r="B4" s="11"/>
      <c r="C4" s="229" t="s">
        <v>456</v>
      </c>
      <c r="D4" s="230"/>
      <c r="E4" s="230"/>
      <c r="F4" s="230"/>
      <c r="G4" s="231" t="s">
        <v>109</v>
      </c>
      <c r="H4" s="232"/>
      <c r="I4" s="232"/>
      <c r="J4" s="232"/>
      <c r="K4" s="232"/>
      <c r="L4" s="232"/>
      <c r="M4" s="232"/>
      <c r="N4" s="232"/>
      <c r="O4" s="232"/>
      <c r="P4" s="232"/>
      <c r="Q4" s="233"/>
      <c r="R4" s="220"/>
      <c r="S4" s="221"/>
      <c r="T4" s="222"/>
      <c r="U4" s="226"/>
      <c r="V4" s="227"/>
      <c r="W4" s="227"/>
      <c r="X4" s="227"/>
      <c r="Y4" s="227"/>
      <c r="Z4" s="228"/>
    </row>
    <row r="5" spans="2:28" s="7" customFormat="1" ht="17.100000000000001" customHeight="1">
      <c r="B5" s="11"/>
      <c r="C5" s="230"/>
      <c r="D5" s="230"/>
      <c r="E5" s="230"/>
      <c r="F5" s="230"/>
      <c r="G5" s="234"/>
      <c r="H5" s="235"/>
      <c r="I5" s="235"/>
      <c r="J5" s="235"/>
      <c r="K5" s="235"/>
      <c r="L5" s="235"/>
      <c r="M5" s="235"/>
      <c r="N5" s="235"/>
      <c r="O5" s="235"/>
      <c r="P5" s="235"/>
      <c r="Q5" s="236"/>
      <c r="R5" s="217" t="s">
        <v>110</v>
      </c>
      <c r="S5" s="218"/>
      <c r="T5" s="219"/>
      <c r="U5" s="240" t="s">
        <v>472</v>
      </c>
      <c r="V5" s="241"/>
      <c r="W5" s="241"/>
      <c r="X5" s="241"/>
      <c r="Y5" s="241"/>
      <c r="Z5" s="242"/>
    </row>
    <row r="6" spans="2:28" s="7" customFormat="1" ht="17.100000000000001" customHeight="1">
      <c r="B6" s="11"/>
      <c r="C6" s="230"/>
      <c r="D6" s="230"/>
      <c r="E6" s="230"/>
      <c r="F6" s="230"/>
      <c r="G6" s="237"/>
      <c r="H6" s="238"/>
      <c r="I6" s="238"/>
      <c r="J6" s="238"/>
      <c r="K6" s="238"/>
      <c r="L6" s="238"/>
      <c r="M6" s="238"/>
      <c r="N6" s="238"/>
      <c r="O6" s="238"/>
      <c r="P6" s="238"/>
      <c r="Q6" s="239"/>
      <c r="R6" s="220"/>
      <c r="S6" s="221"/>
      <c r="T6" s="222"/>
      <c r="U6" s="243"/>
      <c r="V6" s="244"/>
      <c r="W6" s="244"/>
      <c r="X6" s="244"/>
      <c r="Y6" s="244"/>
      <c r="Z6" s="245"/>
    </row>
    <row r="7" spans="2:28" s="7" customFormat="1" ht="17.100000000000001" customHeight="1">
      <c r="B7" s="11"/>
      <c r="C7" s="230"/>
      <c r="D7" s="230"/>
      <c r="E7" s="230"/>
      <c r="F7" s="230"/>
      <c r="G7" s="216" t="s">
        <v>111</v>
      </c>
      <c r="H7" s="216"/>
      <c r="I7" s="216"/>
      <c r="J7" s="216"/>
      <c r="K7" s="216"/>
      <c r="L7" s="216"/>
      <c r="M7" s="216"/>
      <c r="N7" s="216"/>
      <c r="O7" s="216"/>
      <c r="P7" s="216"/>
      <c r="Q7" s="216"/>
      <c r="R7" s="217" t="s">
        <v>112</v>
      </c>
      <c r="S7" s="218"/>
      <c r="T7" s="219"/>
      <c r="U7" s="223" t="s">
        <v>326</v>
      </c>
      <c r="V7" s="224"/>
      <c r="W7" s="224"/>
      <c r="X7" s="224"/>
      <c r="Y7" s="224"/>
      <c r="Z7" s="225"/>
    </row>
    <row r="8" spans="2:28" s="7" customFormat="1" ht="17.100000000000001" customHeight="1">
      <c r="B8" s="11"/>
      <c r="C8" s="230"/>
      <c r="D8" s="230"/>
      <c r="E8" s="230"/>
      <c r="F8" s="230"/>
      <c r="G8" s="246" t="s">
        <v>359</v>
      </c>
      <c r="H8" s="247"/>
      <c r="I8" s="247"/>
      <c r="J8" s="247"/>
      <c r="K8" s="247"/>
      <c r="L8" s="247"/>
      <c r="M8" s="247"/>
      <c r="N8" s="247"/>
      <c r="O8" s="247"/>
      <c r="P8" s="247"/>
      <c r="Q8" s="248"/>
      <c r="R8" s="220"/>
      <c r="S8" s="221"/>
      <c r="T8" s="222"/>
      <c r="U8" s="226"/>
      <c r="V8" s="227"/>
      <c r="W8" s="227"/>
      <c r="X8" s="227"/>
      <c r="Y8" s="227"/>
      <c r="Z8" s="228"/>
    </row>
    <row r="9" spans="2:28" s="7" customFormat="1" ht="17.100000000000001" customHeight="1">
      <c r="B9" s="11"/>
      <c r="C9" s="230"/>
      <c r="D9" s="230"/>
      <c r="E9" s="230"/>
      <c r="F9" s="230"/>
      <c r="G9" s="249"/>
      <c r="H9" s="250"/>
      <c r="I9" s="250"/>
      <c r="J9" s="250"/>
      <c r="K9" s="250"/>
      <c r="L9" s="250"/>
      <c r="M9" s="250"/>
      <c r="N9" s="250"/>
      <c r="O9" s="250"/>
      <c r="P9" s="250"/>
      <c r="Q9" s="251"/>
      <c r="R9" s="217" t="s">
        <v>113</v>
      </c>
      <c r="S9" s="218"/>
      <c r="T9" s="219"/>
      <c r="U9" s="223" t="s">
        <v>457</v>
      </c>
      <c r="V9" s="224"/>
      <c r="W9" s="224"/>
      <c r="X9" s="224"/>
      <c r="Y9" s="224"/>
      <c r="Z9" s="225"/>
    </row>
    <row r="10" spans="2:28" s="7" customFormat="1" ht="17.100000000000001" customHeight="1">
      <c r="B10" s="11"/>
      <c r="C10" s="230"/>
      <c r="D10" s="230"/>
      <c r="E10" s="230"/>
      <c r="F10" s="230"/>
      <c r="G10" s="252"/>
      <c r="H10" s="253"/>
      <c r="I10" s="253"/>
      <c r="J10" s="253"/>
      <c r="K10" s="253"/>
      <c r="L10" s="253"/>
      <c r="M10" s="253"/>
      <c r="N10" s="253"/>
      <c r="O10" s="253"/>
      <c r="P10" s="253"/>
      <c r="Q10" s="254"/>
      <c r="R10" s="220"/>
      <c r="S10" s="221"/>
      <c r="T10" s="222"/>
      <c r="U10" s="226"/>
      <c r="V10" s="227"/>
      <c r="W10" s="227"/>
      <c r="X10" s="227"/>
      <c r="Y10" s="227"/>
      <c r="Z10" s="228"/>
    </row>
    <row r="11" spans="2:28" s="7" customFormat="1" ht="33" customHeight="1">
      <c r="B11" s="11"/>
      <c r="C11" s="230"/>
      <c r="D11" s="230"/>
      <c r="E11" s="230"/>
      <c r="F11" s="230"/>
      <c r="G11" s="216" t="s">
        <v>114</v>
      </c>
      <c r="H11" s="216"/>
      <c r="I11" s="216"/>
      <c r="J11" s="216"/>
      <c r="K11" s="216"/>
      <c r="L11" s="216"/>
      <c r="M11" s="216"/>
      <c r="N11" s="216"/>
      <c r="O11" s="216"/>
      <c r="P11" s="216"/>
      <c r="Q11" s="216"/>
      <c r="R11" s="216"/>
      <c r="S11" s="216"/>
      <c r="T11" s="216"/>
      <c r="U11" s="255" t="s">
        <v>115</v>
      </c>
      <c r="V11" s="255"/>
      <c r="W11" s="255"/>
      <c r="X11" s="255" t="s">
        <v>116</v>
      </c>
      <c r="Y11" s="255"/>
      <c r="Z11" s="255"/>
    </row>
    <row r="12" spans="2:28" s="7" customFormat="1" ht="17.100000000000001" customHeight="1">
      <c r="B12" s="11"/>
      <c r="C12" s="230"/>
      <c r="D12" s="230"/>
      <c r="E12" s="230"/>
      <c r="F12" s="230"/>
      <c r="G12" s="263" t="s">
        <v>468</v>
      </c>
      <c r="H12" s="247"/>
      <c r="I12" s="247"/>
      <c r="J12" s="247"/>
      <c r="K12" s="247"/>
      <c r="L12" s="247"/>
      <c r="M12" s="247"/>
      <c r="N12" s="247"/>
      <c r="O12" s="247"/>
      <c r="P12" s="247"/>
      <c r="Q12" s="247"/>
      <c r="R12" s="247"/>
      <c r="S12" s="247"/>
      <c r="T12" s="248"/>
      <c r="U12" s="256" t="s">
        <v>480</v>
      </c>
      <c r="V12" s="256"/>
      <c r="W12" s="256"/>
      <c r="X12" s="256" t="s">
        <v>473</v>
      </c>
      <c r="Y12" s="256"/>
      <c r="Z12" s="256"/>
    </row>
    <row r="13" spans="2:28" s="7" customFormat="1" ht="17.100000000000001" customHeight="1">
      <c r="B13" s="11"/>
      <c r="C13" s="230"/>
      <c r="D13" s="230"/>
      <c r="E13" s="230"/>
      <c r="F13" s="230"/>
      <c r="G13" s="249"/>
      <c r="H13" s="250"/>
      <c r="I13" s="250"/>
      <c r="J13" s="250"/>
      <c r="K13" s="250"/>
      <c r="L13" s="250"/>
      <c r="M13" s="250"/>
      <c r="N13" s="250"/>
      <c r="O13" s="250"/>
      <c r="P13" s="250"/>
      <c r="Q13" s="250"/>
      <c r="R13" s="250"/>
      <c r="S13" s="250"/>
      <c r="T13" s="251"/>
      <c r="U13" s="256"/>
      <c r="V13" s="256"/>
      <c r="W13" s="256"/>
      <c r="X13" s="256"/>
      <c r="Y13" s="256"/>
      <c r="Z13" s="256"/>
    </row>
    <row r="14" spans="2:28" s="7" customFormat="1" ht="17.100000000000001" customHeight="1">
      <c r="B14" s="11"/>
      <c r="C14" s="230"/>
      <c r="D14" s="230"/>
      <c r="E14" s="230"/>
      <c r="F14" s="230"/>
      <c r="G14" s="249"/>
      <c r="H14" s="250"/>
      <c r="I14" s="250"/>
      <c r="J14" s="250"/>
      <c r="K14" s="250"/>
      <c r="L14" s="250"/>
      <c r="M14" s="250"/>
      <c r="N14" s="250"/>
      <c r="O14" s="250"/>
      <c r="P14" s="250"/>
      <c r="Q14" s="250"/>
      <c r="R14" s="250"/>
      <c r="S14" s="250"/>
      <c r="T14" s="251"/>
      <c r="U14" s="256"/>
      <c r="V14" s="256"/>
      <c r="W14" s="256"/>
      <c r="X14" s="256"/>
      <c r="Y14" s="256"/>
      <c r="Z14" s="256"/>
    </row>
    <row r="15" spans="2:28" s="7" customFormat="1" ht="17.100000000000001" customHeight="1">
      <c r="B15" s="11"/>
      <c r="C15" s="230"/>
      <c r="D15" s="230"/>
      <c r="E15" s="230"/>
      <c r="F15" s="230"/>
      <c r="G15" s="252"/>
      <c r="H15" s="253"/>
      <c r="I15" s="253"/>
      <c r="J15" s="253"/>
      <c r="K15" s="253"/>
      <c r="L15" s="253"/>
      <c r="M15" s="253"/>
      <c r="N15" s="253"/>
      <c r="O15" s="253"/>
      <c r="P15" s="253"/>
      <c r="Q15" s="253"/>
      <c r="R15" s="253"/>
      <c r="S15" s="253"/>
      <c r="T15" s="254"/>
      <c r="U15" s="256"/>
      <c r="V15" s="256"/>
      <c r="W15" s="256"/>
      <c r="X15" s="256"/>
      <c r="Y15" s="256"/>
      <c r="Z15" s="256"/>
    </row>
    <row r="16" spans="2:28" s="7" customFormat="1" ht="17.100000000000001" customHeight="1">
      <c r="B16" s="12"/>
      <c r="C16" s="230"/>
      <c r="D16" s="230"/>
      <c r="E16" s="230"/>
      <c r="F16" s="230"/>
      <c r="G16" s="257" t="s">
        <v>117</v>
      </c>
      <c r="H16" s="258"/>
      <c r="I16" s="258"/>
      <c r="J16" s="258"/>
      <c r="K16" s="259"/>
      <c r="L16" s="260">
        <v>21038</v>
      </c>
      <c r="M16" s="261"/>
      <c r="N16" s="261"/>
      <c r="O16" s="261"/>
      <c r="P16" s="261"/>
      <c r="Q16" s="261"/>
      <c r="R16" s="261"/>
      <c r="S16" s="261"/>
      <c r="T16" s="262"/>
      <c r="U16" s="256"/>
      <c r="V16" s="256"/>
      <c r="W16" s="256"/>
      <c r="X16" s="256"/>
      <c r="Y16" s="256"/>
      <c r="Z16" s="256"/>
    </row>
    <row r="17" spans="2:26" s="7" customFormat="1" ht="15.75" customHeight="1">
      <c r="B17" s="12"/>
      <c r="E17" s="13"/>
      <c r="L17" s="12"/>
    </row>
    <row r="18" spans="2:26" s="14" customFormat="1" ht="16.5">
      <c r="C18" s="15" t="s">
        <v>118</v>
      </c>
      <c r="D18" s="15"/>
      <c r="E18" s="15"/>
      <c r="F18" s="15"/>
      <c r="G18" s="15"/>
      <c r="H18" s="15"/>
      <c r="I18" s="15"/>
      <c r="J18" s="15"/>
      <c r="K18" s="15"/>
      <c r="L18" s="15"/>
      <c r="M18" s="15"/>
      <c r="N18" s="15"/>
      <c r="O18" s="15"/>
      <c r="P18" s="15"/>
      <c r="Q18" s="15"/>
      <c r="R18" s="15"/>
      <c r="S18" s="15"/>
      <c r="T18" s="15"/>
      <c r="U18" s="15"/>
      <c r="V18" s="15"/>
      <c r="W18" s="15"/>
      <c r="X18" s="15"/>
      <c r="Y18" s="15"/>
      <c r="Z18" s="15"/>
    </row>
    <row r="19" spans="2:26" ht="46.5" customHeight="1">
      <c r="C19" s="194" t="s">
        <v>119</v>
      </c>
      <c r="D19" s="194"/>
      <c r="E19" s="194"/>
      <c r="F19" s="194"/>
      <c r="G19" s="195" t="s">
        <v>469</v>
      </c>
      <c r="H19" s="195"/>
      <c r="I19" s="195"/>
      <c r="J19" s="195"/>
      <c r="K19" s="195"/>
      <c r="L19" s="195"/>
      <c r="M19" s="195"/>
      <c r="N19" s="195"/>
      <c r="O19" s="195"/>
      <c r="P19" s="195"/>
      <c r="Q19" s="195"/>
      <c r="R19" s="195"/>
      <c r="S19" s="195"/>
      <c r="T19" s="195"/>
      <c r="U19" s="195"/>
      <c r="V19" s="195"/>
      <c r="W19" s="195"/>
      <c r="X19" s="195"/>
      <c r="Y19" s="195"/>
      <c r="Z19" s="195"/>
    </row>
    <row r="20" spans="2:26" ht="16.5">
      <c r="C20" s="209" t="s">
        <v>120</v>
      </c>
      <c r="D20" s="209"/>
      <c r="E20" s="209"/>
      <c r="F20" s="209"/>
      <c r="G20" s="207" t="s">
        <v>327</v>
      </c>
      <c r="H20" s="207"/>
      <c r="I20" s="207"/>
      <c r="J20" s="207"/>
      <c r="K20" s="180" t="s">
        <v>79</v>
      </c>
      <c r="L20" s="210"/>
      <c r="M20" s="211"/>
      <c r="N20" s="215" t="s">
        <v>375</v>
      </c>
      <c r="O20" s="215"/>
      <c r="P20" s="215"/>
      <c r="Q20" s="215"/>
      <c r="R20" s="215"/>
      <c r="S20" s="215"/>
      <c r="T20" s="215"/>
    </row>
    <row r="21" spans="2:26" ht="27.75" customHeight="1">
      <c r="C21" s="196" t="s">
        <v>121</v>
      </c>
      <c r="D21" s="197"/>
      <c r="E21" s="197"/>
      <c r="F21" s="198"/>
      <c r="G21" s="208" t="s">
        <v>328</v>
      </c>
      <c r="H21" s="207"/>
      <c r="I21" s="207"/>
      <c r="J21" s="207"/>
      <c r="K21" s="180" t="s">
        <v>122</v>
      </c>
      <c r="L21" s="210"/>
      <c r="M21" s="211"/>
      <c r="N21" s="212" t="s">
        <v>376</v>
      </c>
      <c r="O21" s="213"/>
      <c r="P21" s="213"/>
      <c r="Q21" s="213"/>
      <c r="R21" s="213"/>
      <c r="S21" s="213"/>
      <c r="T21" s="214"/>
    </row>
    <row r="22" spans="2:26" s="14" customFormat="1" ht="16.5">
      <c r="C22" s="18" t="s">
        <v>123</v>
      </c>
      <c r="D22" s="18"/>
      <c r="E22" s="18"/>
      <c r="F22" s="18"/>
      <c r="G22" s="19"/>
      <c r="H22" s="20"/>
      <c r="I22" s="20"/>
      <c r="J22" s="20"/>
      <c r="K22" s="20"/>
      <c r="L22" s="20"/>
      <c r="M22" s="20"/>
      <c r="N22" s="20"/>
      <c r="O22" s="19"/>
      <c r="P22" s="19"/>
      <c r="Q22" s="21"/>
      <c r="R22" s="21"/>
      <c r="S22" s="21"/>
      <c r="T22" s="21"/>
      <c r="U22" s="21"/>
      <c r="V22" s="21"/>
      <c r="W22" s="21"/>
      <c r="X22" s="21"/>
      <c r="Y22" s="21"/>
      <c r="Z22" s="21"/>
    </row>
    <row r="23" spans="2:26" ht="31.5" customHeight="1">
      <c r="C23" s="264" t="s">
        <v>124</v>
      </c>
      <c r="D23" s="313"/>
      <c r="E23" s="313"/>
      <c r="F23" s="314"/>
      <c r="G23" s="159" t="s">
        <v>125</v>
      </c>
      <c r="H23" s="160"/>
      <c r="I23" s="199"/>
      <c r="J23" s="199"/>
      <c r="K23" s="200" t="s">
        <v>126</v>
      </c>
      <c r="L23" s="201"/>
      <c r="M23" s="199"/>
      <c r="N23" s="199"/>
      <c r="O23" s="200" t="s">
        <v>127</v>
      </c>
      <c r="P23" s="201"/>
      <c r="Q23" s="202"/>
      <c r="R23" s="203"/>
      <c r="S23" s="204" t="s">
        <v>128</v>
      </c>
      <c r="T23" s="205"/>
      <c r="U23" s="202" t="s">
        <v>461</v>
      </c>
      <c r="V23" s="206"/>
      <c r="W23" s="206"/>
      <c r="X23" s="206"/>
      <c r="Y23" s="206"/>
      <c r="Z23" s="203"/>
    </row>
    <row r="24" spans="2:26" ht="36" customHeight="1">
      <c r="C24" s="315"/>
      <c r="D24" s="316"/>
      <c r="E24" s="316"/>
      <c r="F24" s="317"/>
      <c r="G24" s="159" t="s">
        <v>129</v>
      </c>
      <c r="H24" s="160"/>
      <c r="I24" s="161" t="s">
        <v>470</v>
      </c>
      <c r="J24" s="161"/>
      <c r="K24" s="161"/>
      <c r="L24" s="161"/>
      <c r="M24" s="161"/>
      <c r="N24" s="161"/>
      <c r="O24" s="161"/>
      <c r="P24" s="161"/>
      <c r="Q24" s="161"/>
      <c r="R24" s="161"/>
      <c r="S24" s="161"/>
      <c r="T24" s="161"/>
      <c r="U24" s="161"/>
      <c r="V24" s="161"/>
      <c r="W24" s="161"/>
      <c r="X24" s="161"/>
      <c r="Y24" s="161"/>
      <c r="Z24" s="161"/>
    </row>
    <row r="25" spans="2:26" ht="61.5" customHeight="1">
      <c r="C25" s="194" t="s">
        <v>130</v>
      </c>
      <c r="D25" s="194"/>
      <c r="E25" s="194"/>
      <c r="F25" s="194"/>
      <c r="G25" s="155" t="s">
        <v>131</v>
      </c>
      <c r="H25" s="156"/>
      <c r="I25" s="275"/>
      <c r="J25" s="275"/>
      <c r="K25" s="159" t="s">
        <v>132</v>
      </c>
      <c r="L25" s="160"/>
      <c r="M25" s="276"/>
      <c r="N25" s="276"/>
      <c r="O25" s="155" t="s">
        <v>133</v>
      </c>
      <c r="P25" s="156"/>
      <c r="Q25" s="277"/>
      <c r="R25" s="278"/>
      <c r="S25" s="155" t="s">
        <v>134</v>
      </c>
      <c r="T25" s="155"/>
      <c r="U25" s="215"/>
      <c r="V25" s="215"/>
      <c r="W25" s="22" t="s">
        <v>135</v>
      </c>
      <c r="X25" s="152"/>
      <c r="Y25" s="153"/>
      <c r="Z25" s="154"/>
    </row>
    <row r="26" spans="2:26" ht="61.5" customHeight="1">
      <c r="C26" s="162" t="s">
        <v>136</v>
      </c>
      <c r="D26" s="163"/>
      <c r="E26" s="163"/>
      <c r="F26" s="164"/>
      <c r="G26" s="189" t="s">
        <v>137</v>
      </c>
      <c r="H26" s="190"/>
      <c r="I26" s="191" t="s">
        <v>472</v>
      </c>
      <c r="J26" s="191"/>
      <c r="K26" s="155" t="s">
        <v>138</v>
      </c>
      <c r="L26" s="156"/>
      <c r="M26" s="192" t="s">
        <v>472</v>
      </c>
      <c r="N26" s="193"/>
      <c r="O26" s="155" t="s">
        <v>139</v>
      </c>
      <c r="P26" s="155"/>
      <c r="Q26" s="215">
        <v>2</v>
      </c>
      <c r="R26" s="215"/>
      <c r="S26" s="155" t="s">
        <v>140</v>
      </c>
      <c r="T26" s="156"/>
      <c r="U26" s="274">
        <f>SUM(Z35:Z44)</f>
        <v>0.2</v>
      </c>
      <c r="V26" s="274"/>
      <c r="W26" s="23"/>
      <c r="X26" s="24"/>
      <c r="Y26" s="24"/>
      <c r="Z26" s="24"/>
    </row>
    <row r="27" spans="2:26" ht="16.5">
      <c r="C27" s="16" t="s">
        <v>141</v>
      </c>
    </row>
    <row r="28" spans="2:26" ht="57.75" customHeight="1">
      <c r="C28" s="174" t="s">
        <v>142</v>
      </c>
      <c r="D28" s="175"/>
      <c r="E28" s="175"/>
      <c r="F28" s="175"/>
      <c r="G28" s="176"/>
      <c r="H28" s="162" t="s">
        <v>143</v>
      </c>
      <c r="I28" s="318"/>
      <c r="J28" s="318"/>
      <c r="K28" s="318"/>
      <c r="L28" s="318"/>
      <c r="M28" s="319"/>
      <c r="N28" s="180" t="s">
        <v>144</v>
      </c>
      <c r="O28" s="181"/>
      <c r="P28" s="181"/>
      <c r="Q28" s="181"/>
      <c r="R28" s="181"/>
      <c r="S28" s="182"/>
      <c r="U28" s="115" t="s">
        <v>389</v>
      </c>
      <c r="V28" s="115" t="s">
        <v>390</v>
      </c>
      <c r="W28" s="320" t="s">
        <v>391</v>
      </c>
      <c r="X28" s="321"/>
      <c r="Y28" s="320" t="s">
        <v>392</v>
      </c>
      <c r="Z28" s="321"/>
    </row>
    <row r="29" spans="2:26" ht="39" customHeight="1">
      <c r="C29" s="177"/>
      <c r="D29" s="178"/>
      <c r="E29" s="178"/>
      <c r="F29" s="178"/>
      <c r="G29" s="179"/>
      <c r="H29" s="162" t="s">
        <v>145</v>
      </c>
      <c r="I29" s="164"/>
      <c r="J29" s="155" t="s">
        <v>146</v>
      </c>
      <c r="K29" s="156"/>
      <c r="L29" s="155" t="s">
        <v>147</v>
      </c>
      <c r="M29" s="156"/>
      <c r="N29" s="180" t="s">
        <v>145</v>
      </c>
      <c r="O29" s="211"/>
      <c r="P29" s="279" t="s">
        <v>146</v>
      </c>
      <c r="Q29" s="280"/>
      <c r="R29" s="279" t="s">
        <v>147</v>
      </c>
      <c r="S29" s="280"/>
      <c r="U29" s="116">
        <f>SUMIF($V$34:$V$45,$V29,T$34:T$45)</f>
        <v>2</v>
      </c>
      <c r="V29" s="115" t="s">
        <v>393</v>
      </c>
      <c r="W29" s="116">
        <f t="shared" ref="W29:Z31" si="0">SUMIF($V$34:$V$45,$V29,W$34:W$45)</f>
        <v>0.42199999999999999</v>
      </c>
      <c r="X29" s="116">
        <f t="shared" si="0"/>
        <v>1</v>
      </c>
      <c r="Y29" s="117">
        <f t="shared" si="0"/>
        <v>0.19230769230769229</v>
      </c>
      <c r="Z29" s="117">
        <f t="shared" si="0"/>
        <v>0.2</v>
      </c>
    </row>
    <row r="30" spans="2:26" ht="31.5" customHeight="1">
      <c r="C30" s="162" t="s">
        <v>148</v>
      </c>
      <c r="D30" s="163"/>
      <c r="E30" s="163"/>
      <c r="F30" s="163"/>
      <c r="G30" s="164"/>
      <c r="H30" s="269">
        <v>0.21099999999999999</v>
      </c>
      <c r="I30" s="269"/>
      <c r="J30" s="269" t="s">
        <v>329</v>
      </c>
      <c r="K30" s="269"/>
      <c r="L30" s="269" t="s">
        <v>329</v>
      </c>
      <c r="M30" s="269"/>
      <c r="N30" s="273">
        <f>IFERROR(SUMIF(V35:V45,"Page",X35:X45)/SUMIF(V35:V45,"Page",T35:U45),0)</f>
        <v>0.5</v>
      </c>
      <c r="O30" s="273"/>
      <c r="P30" s="273">
        <f>IFERROR(SUMIF(V35:V45,"Line",X35:X45)/SUMIF(V35:V45,"Line",T35:U45),0)</f>
        <v>0</v>
      </c>
      <c r="Q30" s="273"/>
      <c r="R30" s="273">
        <f>IFERROR(SUMIF(V35:V45,"Number",X35:X45)/SUMIF(V35:V45,"Number",T35:U45),0)</f>
        <v>0</v>
      </c>
      <c r="S30" s="273"/>
      <c r="U30" s="116">
        <f>SUMIF($V$34:$V$45,$V30,T$34:T$45)</f>
        <v>0</v>
      </c>
      <c r="V30" s="115" t="s">
        <v>394</v>
      </c>
      <c r="W30" s="116">
        <f t="shared" si="0"/>
        <v>0</v>
      </c>
      <c r="X30" s="116">
        <f t="shared" si="0"/>
        <v>0</v>
      </c>
      <c r="Y30" s="117">
        <f t="shared" si="0"/>
        <v>0</v>
      </c>
      <c r="Z30" s="117">
        <f t="shared" si="0"/>
        <v>0</v>
      </c>
    </row>
    <row r="31" spans="2:26" ht="35.25" customHeight="1">
      <c r="C31" s="162" t="s">
        <v>149</v>
      </c>
      <c r="D31" s="163"/>
      <c r="E31" s="163"/>
      <c r="F31" s="163"/>
      <c r="G31" s="164"/>
      <c r="H31" s="270">
        <v>10.4</v>
      </c>
      <c r="I31" s="270"/>
      <c r="J31" s="270" t="s">
        <v>329</v>
      </c>
      <c r="K31" s="270"/>
      <c r="L31" s="270" t="s">
        <v>329</v>
      </c>
      <c r="M31" s="270"/>
      <c r="N31" s="268">
        <f>IFERROR(SUMIF(V35:V45,"Page",T35:U45)/SUMIF(V35:V45,"Page",Z35:Z45),0)</f>
        <v>10</v>
      </c>
      <c r="O31" s="268"/>
      <c r="P31" s="268">
        <f>IFERROR(SUMIF(V35:V45,"Line",T35:U45)/SUMIF(V35:V45,"Line",Z35:Z45),0)</f>
        <v>0</v>
      </c>
      <c r="Q31" s="268"/>
      <c r="R31" s="268">
        <f>IFERROR(SUMIF(V35:V45,"Number",T35:U45)/SUMIF(V35:V45,"Number",Z35:Z45),0)</f>
        <v>0</v>
      </c>
      <c r="S31" s="268"/>
      <c r="U31" s="116">
        <f>SUMIF($V$34:$V$45,$V31,T$34:T$45)</f>
        <v>0</v>
      </c>
      <c r="V31" s="115" t="s">
        <v>395</v>
      </c>
      <c r="W31" s="116">
        <f t="shared" si="0"/>
        <v>0</v>
      </c>
      <c r="X31" s="116">
        <f t="shared" si="0"/>
        <v>0</v>
      </c>
      <c r="Y31" s="117">
        <f t="shared" si="0"/>
        <v>0</v>
      </c>
      <c r="Z31" s="117">
        <f t="shared" si="0"/>
        <v>0</v>
      </c>
    </row>
    <row r="32" spans="2:26" ht="16.5" customHeight="1">
      <c r="C32" s="15" t="s">
        <v>150</v>
      </c>
      <c r="D32" s="15"/>
      <c r="E32" s="15"/>
      <c r="F32" s="15"/>
      <c r="G32" s="15"/>
      <c r="H32" s="15"/>
      <c r="I32" s="15"/>
      <c r="J32" s="15"/>
      <c r="K32" s="15"/>
      <c r="L32" s="15"/>
      <c r="M32" s="15"/>
      <c r="N32" s="15"/>
      <c r="O32" s="15"/>
      <c r="P32" s="15"/>
      <c r="Q32" s="15"/>
      <c r="R32" s="15"/>
      <c r="S32" s="15"/>
      <c r="T32" s="15"/>
      <c r="U32" s="15"/>
      <c r="V32" s="15"/>
      <c r="W32" s="25"/>
      <c r="X32" s="25"/>
      <c r="Y32" s="25"/>
      <c r="Z32" s="25"/>
    </row>
    <row r="33" spans="3:64" ht="54.75" customHeight="1">
      <c r="C33" s="264" t="s">
        <v>151</v>
      </c>
      <c r="D33" s="265"/>
      <c r="E33" s="264" t="s">
        <v>152</v>
      </c>
      <c r="F33" s="271"/>
      <c r="G33" s="271"/>
      <c r="H33" s="271"/>
      <c r="I33" s="271"/>
      <c r="J33" s="271"/>
      <c r="K33" s="271"/>
      <c r="L33" s="183" t="s">
        <v>153</v>
      </c>
      <c r="M33" s="184"/>
      <c r="N33" s="184"/>
      <c r="O33" s="184"/>
      <c r="P33" s="184"/>
      <c r="Q33" s="183" t="s">
        <v>154</v>
      </c>
      <c r="R33" s="184"/>
      <c r="S33" s="185"/>
      <c r="T33" s="307" t="s">
        <v>155</v>
      </c>
      <c r="U33" s="308"/>
      <c r="V33" s="281" t="s">
        <v>156</v>
      </c>
      <c r="W33" s="281" t="s">
        <v>157</v>
      </c>
      <c r="X33" s="281"/>
      <c r="Y33" s="281" t="s">
        <v>158</v>
      </c>
      <c r="Z33" s="322"/>
      <c r="BL33" s="16" t="s">
        <v>159</v>
      </c>
    </row>
    <row r="34" spans="3:64" ht="69" customHeight="1">
      <c r="C34" s="266"/>
      <c r="D34" s="267"/>
      <c r="E34" s="266"/>
      <c r="F34" s="272"/>
      <c r="G34" s="272"/>
      <c r="H34" s="272"/>
      <c r="I34" s="272"/>
      <c r="J34" s="272"/>
      <c r="K34" s="272"/>
      <c r="L34" s="186"/>
      <c r="M34" s="187"/>
      <c r="N34" s="187"/>
      <c r="O34" s="187"/>
      <c r="P34" s="187"/>
      <c r="Q34" s="186"/>
      <c r="R34" s="187"/>
      <c r="S34" s="188"/>
      <c r="T34" s="309"/>
      <c r="U34" s="310"/>
      <c r="V34" s="281"/>
      <c r="W34" s="26" t="s">
        <v>160</v>
      </c>
      <c r="X34" s="17" t="s">
        <v>161</v>
      </c>
      <c r="Y34" s="26" t="s">
        <v>160</v>
      </c>
      <c r="Z34" s="26" t="s">
        <v>161</v>
      </c>
    </row>
    <row r="35" spans="3:64">
      <c r="C35" s="165">
        <v>1</v>
      </c>
      <c r="D35" s="164"/>
      <c r="E35" s="166" t="s">
        <v>374</v>
      </c>
      <c r="F35" s="167"/>
      <c r="G35" s="167"/>
      <c r="H35" s="167"/>
      <c r="I35" s="167"/>
      <c r="J35" s="167"/>
      <c r="K35" s="168"/>
      <c r="L35" s="166" t="s">
        <v>463</v>
      </c>
      <c r="M35" s="167"/>
      <c r="N35" s="167"/>
      <c r="O35" s="167"/>
      <c r="P35" s="168"/>
      <c r="Q35" s="285">
        <v>1.3</v>
      </c>
      <c r="R35" s="286"/>
      <c r="S35" s="287"/>
      <c r="T35" s="302">
        <v>2</v>
      </c>
      <c r="U35" s="303"/>
      <c r="V35" s="44" t="s">
        <v>345</v>
      </c>
      <c r="W35" s="27">
        <f>IF(V35="Page",$H$30*T35,IF(V35="Line",$J$30*T35,IF(V35="Number",$L$30*T35,"")))</f>
        <v>0.42199999999999999</v>
      </c>
      <c r="X35" s="28">
        <f>COUNTIF(AA$49:AA$100,C35)</f>
        <v>1</v>
      </c>
      <c r="Y35" s="27">
        <f t="shared" ref="Y35:Y44" si="1">IFERROR(IF(V35="Page",T35/$H$31,IF(V35="Line",T35/$J$31,IF(V35="Number",T35/$L$31,""))),"")</f>
        <v>0.19230769230769229</v>
      </c>
      <c r="Z35" s="45">
        <f>(0.3+0.1)/2</f>
        <v>0.2</v>
      </c>
    </row>
    <row r="36" spans="3:64">
      <c r="C36" s="165">
        <v>2</v>
      </c>
      <c r="D36" s="164"/>
      <c r="E36" s="166" t="s">
        <v>384</v>
      </c>
      <c r="F36" s="167"/>
      <c r="G36" s="167"/>
      <c r="H36" s="167"/>
      <c r="I36" s="167"/>
      <c r="J36" s="167"/>
      <c r="K36" s="168"/>
      <c r="L36" s="166" t="s">
        <v>464</v>
      </c>
      <c r="M36" s="167"/>
      <c r="N36" s="167"/>
      <c r="O36" s="167"/>
      <c r="P36" s="168"/>
      <c r="Q36" s="288" t="s">
        <v>467</v>
      </c>
      <c r="R36" s="289"/>
      <c r="S36" s="290"/>
      <c r="T36" s="302" t="s">
        <v>203</v>
      </c>
      <c r="U36" s="303"/>
      <c r="V36" s="44" t="s">
        <v>2</v>
      </c>
      <c r="W36" s="27" t="str">
        <f t="shared" ref="W36:W39" si="2">IF(V36="Page",$H$30*T36,IF(V36="Line",$J$30*T36,IF(V36="Number",$L$30*T36,"")))</f>
        <v/>
      </c>
      <c r="X36" s="28">
        <f t="shared" ref="X36:X39" si="3">COUNTIF(AA$49:AA$100,C36)</f>
        <v>0</v>
      </c>
      <c r="Y36" s="27" t="str">
        <f t="shared" ref="Y36:Y39" si="4">IFERROR(IF(V36="Page",T36/$H$31,IF(V36="Line",T36/$J$31,IF(V36="Number",T36/$L$31,""))),"")</f>
        <v/>
      </c>
      <c r="Z36" s="45"/>
    </row>
    <row r="37" spans="3:64">
      <c r="C37" s="165">
        <v>3</v>
      </c>
      <c r="D37" s="164"/>
      <c r="E37" s="166" t="s">
        <v>385</v>
      </c>
      <c r="F37" s="167"/>
      <c r="G37" s="167"/>
      <c r="H37" s="167"/>
      <c r="I37" s="167"/>
      <c r="J37" s="167"/>
      <c r="K37" s="168"/>
      <c r="L37" s="166" t="s">
        <v>465</v>
      </c>
      <c r="M37" s="167"/>
      <c r="N37" s="167"/>
      <c r="O37" s="167"/>
      <c r="P37" s="168"/>
      <c r="Q37" s="288" t="s">
        <v>458</v>
      </c>
      <c r="R37" s="289"/>
      <c r="S37" s="290"/>
      <c r="T37" s="302" t="s">
        <v>203</v>
      </c>
      <c r="U37" s="303"/>
      <c r="V37" s="44" t="s">
        <v>2</v>
      </c>
      <c r="W37" s="27" t="str">
        <f t="shared" si="2"/>
        <v/>
      </c>
      <c r="X37" s="28">
        <f t="shared" si="3"/>
        <v>0</v>
      </c>
      <c r="Y37" s="27" t="str">
        <f t="shared" si="4"/>
        <v/>
      </c>
      <c r="Z37" s="45"/>
    </row>
    <row r="38" spans="3:64">
      <c r="C38" s="165">
        <v>4</v>
      </c>
      <c r="D38" s="164"/>
      <c r="E38" s="166" t="s">
        <v>386</v>
      </c>
      <c r="F38" s="167"/>
      <c r="G38" s="167"/>
      <c r="H38" s="167"/>
      <c r="I38" s="167"/>
      <c r="J38" s="167"/>
      <c r="K38" s="168"/>
      <c r="L38" s="166" t="s">
        <v>466</v>
      </c>
      <c r="M38" s="167"/>
      <c r="N38" s="167"/>
      <c r="O38" s="167"/>
      <c r="P38" s="168"/>
      <c r="Q38" s="285">
        <v>1.3</v>
      </c>
      <c r="R38" s="286"/>
      <c r="S38" s="287"/>
      <c r="T38" s="302" t="s">
        <v>203</v>
      </c>
      <c r="U38" s="303"/>
      <c r="V38" s="44" t="s">
        <v>2</v>
      </c>
      <c r="W38" s="27" t="str">
        <f t="shared" si="2"/>
        <v/>
      </c>
      <c r="X38" s="28">
        <f t="shared" si="3"/>
        <v>0</v>
      </c>
      <c r="Y38" s="27" t="str">
        <f t="shared" si="4"/>
        <v/>
      </c>
      <c r="Z38" s="45"/>
    </row>
    <row r="39" spans="3:64">
      <c r="C39" s="165">
        <v>5</v>
      </c>
      <c r="D39" s="164"/>
      <c r="E39" s="166"/>
      <c r="F39" s="167"/>
      <c r="G39" s="167"/>
      <c r="H39" s="167"/>
      <c r="I39" s="167"/>
      <c r="J39" s="167"/>
      <c r="K39" s="168"/>
      <c r="L39" s="166"/>
      <c r="M39" s="167"/>
      <c r="N39" s="167"/>
      <c r="O39" s="167"/>
      <c r="P39" s="168"/>
      <c r="Q39" s="285"/>
      <c r="R39" s="286"/>
      <c r="S39" s="287"/>
      <c r="T39" s="302"/>
      <c r="U39" s="303"/>
      <c r="V39" s="44" t="s">
        <v>2</v>
      </c>
      <c r="W39" s="27" t="str">
        <f t="shared" si="2"/>
        <v/>
      </c>
      <c r="X39" s="28">
        <f t="shared" si="3"/>
        <v>0</v>
      </c>
      <c r="Y39" s="27" t="str">
        <f t="shared" si="4"/>
        <v/>
      </c>
      <c r="Z39" s="45"/>
    </row>
    <row r="40" spans="3:64">
      <c r="C40" s="165">
        <v>6</v>
      </c>
      <c r="D40" s="164"/>
      <c r="E40" s="166"/>
      <c r="F40" s="167"/>
      <c r="G40" s="167"/>
      <c r="H40" s="167"/>
      <c r="I40" s="167"/>
      <c r="J40" s="167"/>
      <c r="K40" s="168"/>
      <c r="L40" s="166"/>
      <c r="M40" s="167"/>
      <c r="N40" s="167"/>
      <c r="O40" s="167"/>
      <c r="P40" s="168"/>
      <c r="Q40" s="282"/>
      <c r="R40" s="283"/>
      <c r="S40" s="284"/>
      <c r="T40" s="305"/>
      <c r="U40" s="303"/>
      <c r="V40" s="44" t="s">
        <v>2</v>
      </c>
      <c r="W40" s="27" t="str">
        <f t="shared" ref="W40" si="5">IF(V40="Page",$H$30*T40,IF(V40="Line",$J$30*T40,IF(V40="Number",$L$30*T40,"")))</f>
        <v/>
      </c>
      <c r="X40" s="28">
        <f t="shared" ref="X40" si="6">COUNTIF(AA$49:AA$100,C40)</f>
        <v>0</v>
      </c>
      <c r="Y40" s="27" t="str">
        <f t="shared" ref="Y40" si="7">IFERROR(IF(V40="Page",T40/$H$31,IF(V40="Line",T40/$J$31,IF(V40="Number",T40/$L$31,""))),"")</f>
        <v/>
      </c>
      <c r="Z40" s="45"/>
    </row>
    <row r="41" spans="3:64">
      <c r="C41" s="165">
        <v>7</v>
      </c>
      <c r="D41" s="164"/>
      <c r="E41" s="166"/>
      <c r="F41" s="167"/>
      <c r="G41" s="167"/>
      <c r="H41" s="167"/>
      <c r="I41" s="167"/>
      <c r="J41" s="167"/>
      <c r="K41" s="168"/>
      <c r="L41" s="166"/>
      <c r="M41" s="167"/>
      <c r="N41" s="167"/>
      <c r="O41" s="167"/>
      <c r="P41" s="168"/>
      <c r="Q41" s="285"/>
      <c r="R41" s="286"/>
      <c r="S41" s="287"/>
      <c r="T41" s="302"/>
      <c r="U41" s="303"/>
      <c r="V41" s="44" t="s">
        <v>2</v>
      </c>
      <c r="W41" s="27" t="str">
        <f t="shared" ref="W41:W44" si="8">IF(V41="Page",$H$30*T41,IF(V41="Line",$J$30*T41,IF(V41="Number",$L$30*T41,"")))</f>
        <v/>
      </c>
      <c r="X41" s="28">
        <f t="shared" ref="X41:X44" si="9">COUNTIF(AA$49:AA$100,C41)</f>
        <v>0</v>
      </c>
      <c r="Y41" s="27" t="str">
        <f t="shared" si="1"/>
        <v/>
      </c>
      <c r="Z41" s="45"/>
    </row>
    <row r="42" spans="3:64">
      <c r="C42" s="165">
        <v>8</v>
      </c>
      <c r="D42" s="164"/>
      <c r="E42" s="166"/>
      <c r="F42" s="167"/>
      <c r="G42" s="167"/>
      <c r="H42" s="167"/>
      <c r="I42" s="167"/>
      <c r="J42" s="167"/>
      <c r="K42" s="168"/>
      <c r="L42" s="166"/>
      <c r="M42" s="167"/>
      <c r="N42" s="167"/>
      <c r="O42" s="167"/>
      <c r="P42" s="168"/>
      <c r="Q42" s="288"/>
      <c r="R42" s="289"/>
      <c r="S42" s="290"/>
      <c r="T42" s="302"/>
      <c r="U42" s="303"/>
      <c r="V42" s="44" t="s">
        <v>2</v>
      </c>
      <c r="W42" s="27" t="str">
        <f t="shared" si="8"/>
        <v/>
      </c>
      <c r="X42" s="28">
        <f t="shared" si="9"/>
        <v>0</v>
      </c>
      <c r="Y42" s="27" t="str">
        <f t="shared" si="1"/>
        <v/>
      </c>
      <c r="Z42" s="45"/>
    </row>
    <row r="43" spans="3:64">
      <c r="C43" s="165">
        <v>9</v>
      </c>
      <c r="D43" s="164"/>
      <c r="E43" s="166"/>
      <c r="F43" s="167"/>
      <c r="G43" s="167"/>
      <c r="H43" s="167"/>
      <c r="I43" s="167"/>
      <c r="J43" s="167"/>
      <c r="K43" s="168"/>
      <c r="L43" s="166"/>
      <c r="M43" s="167"/>
      <c r="N43" s="167"/>
      <c r="O43" s="167"/>
      <c r="P43" s="168"/>
      <c r="Q43" s="291"/>
      <c r="R43" s="292"/>
      <c r="S43" s="293"/>
      <c r="T43" s="172"/>
      <c r="U43" s="173"/>
      <c r="V43" s="44" t="s">
        <v>2</v>
      </c>
      <c r="W43" s="27" t="str">
        <f t="shared" si="8"/>
        <v/>
      </c>
      <c r="X43" s="28">
        <f t="shared" si="9"/>
        <v>0</v>
      </c>
      <c r="Y43" s="27" t="str">
        <f t="shared" si="1"/>
        <v/>
      </c>
      <c r="Z43" s="45"/>
    </row>
    <row r="44" spans="3:64">
      <c r="C44" s="165">
        <v>10</v>
      </c>
      <c r="D44" s="164"/>
      <c r="E44" s="166"/>
      <c r="F44" s="167"/>
      <c r="G44" s="167"/>
      <c r="H44" s="167"/>
      <c r="I44" s="167"/>
      <c r="J44" s="167"/>
      <c r="K44" s="168"/>
      <c r="L44" s="166"/>
      <c r="M44" s="167"/>
      <c r="N44" s="167"/>
      <c r="O44" s="167"/>
      <c r="P44" s="168"/>
      <c r="Q44" s="169"/>
      <c r="R44" s="170"/>
      <c r="S44" s="171"/>
      <c r="T44" s="172"/>
      <c r="U44" s="173"/>
      <c r="V44" s="44" t="s">
        <v>2</v>
      </c>
      <c r="W44" s="27" t="str">
        <f t="shared" si="8"/>
        <v/>
      </c>
      <c r="X44" s="28">
        <f t="shared" si="9"/>
        <v>0</v>
      </c>
      <c r="Y44" s="27" t="str">
        <f t="shared" si="1"/>
        <v/>
      </c>
      <c r="Z44" s="45"/>
    </row>
    <row r="45" spans="3:64" ht="9.9499999999999993" customHeight="1">
      <c r="C45" s="304"/>
      <c r="D45" s="304"/>
      <c r="E45" s="295"/>
      <c r="F45" s="295"/>
      <c r="G45" s="295"/>
      <c r="H45" s="295"/>
      <c r="I45" s="295"/>
      <c r="J45" s="295"/>
      <c r="K45" s="295"/>
      <c r="L45" s="295"/>
      <c r="M45" s="295"/>
      <c r="N45" s="295"/>
      <c r="O45" s="295"/>
      <c r="P45" s="295"/>
      <c r="Q45" s="294"/>
      <c r="R45" s="294"/>
      <c r="S45" s="294"/>
      <c r="T45" s="306"/>
      <c r="U45" s="306"/>
      <c r="V45" s="306"/>
      <c r="W45" s="306"/>
      <c r="X45" s="306"/>
      <c r="Y45" s="306"/>
      <c r="Z45" s="306"/>
      <c r="AA45" s="306"/>
    </row>
    <row r="46" spans="3:64" s="14" customFormat="1" ht="18" customHeight="1">
      <c r="C46" s="14" t="s">
        <v>162</v>
      </c>
    </row>
    <row r="47" spans="3:64" ht="28.5" customHeight="1">
      <c r="C47" s="194" t="s">
        <v>3</v>
      </c>
      <c r="D47" s="194" t="s">
        <v>163</v>
      </c>
      <c r="E47" s="194"/>
      <c r="F47" s="194" t="s">
        <v>164</v>
      </c>
      <c r="G47" s="155" t="s">
        <v>165</v>
      </c>
      <c r="H47" s="279" t="s">
        <v>166</v>
      </c>
      <c r="I47" s="279"/>
      <c r="J47" s="279"/>
      <c r="K47" s="279"/>
      <c r="L47" s="279"/>
      <c r="M47" s="279"/>
      <c r="N47" s="279"/>
      <c r="O47" s="155" t="s">
        <v>167</v>
      </c>
      <c r="P47" s="155" t="s">
        <v>168</v>
      </c>
      <c r="Q47" s="155" t="s">
        <v>169</v>
      </c>
      <c r="R47" s="155"/>
      <c r="S47" s="279" t="s">
        <v>170</v>
      </c>
      <c r="T47" s="279"/>
      <c r="U47" s="279"/>
      <c r="V47" s="279"/>
      <c r="W47" s="279"/>
      <c r="X47" s="155" t="s">
        <v>171</v>
      </c>
      <c r="Y47" s="155" t="s">
        <v>172</v>
      </c>
      <c r="Z47" s="155"/>
    </row>
    <row r="48" spans="3:64" s="29" customFormat="1" ht="102.75" customHeight="1">
      <c r="C48" s="194"/>
      <c r="D48" s="17" t="s">
        <v>173</v>
      </c>
      <c r="E48" s="17" t="s">
        <v>174</v>
      </c>
      <c r="F48" s="194"/>
      <c r="G48" s="155"/>
      <c r="H48" s="279"/>
      <c r="I48" s="279"/>
      <c r="J48" s="279"/>
      <c r="K48" s="279"/>
      <c r="L48" s="279"/>
      <c r="M48" s="279"/>
      <c r="N48" s="279"/>
      <c r="O48" s="155"/>
      <c r="P48" s="155"/>
      <c r="Q48" s="155"/>
      <c r="R48" s="155"/>
      <c r="S48" s="279"/>
      <c r="T48" s="279"/>
      <c r="U48" s="279"/>
      <c r="V48" s="279"/>
      <c r="W48" s="279"/>
      <c r="X48" s="155"/>
      <c r="Y48" s="155"/>
      <c r="Z48" s="155"/>
    </row>
    <row r="49" spans="3:27" ht="48" customHeight="1">
      <c r="C49" s="30">
        <v>1</v>
      </c>
      <c r="D49" s="31">
        <v>1</v>
      </c>
      <c r="E49" s="32" t="s">
        <v>474</v>
      </c>
      <c r="F49" s="31" t="s">
        <v>470</v>
      </c>
      <c r="G49" s="31" t="s">
        <v>476</v>
      </c>
      <c r="H49" s="147" t="s">
        <v>475</v>
      </c>
      <c r="I49" s="148"/>
      <c r="J49" s="148"/>
      <c r="K49" s="148"/>
      <c r="L49" s="148"/>
      <c r="M49" s="148"/>
      <c r="N49" s="149"/>
      <c r="O49" s="31" t="s">
        <v>477</v>
      </c>
      <c r="P49" s="33" t="s">
        <v>461</v>
      </c>
      <c r="Q49" s="150" t="s">
        <v>472</v>
      </c>
      <c r="R49" s="151"/>
      <c r="S49" s="152" t="s">
        <v>478</v>
      </c>
      <c r="T49" s="153"/>
      <c r="U49" s="153"/>
      <c r="V49" s="153"/>
      <c r="W49" s="154"/>
      <c r="X49" s="34" t="s">
        <v>470</v>
      </c>
      <c r="Y49" s="150" t="s">
        <v>472</v>
      </c>
      <c r="Z49" s="151"/>
      <c r="AA49" s="16">
        <f t="shared" ref="AA49:AA99" si="10">IF(G49="Issue",D49,"")</f>
        <v>1</v>
      </c>
    </row>
    <row r="50" spans="3:27">
      <c r="C50" s="30">
        <v>2</v>
      </c>
      <c r="D50" s="31"/>
      <c r="E50" s="32"/>
      <c r="F50" s="31"/>
      <c r="G50" s="31" t="s">
        <v>2</v>
      </c>
      <c r="H50" s="147"/>
      <c r="I50" s="148"/>
      <c r="J50" s="148"/>
      <c r="K50" s="148"/>
      <c r="L50" s="148"/>
      <c r="M50" s="148"/>
      <c r="N50" s="149"/>
      <c r="O50" s="31" t="s">
        <v>2</v>
      </c>
      <c r="P50" s="33"/>
      <c r="Q50" s="150"/>
      <c r="R50" s="151"/>
      <c r="S50" s="152"/>
      <c r="T50" s="153"/>
      <c r="U50" s="153"/>
      <c r="V50" s="153"/>
      <c r="W50" s="154"/>
      <c r="X50" s="34"/>
      <c r="Y50" s="192"/>
      <c r="Z50" s="193"/>
      <c r="AA50" s="16" t="str">
        <f t="shared" si="10"/>
        <v/>
      </c>
    </row>
    <row r="51" spans="3:27">
      <c r="C51" s="30">
        <v>3</v>
      </c>
      <c r="D51" s="31"/>
      <c r="E51" s="32"/>
      <c r="F51" s="31"/>
      <c r="G51" s="31" t="s">
        <v>2</v>
      </c>
      <c r="H51" s="147"/>
      <c r="I51" s="148"/>
      <c r="J51" s="148"/>
      <c r="K51" s="148"/>
      <c r="L51" s="148"/>
      <c r="M51" s="148"/>
      <c r="N51" s="149"/>
      <c r="O51" s="31" t="s">
        <v>2</v>
      </c>
      <c r="P51" s="33"/>
      <c r="Q51" s="150"/>
      <c r="R51" s="151"/>
      <c r="S51" s="152"/>
      <c r="T51" s="153"/>
      <c r="U51" s="153"/>
      <c r="V51" s="153"/>
      <c r="W51" s="154"/>
      <c r="X51" s="34"/>
      <c r="Y51" s="192"/>
      <c r="Z51" s="193"/>
      <c r="AA51" s="16" t="str">
        <f t="shared" si="10"/>
        <v/>
      </c>
    </row>
    <row r="52" spans="3:27">
      <c r="C52" s="30">
        <v>4</v>
      </c>
      <c r="D52" s="118"/>
      <c r="E52" s="142"/>
      <c r="F52" s="31"/>
      <c r="G52" s="31" t="s">
        <v>2</v>
      </c>
      <c r="H52" s="147"/>
      <c r="I52" s="148"/>
      <c r="J52" s="148"/>
      <c r="K52" s="148"/>
      <c r="L52" s="148"/>
      <c r="M52" s="148"/>
      <c r="N52" s="149"/>
      <c r="O52" s="31" t="s">
        <v>2</v>
      </c>
      <c r="P52" s="33"/>
      <c r="Q52" s="150"/>
      <c r="R52" s="151"/>
      <c r="S52" s="152"/>
      <c r="T52" s="153"/>
      <c r="U52" s="153"/>
      <c r="V52" s="153"/>
      <c r="W52" s="154"/>
      <c r="X52" s="34"/>
      <c r="Y52" s="192"/>
      <c r="Z52" s="193"/>
      <c r="AA52" s="16" t="str">
        <f t="shared" si="10"/>
        <v/>
      </c>
    </row>
    <row r="53" spans="3:27">
      <c r="C53" s="30">
        <v>5</v>
      </c>
      <c r="D53" s="118"/>
      <c r="E53" s="142"/>
      <c r="F53" s="31"/>
      <c r="G53" s="31" t="s">
        <v>2</v>
      </c>
      <c r="H53" s="147"/>
      <c r="I53" s="148"/>
      <c r="J53" s="148"/>
      <c r="K53" s="148"/>
      <c r="L53" s="148"/>
      <c r="M53" s="148"/>
      <c r="N53" s="149"/>
      <c r="O53" s="31" t="s">
        <v>2</v>
      </c>
      <c r="P53" s="33"/>
      <c r="Q53" s="150"/>
      <c r="R53" s="151"/>
      <c r="S53" s="152"/>
      <c r="T53" s="153"/>
      <c r="U53" s="153"/>
      <c r="V53" s="153"/>
      <c r="W53" s="154"/>
      <c r="X53" s="34"/>
      <c r="Y53" s="192"/>
      <c r="Z53" s="193"/>
      <c r="AA53" s="16" t="str">
        <f t="shared" si="10"/>
        <v/>
      </c>
    </row>
    <row r="54" spans="3:27">
      <c r="C54" s="30">
        <v>6</v>
      </c>
      <c r="D54" s="118"/>
      <c r="E54" s="142"/>
      <c r="F54" s="31"/>
      <c r="G54" s="31" t="s">
        <v>2</v>
      </c>
      <c r="H54" s="147"/>
      <c r="I54" s="148"/>
      <c r="J54" s="148"/>
      <c r="K54" s="148"/>
      <c r="L54" s="148"/>
      <c r="M54" s="148"/>
      <c r="N54" s="149"/>
      <c r="O54" s="31" t="s">
        <v>2</v>
      </c>
      <c r="P54" s="33"/>
      <c r="Q54" s="150"/>
      <c r="R54" s="151"/>
      <c r="S54" s="152"/>
      <c r="T54" s="153"/>
      <c r="U54" s="153"/>
      <c r="V54" s="153"/>
      <c r="W54" s="154"/>
      <c r="X54" s="34"/>
      <c r="Y54" s="192"/>
      <c r="Z54" s="193"/>
      <c r="AA54" s="16" t="str">
        <f t="shared" si="10"/>
        <v/>
      </c>
    </row>
    <row r="55" spans="3:27">
      <c r="C55" s="30">
        <v>7</v>
      </c>
      <c r="D55" s="118"/>
      <c r="E55" s="119"/>
      <c r="F55" s="31"/>
      <c r="G55" s="31" t="s">
        <v>2</v>
      </c>
      <c r="H55" s="147"/>
      <c r="I55" s="148"/>
      <c r="J55" s="148"/>
      <c r="K55" s="148"/>
      <c r="L55" s="148"/>
      <c r="M55" s="148"/>
      <c r="N55" s="149"/>
      <c r="O55" s="31" t="s">
        <v>2</v>
      </c>
      <c r="P55" s="33"/>
      <c r="Q55" s="150"/>
      <c r="R55" s="151"/>
      <c r="S55" s="152"/>
      <c r="T55" s="153"/>
      <c r="U55" s="153"/>
      <c r="V55" s="153"/>
      <c r="W55" s="154"/>
      <c r="X55" s="34"/>
      <c r="Y55" s="145"/>
      <c r="Z55" s="145"/>
      <c r="AA55" s="16" t="str">
        <f t="shared" si="10"/>
        <v/>
      </c>
    </row>
    <row r="56" spans="3:27">
      <c r="C56" s="30">
        <v>8</v>
      </c>
      <c r="D56" s="31"/>
      <c r="E56" s="32"/>
      <c r="F56" s="31"/>
      <c r="G56" s="31" t="s">
        <v>2</v>
      </c>
      <c r="H56" s="143"/>
      <c r="I56" s="143"/>
      <c r="J56" s="143"/>
      <c r="K56" s="143"/>
      <c r="L56" s="143"/>
      <c r="M56" s="143"/>
      <c r="N56" s="143"/>
      <c r="O56" s="31" t="s">
        <v>2</v>
      </c>
      <c r="P56" s="33"/>
      <c r="Q56" s="150"/>
      <c r="R56" s="151"/>
      <c r="S56" s="146"/>
      <c r="T56" s="146"/>
      <c r="U56" s="146"/>
      <c r="V56" s="146"/>
      <c r="W56" s="146"/>
      <c r="X56" s="34"/>
      <c r="Y56" s="145"/>
      <c r="Z56" s="145"/>
      <c r="AA56" s="16" t="str">
        <f t="shared" si="10"/>
        <v/>
      </c>
    </row>
    <row r="57" spans="3:27">
      <c r="C57" s="30">
        <v>9</v>
      </c>
      <c r="D57" s="31"/>
      <c r="E57" s="32"/>
      <c r="F57" s="31"/>
      <c r="G57" s="31" t="s">
        <v>2</v>
      </c>
      <c r="H57" s="143"/>
      <c r="I57" s="143"/>
      <c r="J57" s="143"/>
      <c r="K57" s="143"/>
      <c r="L57" s="143"/>
      <c r="M57" s="143"/>
      <c r="N57" s="143"/>
      <c r="O57" s="31" t="s">
        <v>2</v>
      </c>
      <c r="P57" s="33"/>
      <c r="Q57" s="144"/>
      <c r="R57" s="144"/>
      <c r="S57" s="146"/>
      <c r="T57" s="146"/>
      <c r="U57" s="146"/>
      <c r="V57" s="146"/>
      <c r="W57" s="146"/>
      <c r="X57" s="34"/>
      <c r="Y57" s="145"/>
      <c r="Z57" s="145"/>
      <c r="AA57" s="16" t="str">
        <f t="shared" si="10"/>
        <v/>
      </c>
    </row>
    <row r="58" spans="3:27">
      <c r="C58" s="30">
        <v>10</v>
      </c>
      <c r="D58" s="31"/>
      <c r="E58" s="32"/>
      <c r="F58" s="31"/>
      <c r="G58" s="31" t="s">
        <v>2</v>
      </c>
      <c r="H58" s="143"/>
      <c r="I58" s="143"/>
      <c r="J58" s="143"/>
      <c r="K58" s="143"/>
      <c r="L58" s="143"/>
      <c r="M58" s="143"/>
      <c r="N58" s="143"/>
      <c r="O58" s="31" t="s">
        <v>2</v>
      </c>
      <c r="P58" s="33"/>
      <c r="Q58" s="144"/>
      <c r="R58" s="144"/>
      <c r="S58" s="146"/>
      <c r="T58" s="146"/>
      <c r="U58" s="146"/>
      <c r="V58" s="146"/>
      <c r="W58" s="146"/>
      <c r="X58" s="34"/>
      <c r="Y58" s="145"/>
      <c r="Z58" s="145"/>
      <c r="AA58" s="16" t="str">
        <f t="shared" si="10"/>
        <v/>
      </c>
    </row>
    <row r="59" spans="3:27" ht="33" hidden="1" customHeight="1">
      <c r="C59" s="30">
        <v>11</v>
      </c>
      <c r="D59" s="31"/>
      <c r="E59" s="32"/>
      <c r="F59" s="31"/>
      <c r="G59" s="31" t="s">
        <v>2</v>
      </c>
      <c r="H59" s="143"/>
      <c r="I59" s="143"/>
      <c r="J59" s="143"/>
      <c r="K59" s="143"/>
      <c r="L59" s="143"/>
      <c r="M59" s="143"/>
      <c r="N59" s="143"/>
      <c r="O59" s="31" t="s">
        <v>2</v>
      </c>
      <c r="P59" s="33"/>
      <c r="Q59" s="144"/>
      <c r="R59" s="144"/>
      <c r="S59" s="146"/>
      <c r="T59" s="146"/>
      <c r="U59" s="146"/>
      <c r="V59" s="146"/>
      <c r="W59" s="146"/>
      <c r="X59" s="34"/>
      <c r="Y59" s="145"/>
      <c r="Z59" s="145"/>
      <c r="AA59" s="16" t="str">
        <f t="shared" si="10"/>
        <v/>
      </c>
    </row>
    <row r="60" spans="3:27" ht="33" hidden="1" customHeight="1">
      <c r="C60" s="30">
        <v>12</v>
      </c>
      <c r="D60" s="31"/>
      <c r="E60" s="32"/>
      <c r="F60" s="31"/>
      <c r="G60" s="31" t="s">
        <v>2</v>
      </c>
      <c r="H60" s="143"/>
      <c r="I60" s="143"/>
      <c r="J60" s="143"/>
      <c r="K60" s="143"/>
      <c r="L60" s="143"/>
      <c r="M60" s="143"/>
      <c r="N60" s="143"/>
      <c r="O60" s="31" t="s">
        <v>2</v>
      </c>
      <c r="P60" s="33"/>
      <c r="Q60" s="144"/>
      <c r="R60" s="144"/>
      <c r="S60" s="146"/>
      <c r="T60" s="146"/>
      <c r="U60" s="146"/>
      <c r="V60" s="146"/>
      <c r="W60" s="146"/>
      <c r="X60" s="34"/>
      <c r="Y60" s="145"/>
      <c r="Z60" s="145"/>
      <c r="AA60" s="16" t="str">
        <f t="shared" si="10"/>
        <v/>
      </c>
    </row>
    <row r="61" spans="3:27" ht="33" hidden="1" customHeight="1">
      <c r="C61" s="30">
        <v>13</v>
      </c>
      <c r="D61" s="31"/>
      <c r="E61" s="32"/>
      <c r="F61" s="31"/>
      <c r="G61" s="31" t="s">
        <v>2</v>
      </c>
      <c r="H61" s="143"/>
      <c r="I61" s="143"/>
      <c r="J61" s="143"/>
      <c r="K61" s="143"/>
      <c r="L61" s="143"/>
      <c r="M61" s="143"/>
      <c r="N61" s="143"/>
      <c r="O61" s="31" t="s">
        <v>2</v>
      </c>
      <c r="P61" s="33"/>
      <c r="Q61" s="144"/>
      <c r="R61" s="144"/>
      <c r="S61" s="146"/>
      <c r="T61" s="146"/>
      <c r="U61" s="146"/>
      <c r="V61" s="146"/>
      <c r="W61" s="146"/>
      <c r="X61" s="34"/>
      <c r="Y61" s="145"/>
      <c r="Z61" s="145"/>
      <c r="AA61" s="16" t="str">
        <f t="shared" si="10"/>
        <v/>
      </c>
    </row>
    <row r="62" spans="3:27" ht="33" hidden="1" customHeight="1">
      <c r="C62" s="30">
        <v>14</v>
      </c>
      <c r="D62" s="31"/>
      <c r="E62" s="32"/>
      <c r="F62" s="31"/>
      <c r="G62" s="31" t="s">
        <v>2</v>
      </c>
      <c r="H62" s="143"/>
      <c r="I62" s="143"/>
      <c r="J62" s="143"/>
      <c r="K62" s="143"/>
      <c r="L62" s="143"/>
      <c r="M62" s="143"/>
      <c r="N62" s="143"/>
      <c r="O62" s="31" t="s">
        <v>2</v>
      </c>
      <c r="P62" s="33"/>
      <c r="Q62" s="144"/>
      <c r="R62" s="144"/>
      <c r="S62" s="146"/>
      <c r="T62" s="146"/>
      <c r="U62" s="146"/>
      <c r="V62" s="146"/>
      <c r="W62" s="146"/>
      <c r="X62" s="34"/>
      <c r="Y62" s="145"/>
      <c r="Z62" s="145"/>
      <c r="AA62" s="16" t="str">
        <f t="shared" si="10"/>
        <v/>
      </c>
    </row>
    <row r="63" spans="3:27" ht="33" hidden="1" customHeight="1">
      <c r="C63" s="30">
        <v>15</v>
      </c>
      <c r="D63" s="31"/>
      <c r="E63" s="32"/>
      <c r="F63" s="31"/>
      <c r="G63" s="31" t="s">
        <v>2</v>
      </c>
      <c r="H63" s="143"/>
      <c r="I63" s="143"/>
      <c r="J63" s="143"/>
      <c r="K63" s="143"/>
      <c r="L63" s="143"/>
      <c r="M63" s="143"/>
      <c r="N63" s="143"/>
      <c r="O63" s="31" t="s">
        <v>2</v>
      </c>
      <c r="P63" s="33"/>
      <c r="Q63" s="144"/>
      <c r="R63" s="144"/>
      <c r="S63" s="146"/>
      <c r="T63" s="146"/>
      <c r="U63" s="146"/>
      <c r="V63" s="146"/>
      <c r="W63" s="146"/>
      <c r="X63" s="34"/>
      <c r="Y63" s="145"/>
      <c r="Z63" s="145"/>
      <c r="AA63" s="16" t="str">
        <f t="shared" si="10"/>
        <v/>
      </c>
    </row>
    <row r="64" spans="3:27" ht="33" hidden="1" customHeight="1">
      <c r="C64" s="30">
        <v>16</v>
      </c>
      <c r="D64" s="31"/>
      <c r="E64" s="32"/>
      <c r="F64" s="31"/>
      <c r="G64" s="31" t="s">
        <v>2</v>
      </c>
      <c r="H64" s="143"/>
      <c r="I64" s="143"/>
      <c r="J64" s="143"/>
      <c r="K64" s="143"/>
      <c r="L64" s="143"/>
      <c r="M64" s="143"/>
      <c r="N64" s="143"/>
      <c r="O64" s="31" t="s">
        <v>2</v>
      </c>
      <c r="P64" s="33"/>
      <c r="Q64" s="144"/>
      <c r="R64" s="144"/>
      <c r="S64" s="146"/>
      <c r="T64" s="146"/>
      <c r="U64" s="146"/>
      <c r="V64" s="146"/>
      <c r="W64" s="146"/>
      <c r="X64" s="34"/>
      <c r="Y64" s="145"/>
      <c r="Z64" s="145"/>
      <c r="AA64" s="16" t="str">
        <f t="shared" si="10"/>
        <v/>
      </c>
    </row>
    <row r="65" spans="3:27" ht="33" hidden="1" customHeight="1">
      <c r="C65" s="30">
        <v>17</v>
      </c>
      <c r="D65" s="31"/>
      <c r="E65" s="32"/>
      <c r="F65" s="31"/>
      <c r="G65" s="31" t="s">
        <v>2</v>
      </c>
      <c r="H65" s="143"/>
      <c r="I65" s="143"/>
      <c r="J65" s="143"/>
      <c r="K65" s="143"/>
      <c r="L65" s="143"/>
      <c r="M65" s="143"/>
      <c r="N65" s="143"/>
      <c r="O65" s="31" t="s">
        <v>2</v>
      </c>
      <c r="P65" s="33"/>
      <c r="Q65" s="144"/>
      <c r="R65" s="144"/>
      <c r="S65" s="146"/>
      <c r="T65" s="146"/>
      <c r="U65" s="146"/>
      <c r="V65" s="146"/>
      <c r="W65" s="146"/>
      <c r="X65" s="34"/>
      <c r="Y65" s="145"/>
      <c r="Z65" s="145"/>
      <c r="AA65" s="16" t="str">
        <f t="shared" si="10"/>
        <v/>
      </c>
    </row>
    <row r="66" spans="3:27" ht="33" hidden="1" customHeight="1">
      <c r="C66" s="30">
        <v>18</v>
      </c>
      <c r="D66" s="31"/>
      <c r="E66" s="32"/>
      <c r="F66" s="31"/>
      <c r="G66" s="31" t="s">
        <v>2</v>
      </c>
      <c r="H66" s="143"/>
      <c r="I66" s="143"/>
      <c r="J66" s="143"/>
      <c r="K66" s="143"/>
      <c r="L66" s="143"/>
      <c r="M66" s="143"/>
      <c r="N66" s="143"/>
      <c r="O66" s="31" t="s">
        <v>2</v>
      </c>
      <c r="P66" s="33"/>
      <c r="Q66" s="144"/>
      <c r="R66" s="144"/>
      <c r="S66" s="146"/>
      <c r="T66" s="146"/>
      <c r="U66" s="146"/>
      <c r="V66" s="146"/>
      <c r="W66" s="146"/>
      <c r="X66" s="34"/>
      <c r="Y66" s="145"/>
      <c r="Z66" s="145"/>
      <c r="AA66" s="16" t="str">
        <f t="shared" si="10"/>
        <v/>
      </c>
    </row>
    <row r="67" spans="3:27" ht="33" hidden="1" customHeight="1">
      <c r="C67" s="30">
        <v>19</v>
      </c>
      <c r="D67" s="31"/>
      <c r="E67" s="32"/>
      <c r="F67" s="31"/>
      <c r="G67" s="31" t="s">
        <v>2</v>
      </c>
      <c r="H67" s="143"/>
      <c r="I67" s="143"/>
      <c r="J67" s="143"/>
      <c r="K67" s="143"/>
      <c r="L67" s="143"/>
      <c r="M67" s="143"/>
      <c r="N67" s="143"/>
      <c r="O67" s="31" t="s">
        <v>2</v>
      </c>
      <c r="P67" s="33"/>
      <c r="Q67" s="144"/>
      <c r="R67" s="144"/>
      <c r="S67" s="146"/>
      <c r="T67" s="146"/>
      <c r="U67" s="146"/>
      <c r="V67" s="146"/>
      <c r="W67" s="146"/>
      <c r="X67" s="34"/>
      <c r="Y67" s="145"/>
      <c r="Z67" s="145"/>
      <c r="AA67" s="16" t="str">
        <f t="shared" si="10"/>
        <v/>
      </c>
    </row>
    <row r="68" spans="3:27" ht="33" hidden="1" customHeight="1">
      <c r="C68" s="30">
        <v>20</v>
      </c>
      <c r="D68" s="31"/>
      <c r="E68" s="32"/>
      <c r="F68" s="31"/>
      <c r="G68" s="31" t="s">
        <v>2</v>
      </c>
      <c r="H68" s="143"/>
      <c r="I68" s="143"/>
      <c r="J68" s="143"/>
      <c r="K68" s="143"/>
      <c r="L68" s="143"/>
      <c r="M68" s="143"/>
      <c r="N68" s="143"/>
      <c r="O68" s="31" t="s">
        <v>2</v>
      </c>
      <c r="P68" s="33"/>
      <c r="Q68" s="144"/>
      <c r="R68" s="144"/>
      <c r="S68" s="146"/>
      <c r="T68" s="146"/>
      <c r="U68" s="146"/>
      <c r="V68" s="146"/>
      <c r="W68" s="146"/>
      <c r="X68" s="34"/>
      <c r="Y68" s="145"/>
      <c r="Z68" s="145"/>
      <c r="AA68" s="16" t="str">
        <f t="shared" si="10"/>
        <v/>
      </c>
    </row>
    <row r="69" spans="3:27" ht="33" hidden="1" customHeight="1">
      <c r="C69" s="30">
        <v>21</v>
      </c>
      <c r="D69" s="31"/>
      <c r="E69" s="32"/>
      <c r="F69" s="31"/>
      <c r="G69" s="31" t="s">
        <v>2</v>
      </c>
      <c r="H69" s="143"/>
      <c r="I69" s="143"/>
      <c r="J69" s="143"/>
      <c r="K69" s="143"/>
      <c r="L69" s="143"/>
      <c r="M69" s="143"/>
      <c r="N69" s="143"/>
      <c r="O69" s="31" t="s">
        <v>2</v>
      </c>
      <c r="P69" s="33"/>
      <c r="Q69" s="144"/>
      <c r="R69" s="144"/>
      <c r="S69" s="146"/>
      <c r="T69" s="146"/>
      <c r="U69" s="146"/>
      <c r="V69" s="146"/>
      <c r="W69" s="146"/>
      <c r="X69" s="34"/>
      <c r="Y69" s="145"/>
      <c r="Z69" s="145"/>
      <c r="AA69" s="16" t="str">
        <f t="shared" si="10"/>
        <v/>
      </c>
    </row>
    <row r="70" spans="3:27" ht="33" hidden="1" customHeight="1">
      <c r="C70" s="30">
        <v>22</v>
      </c>
      <c r="D70" s="31"/>
      <c r="E70" s="32"/>
      <c r="F70" s="31"/>
      <c r="G70" s="31" t="s">
        <v>2</v>
      </c>
      <c r="H70" s="143"/>
      <c r="I70" s="143"/>
      <c r="J70" s="143"/>
      <c r="K70" s="143"/>
      <c r="L70" s="143"/>
      <c r="M70" s="143"/>
      <c r="N70" s="143"/>
      <c r="O70" s="31" t="s">
        <v>2</v>
      </c>
      <c r="P70" s="33"/>
      <c r="Q70" s="144"/>
      <c r="R70" s="144"/>
      <c r="S70" s="146"/>
      <c r="T70" s="146"/>
      <c r="U70" s="146"/>
      <c r="V70" s="146"/>
      <c r="W70" s="146"/>
      <c r="X70" s="34"/>
      <c r="Y70" s="145"/>
      <c r="Z70" s="145"/>
      <c r="AA70" s="16" t="str">
        <f t="shared" si="10"/>
        <v/>
      </c>
    </row>
    <row r="71" spans="3:27" ht="33" hidden="1" customHeight="1">
      <c r="C71" s="30">
        <v>23</v>
      </c>
      <c r="D71" s="31"/>
      <c r="E71" s="32"/>
      <c r="F71" s="31"/>
      <c r="G71" s="31" t="s">
        <v>2</v>
      </c>
      <c r="H71" s="143"/>
      <c r="I71" s="143"/>
      <c r="J71" s="143"/>
      <c r="K71" s="143"/>
      <c r="L71" s="143"/>
      <c r="M71" s="143"/>
      <c r="N71" s="143"/>
      <c r="O71" s="31" t="s">
        <v>2</v>
      </c>
      <c r="P71" s="33"/>
      <c r="Q71" s="144"/>
      <c r="R71" s="144"/>
      <c r="S71" s="146"/>
      <c r="T71" s="146"/>
      <c r="U71" s="146"/>
      <c r="V71" s="146"/>
      <c r="W71" s="146"/>
      <c r="X71" s="34"/>
      <c r="Y71" s="145"/>
      <c r="Z71" s="145"/>
      <c r="AA71" s="16" t="str">
        <f t="shared" si="10"/>
        <v/>
      </c>
    </row>
    <row r="72" spans="3:27" ht="33" hidden="1" customHeight="1">
      <c r="C72" s="30">
        <v>24</v>
      </c>
      <c r="D72" s="31"/>
      <c r="E72" s="32"/>
      <c r="F72" s="31"/>
      <c r="G72" s="31" t="s">
        <v>2</v>
      </c>
      <c r="H72" s="143"/>
      <c r="I72" s="143"/>
      <c r="J72" s="143"/>
      <c r="K72" s="143"/>
      <c r="L72" s="143"/>
      <c r="M72" s="143"/>
      <c r="N72" s="143"/>
      <c r="O72" s="31" t="s">
        <v>2</v>
      </c>
      <c r="P72" s="33"/>
      <c r="Q72" s="144"/>
      <c r="R72" s="144"/>
      <c r="S72" s="146"/>
      <c r="T72" s="146"/>
      <c r="U72" s="146"/>
      <c r="V72" s="146"/>
      <c r="W72" s="146"/>
      <c r="X72" s="34"/>
      <c r="Y72" s="145"/>
      <c r="Z72" s="145"/>
      <c r="AA72" s="16" t="str">
        <f t="shared" si="10"/>
        <v/>
      </c>
    </row>
    <row r="73" spans="3:27" ht="33" hidden="1" customHeight="1">
      <c r="C73" s="30">
        <v>25</v>
      </c>
      <c r="D73" s="31"/>
      <c r="E73" s="32"/>
      <c r="F73" s="31"/>
      <c r="G73" s="31" t="s">
        <v>2</v>
      </c>
      <c r="H73" s="143"/>
      <c r="I73" s="143"/>
      <c r="J73" s="143"/>
      <c r="K73" s="143"/>
      <c r="L73" s="143"/>
      <c r="M73" s="143"/>
      <c r="N73" s="143"/>
      <c r="O73" s="31" t="s">
        <v>2</v>
      </c>
      <c r="P73" s="33"/>
      <c r="Q73" s="144"/>
      <c r="R73" s="144"/>
      <c r="S73" s="146"/>
      <c r="T73" s="146"/>
      <c r="U73" s="146"/>
      <c r="V73" s="146"/>
      <c r="W73" s="146"/>
      <c r="X73" s="34"/>
      <c r="Y73" s="145"/>
      <c r="Z73" s="145"/>
      <c r="AA73" s="16" t="str">
        <f t="shared" si="10"/>
        <v/>
      </c>
    </row>
    <row r="74" spans="3:27" ht="33" hidden="1" customHeight="1">
      <c r="C74" s="30">
        <v>26</v>
      </c>
      <c r="D74" s="31"/>
      <c r="E74" s="32"/>
      <c r="F74" s="31"/>
      <c r="G74" s="31" t="s">
        <v>2</v>
      </c>
      <c r="H74" s="143"/>
      <c r="I74" s="143"/>
      <c r="J74" s="143"/>
      <c r="K74" s="143"/>
      <c r="L74" s="143"/>
      <c r="M74" s="143"/>
      <c r="N74" s="143"/>
      <c r="O74" s="31" t="s">
        <v>2</v>
      </c>
      <c r="P74" s="33"/>
      <c r="Q74" s="144"/>
      <c r="R74" s="144"/>
      <c r="S74" s="146"/>
      <c r="T74" s="146"/>
      <c r="U74" s="146"/>
      <c r="V74" s="146"/>
      <c r="W74" s="146"/>
      <c r="X74" s="34"/>
      <c r="Y74" s="145"/>
      <c r="Z74" s="145"/>
      <c r="AA74" s="16" t="str">
        <f t="shared" si="10"/>
        <v/>
      </c>
    </row>
    <row r="75" spans="3:27" ht="33" hidden="1" customHeight="1">
      <c r="C75" s="30">
        <v>27</v>
      </c>
      <c r="D75" s="31"/>
      <c r="E75" s="32"/>
      <c r="F75" s="31"/>
      <c r="G75" s="31" t="s">
        <v>2</v>
      </c>
      <c r="H75" s="143"/>
      <c r="I75" s="143"/>
      <c r="J75" s="143"/>
      <c r="K75" s="143"/>
      <c r="L75" s="143"/>
      <c r="M75" s="143"/>
      <c r="N75" s="143"/>
      <c r="O75" s="31" t="s">
        <v>2</v>
      </c>
      <c r="P75" s="33"/>
      <c r="Q75" s="144"/>
      <c r="R75" s="144"/>
      <c r="S75" s="146"/>
      <c r="T75" s="146"/>
      <c r="U75" s="146"/>
      <c r="V75" s="146"/>
      <c r="W75" s="146"/>
      <c r="X75" s="34"/>
      <c r="Y75" s="145"/>
      <c r="Z75" s="145"/>
      <c r="AA75" s="16" t="str">
        <f t="shared" si="10"/>
        <v/>
      </c>
    </row>
    <row r="76" spans="3:27" ht="33" hidden="1" customHeight="1">
      <c r="C76" s="30">
        <v>28</v>
      </c>
      <c r="D76" s="31"/>
      <c r="E76" s="32"/>
      <c r="F76" s="31"/>
      <c r="G76" s="31" t="s">
        <v>2</v>
      </c>
      <c r="H76" s="143"/>
      <c r="I76" s="143"/>
      <c r="J76" s="143"/>
      <c r="K76" s="143"/>
      <c r="L76" s="143"/>
      <c r="M76" s="143"/>
      <c r="N76" s="143"/>
      <c r="O76" s="31" t="s">
        <v>2</v>
      </c>
      <c r="P76" s="33"/>
      <c r="Q76" s="144"/>
      <c r="R76" s="144"/>
      <c r="S76" s="146"/>
      <c r="T76" s="146"/>
      <c r="U76" s="146"/>
      <c r="V76" s="146"/>
      <c r="W76" s="146"/>
      <c r="X76" s="34"/>
      <c r="Y76" s="145"/>
      <c r="Z76" s="145"/>
      <c r="AA76" s="16" t="str">
        <f t="shared" si="10"/>
        <v/>
      </c>
    </row>
    <row r="77" spans="3:27" ht="33" hidden="1" customHeight="1">
      <c r="C77" s="30">
        <v>29</v>
      </c>
      <c r="D77" s="31"/>
      <c r="E77" s="32"/>
      <c r="F77" s="31"/>
      <c r="G77" s="31" t="s">
        <v>2</v>
      </c>
      <c r="H77" s="143"/>
      <c r="I77" s="143"/>
      <c r="J77" s="143"/>
      <c r="K77" s="143"/>
      <c r="L77" s="143"/>
      <c r="M77" s="143"/>
      <c r="N77" s="143"/>
      <c r="O77" s="31" t="s">
        <v>2</v>
      </c>
      <c r="P77" s="33"/>
      <c r="Q77" s="144"/>
      <c r="R77" s="144"/>
      <c r="S77" s="146"/>
      <c r="T77" s="146"/>
      <c r="U77" s="146"/>
      <c r="V77" s="146"/>
      <c r="W77" s="146"/>
      <c r="X77" s="34"/>
      <c r="Y77" s="145"/>
      <c r="Z77" s="145"/>
      <c r="AA77" s="16" t="str">
        <f t="shared" si="10"/>
        <v/>
      </c>
    </row>
    <row r="78" spans="3:27" ht="33" hidden="1" customHeight="1">
      <c r="C78" s="30">
        <v>30</v>
      </c>
      <c r="D78" s="31"/>
      <c r="E78" s="32"/>
      <c r="F78" s="31"/>
      <c r="G78" s="31" t="s">
        <v>2</v>
      </c>
      <c r="H78" s="143"/>
      <c r="I78" s="143"/>
      <c r="J78" s="143"/>
      <c r="K78" s="143"/>
      <c r="L78" s="143"/>
      <c r="M78" s="143"/>
      <c r="N78" s="143"/>
      <c r="O78" s="31" t="s">
        <v>2</v>
      </c>
      <c r="P78" s="33"/>
      <c r="Q78" s="144"/>
      <c r="R78" s="144"/>
      <c r="S78" s="146"/>
      <c r="T78" s="146"/>
      <c r="U78" s="146"/>
      <c r="V78" s="146"/>
      <c r="W78" s="146"/>
      <c r="X78" s="34"/>
      <c r="Y78" s="145"/>
      <c r="Z78" s="145"/>
      <c r="AA78" s="16" t="str">
        <f t="shared" si="10"/>
        <v/>
      </c>
    </row>
    <row r="79" spans="3:27" ht="33" hidden="1" customHeight="1">
      <c r="C79" s="30">
        <v>31</v>
      </c>
      <c r="D79" s="31"/>
      <c r="E79" s="32"/>
      <c r="F79" s="31"/>
      <c r="G79" s="31" t="s">
        <v>2</v>
      </c>
      <c r="H79" s="143"/>
      <c r="I79" s="143"/>
      <c r="J79" s="143"/>
      <c r="K79" s="143"/>
      <c r="L79" s="143"/>
      <c r="M79" s="143"/>
      <c r="N79" s="143"/>
      <c r="O79" s="31" t="s">
        <v>2</v>
      </c>
      <c r="P79" s="33"/>
      <c r="Q79" s="144"/>
      <c r="R79" s="144"/>
      <c r="S79" s="146"/>
      <c r="T79" s="146"/>
      <c r="U79" s="146"/>
      <c r="V79" s="146"/>
      <c r="W79" s="146"/>
      <c r="X79" s="34"/>
      <c r="Y79" s="145"/>
      <c r="Z79" s="145"/>
      <c r="AA79" s="16" t="str">
        <f t="shared" si="10"/>
        <v/>
      </c>
    </row>
    <row r="80" spans="3:27" ht="33" hidden="1" customHeight="1">
      <c r="C80" s="30">
        <v>32</v>
      </c>
      <c r="D80" s="31"/>
      <c r="E80" s="32"/>
      <c r="F80" s="31"/>
      <c r="G80" s="31" t="s">
        <v>2</v>
      </c>
      <c r="H80" s="143"/>
      <c r="I80" s="143"/>
      <c r="J80" s="143"/>
      <c r="K80" s="143"/>
      <c r="L80" s="143"/>
      <c r="M80" s="143"/>
      <c r="N80" s="143"/>
      <c r="O80" s="31" t="s">
        <v>2</v>
      </c>
      <c r="P80" s="33"/>
      <c r="Q80" s="144"/>
      <c r="R80" s="144"/>
      <c r="S80" s="146"/>
      <c r="T80" s="146"/>
      <c r="U80" s="146"/>
      <c r="V80" s="146"/>
      <c r="W80" s="146"/>
      <c r="X80" s="34"/>
      <c r="Y80" s="145"/>
      <c r="Z80" s="145"/>
      <c r="AA80" s="16" t="str">
        <f t="shared" si="10"/>
        <v/>
      </c>
    </row>
    <row r="81" spans="3:27" ht="33" hidden="1" customHeight="1">
      <c r="C81" s="30">
        <v>33</v>
      </c>
      <c r="D81" s="31"/>
      <c r="E81" s="32"/>
      <c r="F81" s="31"/>
      <c r="G81" s="31" t="s">
        <v>2</v>
      </c>
      <c r="H81" s="143"/>
      <c r="I81" s="143"/>
      <c r="J81" s="143"/>
      <c r="K81" s="143"/>
      <c r="L81" s="143"/>
      <c r="M81" s="143"/>
      <c r="N81" s="143"/>
      <c r="O81" s="31" t="s">
        <v>2</v>
      </c>
      <c r="P81" s="33"/>
      <c r="Q81" s="144"/>
      <c r="R81" s="144"/>
      <c r="S81" s="146"/>
      <c r="T81" s="146"/>
      <c r="U81" s="146"/>
      <c r="V81" s="146"/>
      <c r="W81" s="146"/>
      <c r="X81" s="34"/>
      <c r="Y81" s="145"/>
      <c r="Z81" s="145"/>
      <c r="AA81" s="16" t="str">
        <f t="shared" si="10"/>
        <v/>
      </c>
    </row>
    <row r="82" spans="3:27" ht="33" hidden="1" customHeight="1">
      <c r="C82" s="30">
        <v>34</v>
      </c>
      <c r="D82" s="31"/>
      <c r="E82" s="32"/>
      <c r="F82" s="31"/>
      <c r="G82" s="31" t="s">
        <v>2</v>
      </c>
      <c r="H82" s="143"/>
      <c r="I82" s="143"/>
      <c r="J82" s="143"/>
      <c r="K82" s="143"/>
      <c r="L82" s="143"/>
      <c r="M82" s="143"/>
      <c r="N82" s="143"/>
      <c r="O82" s="31" t="s">
        <v>2</v>
      </c>
      <c r="P82" s="33"/>
      <c r="Q82" s="144"/>
      <c r="R82" s="144"/>
      <c r="S82" s="146"/>
      <c r="T82" s="146"/>
      <c r="U82" s="146"/>
      <c r="V82" s="146"/>
      <c r="W82" s="146"/>
      <c r="X82" s="34"/>
      <c r="Y82" s="145"/>
      <c r="Z82" s="145"/>
      <c r="AA82" s="16" t="str">
        <f t="shared" si="10"/>
        <v/>
      </c>
    </row>
    <row r="83" spans="3:27" ht="33" hidden="1" customHeight="1">
      <c r="C83" s="30">
        <v>35</v>
      </c>
      <c r="D83" s="31"/>
      <c r="E83" s="32"/>
      <c r="F83" s="31"/>
      <c r="G83" s="31" t="s">
        <v>2</v>
      </c>
      <c r="H83" s="143"/>
      <c r="I83" s="143"/>
      <c r="J83" s="143"/>
      <c r="K83" s="143"/>
      <c r="L83" s="143"/>
      <c r="M83" s="143"/>
      <c r="N83" s="143"/>
      <c r="O83" s="31" t="s">
        <v>2</v>
      </c>
      <c r="P83" s="33"/>
      <c r="Q83" s="144"/>
      <c r="R83" s="144"/>
      <c r="S83" s="146"/>
      <c r="T83" s="146"/>
      <c r="U83" s="146"/>
      <c r="V83" s="146"/>
      <c r="W83" s="146"/>
      <c r="X83" s="34"/>
      <c r="Y83" s="145"/>
      <c r="Z83" s="145"/>
      <c r="AA83" s="16" t="str">
        <f t="shared" si="10"/>
        <v/>
      </c>
    </row>
    <row r="84" spans="3:27" ht="33" hidden="1" customHeight="1">
      <c r="C84" s="30">
        <v>36</v>
      </c>
      <c r="D84" s="31"/>
      <c r="E84" s="32"/>
      <c r="F84" s="31"/>
      <c r="G84" s="31" t="s">
        <v>2</v>
      </c>
      <c r="H84" s="143"/>
      <c r="I84" s="143"/>
      <c r="J84" s="143"/>
      <c r="K84" s="143"/>
      <c r="L84" s="143"/>
      <c r="M84" s="143"/>
      <c r="N84" s="143"/>
      <c r="O84" s="31" t="s">
        <v>2</v>
      </c>
      <c r="P84" s="33"/>
      <c r="Q84" s="144"/>
      <c r="R84" s="144"/>
      <c r="S84" s="146"/>
      <c r="T84" s="146"/>
      <c r="U84" s="146"/>
      <c r="V84" s="146"/>
      <c r="W84" s="146"/>
      <c r="X84" s="34"/>
      <c r="Y84" s="145"/>
      <c r="Z84" s="145"/>
      <c r="AA84" s="16" t="str">
        <f t="shared" si="10"/>
        <v/>
      </c>
    </row>
    <row r="85" spans="3:27" ht="33" hidden="1" customHeight="1">
      <c r="C85" s="30">
        <v>37</v>
      </c>
      <c r="D85" s="31"/>
      <c r="E85" s="32"/>
      <c r="F85" s="31"/>
      <c r="G85" s="31" t="s">
        <v>2</v>
      </c>
      <c r="H85" s="143"/>
      <c r="I85" s="143"/>
      <c r="J85" s="143"/>
      <c r="K85" s="143"/>
      <c r="L85" s="143"/>
      <c r="M85" s="143"/>
      <c r="N85" s="143"/>
      <c r="O85" s="31" t="s">
        <v>2</v>
      </c>
      <c r="P85" s="33"/>
      <c r="Q85" s="144"/>
      <c r="R85" s="144"/>
      <c r="S85" s="146"/>
      <c r="T85" s="146"/>
      <c r="U85" s="146"/>
      <c r="V85" s="146"/>
      <c r="W85" s="146"/>
      <c r="X85" s="34"/>
      <c r="Y85" s="145"/>
      <c r="Z85" s="145"/>
      <c r="AA85" s="16" t="str">
        <f t="shared" si="10"/>
        <v/>
      </c>
    </row>
    <row r="86" spans="3:27" ht="33" hidden="1" customHeight="1">
      <c r="C86" s="30">
        <v>38</v>
      </c>
      <c r="D86" s="31"/>
      <c r="E86" s="32"/>
      <c r="F86" s="31"/>
      <c r="G86" s="31" t="s">
        <v>2</v>
      </c>
      <c r="H86" s="143"/>
      <c r="I86" s="143"/>
      <c r="J86" s="143"/>
      <c r="K86" s="143"/>
      <c r="L86" s="143"/>
      <c r="M86" s="143"/>
      <c r="N86" s="143"/>
      <c r="O86" s="31" t="s">
        <v>2</v>
      </c>
      <c r="P86" s="33"/>
      <c r="Q86" s="144"/>
      <c r="R86" s="144"/>
      <c r="S86" s="146"/>
      <c r="T86" s="146"/>
      <c r="U86" s="146"/>
      <c r="V86" s="146"/>
      <c r="W86" s="146"/>
      <c r="X86" s="34"/>
      <c r="Y86" s="145"/>
      <c r="Z86" s="145"/>
      <c r="AA86" s="16" t="str">
        <f t="shared" si="10"/>
        <v/>
      </c>
    </row>
    <row r="87" spans="3:27" ht="33" hidden="1" customHeight="1">
      <c r="C87" s="30">
        <v>39</v>
      </c>
      <c r="D87" s="31"/>
      <c r="E87" s="32"/>
      <c r="F87" s="31"/>
      <c r="G87" s="31" t="s">
        <v>2</v>
      </c>
      <c r="H87" s="143"/>
      <c r="I87" s="143"/>
      <c r="J87" s="143"/>
      <c r="K87" s="143"/>
      <c r="L87" s="143"/>
      <c r="M87" s="143"/>
      <c r="N87" s="143"/>
      <c r="O87" s="31" t="s">
        <v>2</v>
      </c>
      <c r="P87" s="33"/>
      <c r="Q87" s="144"/>
      <c r="R87" s="144"/>
      <c r="S87" s="146"/>
      <c r="T87" s="146"/>
      <c r="U87" s="146"/>
      <c r="V87" s="146"/>
      <c r="W87" s="146"/>
      <c r="X87" s="34"/>
      <c r="Y87" s="145"/>
      <c r="Z87" s="145"/>
      <c r="AA87" s="16" t="str">
        <f t="shared" si="10"/>
        <v/>
      </c>
    </row>
    <row r="88" spans="3:27" ht="33" hidden="1" customHeight="1">
      <c r="C88" s="30">
        <v>40</v>
      </c>
      <c r="D88" s="31"/>
      <c r="E88" s="32"/>
      <c r="F88" s="31"/>
      <c r="G88" s="31" t="s">
        <v>2</v>
      </c>
      <c r="H88" s="143"/>
      <c r="I88" s="143"/>
      <c r="J88" s="143"/>
      <c r="K88" s="143"/>
      <c r="L88" s="143"/>
      <c r="M88" s="143"/>
      <c r="N88" s="143"/>
      <c r="O88" s="31" t="s">
        <v>2</v>
      </c>
      <c r="P88" s="33"/>
      <c r="Q88" s="144"/>
      <c r="R88" s="144"/>
      <c r="S88" s="146"/>
      <c r="T88" s="146"/>
      <c r="U88" s="146"/>
      <c r="V88" s="146"/>
      <c r="W88" s="146"/>
      <c r="X88" s="34"/>
      <c r="Y88" s="145"/>
      <c r="Z88" s="145"/>
      <c r="AA88" s="16" t="str">
        <f t="shared" si="10"/>
        <v/>
      </c>
    </row>
    <row r="89" spans="3:27" ht="33" hidden="1" customHeight="1">
      <c r="C89" s="30">
        <v>41</v>
      </c>
      <c r="D89" s="31"/>
      <c r="E89" s="32"/>
      <c r="F89" s="31"/>
      <c r="G89" s="31" t="s">
        <v>2</v>
      </c>
      <c r="H89" s="143"/>
      <c r="I89" s="143"/>
      <c r="J89" s="143"/>
      <c r="K89" s="143"/>
      <c r="L89" s="143"/>
      <c r="M89" s="143"/>
      <c r="N89" s="143"/>
      <c r="O89" s="31" t="s">
        <v>2</v>
      </c>
      <c r="P89" s="33"/>
      <c r="Q89" s="144"/>
      <c r="R89" s="144"/>
      <c r="S89" s="146"/>
      <c r="T89" s="146"/>
      <c r="U89" s="146"/>
      <c r="V89" s="146"/>
      <c r="W89" s="146"/>
      <c r="X89" s="34"/>
      <c r="Y89" s="145"/>
      <c r="Z89" s="145"/>
      <c r="AA89" s="16" t="str">
        <f t="shared" si="10"/>
        <v/>
      </c>
    </row>
    <row r="90" spans="3:27" ht="33" hidden="1" customHeight="1">
      <c r="C90" s="30">
        <v>42</v>
      </c>
      <c r="D90" s="31"/>
      <c r="E90" s="32"/>
      <c r="F90" s="31"/>
      <c r="G90" s="31" t="s">
        <v>2</v>
      </c>
      <c r="H90" s="143"/>
      <c r="I90" s="143"/>
      <c r="J90" s="143"/>
      <c r="K90" s="143"/>
      <c r="L90" s="143"/>
      <c r="M90" s="143"/>
      <c r="N90" s="143"/>
      <c r="O90" s="31" t="s">
        <v>2</v>
      </c>
      <c r="P90" s="33"/>
      <c r="Q90" s="144"/>
      <c r="R90" s="144"/>
      <c r="S90" s="146"/>
      <c r="T90" s="146"/>
      <c r="U90" s="146"/>
      <c r="V90" s="146"/>
      <c r="W90" s="146"/>
      <c r="X90" s="34"/>
      <c r="Y90" s="145"/>
      <c r="Z90" s="145"/>
      <c r="AA90" s="16" t="str">
        <f t="shared" si="10"/>
        <v/>
      </c>
    </row>
    <row r="91" spans="3:27" ht="33" hidden="1" customHeight="1">
      <c r="C91" s="30">
        <v>43</v>
      </c>
      <c r="D91" s="31"/>
      <c r="E91" s="32"/>
      <c r="F91" s="31"/>
      <c r="G91" s="31" t="s">
        <v>2</v>
      </c>
      <c r="H91" s="143"/>
      <c r="I91" s="143"/>
      <c r="J91" s="143"/>
      <c r="K91" s="143"/>
      <c r="L91" s="143"/>
      <c r="M91" s="143"/>
      <c r="N91" s="143"/>
      <c r="O91" s="31" t="s">
        <v>2</v>
      </c>
      <c r="P91" s="33"/>
      <c r="Q91" s="144"/>
      <c r="R91" s="144"/>
      <c r="S91" s="146"/>
      <c r="T91" s="146"/>
      <c r="U91" s="146"/>
      <c r="V91" s="146"/>
      <c r="W91" s="146"/>
      <c r="X91" s="34"/>
      <c r="Y91" s="145"/>
      <c r="Z91" s="145"/>
      <c r="AA91" s="16" t="str">
        <f t="shared" si="10"/>
        <v/>
      </c>
    </row>
    <row r="92" spans="3:27" ht="33" hidden="1" customHeight="1">
      <c r="C92" s="30">
        <v>44</v>
      </c>
      <c r="D92" s="31"/>
      <c r="E92" s="32"/>
      <c r="F92" s="31"/>
      <c r="G92" s="31" t="s">
        <v>2</v>
      </c>
      <c r="H92" s="143"/>
      <c r="I92" s="143"/>
      <c r="J92" s="143"/>
      <c r="K92" s="143"/>
      <c r="L92" s="143"/>
      <c r="M92" s="143"/>
      <c r="N92" s="143"/>
      <c r="O92" s="31" t="s">
        <v>2</v>
      </c>
      <c r="P92" s="33"/>
      <c r="Q92" s="144"/>
      <c r="R92" s="144"/>
      <c r="S92" s="146"/>
      <c r="T92" s="146"/>
      <c r="U92" s="146"/>
      <c r="V92" s="146"/>
      <c r="W92" s="146"/>
      <c r="X92" s="34"/>
      <c r="Y92" s="145"/>
      <c r="Z92" s="145"/>
      <c r="AA92" s="16" t="str">
        <f t="shared" si="10"/>
        <v/>
      </c>
    </row>
    <row r="93" spans="3:27" ht="33" hidden="1" customHeight="1">
      <c r="C93" s="30">
        <v>45</v>
      </c>
      <c r="D93" s="31"/>
      <c r="E93" s="32"/>
      <c r="F93" s="31"/>
      <c r="G93" s="31" t="s">
        <v>2</v>
      </c>
      <c r="H93" s="143"/>
      <c r="I93" s="143"/>
      <c r="J93" s="143"/>
      <c r="K93" s="143"/>
      <c r="L93" s="143"/>
      <c r="M93" s="143"/>
      <c r="N93" s="143"/>
      <c r="O93" s="31" t="s">
        <v>2</v>
      </c>
      <c r="P93" s="33"/>
      <c r="Q93" s="144"/>
      <c r="R93" s="144"/>
      <c r="S93" s="146"/>
      <c r="T93" s="146"/>
      <c r="U93" s="146"/>
      <c r="V93" s="146"/>
      <c r="W93" s="146"/>
      <c r="X93" s="34"/>
      <c r="Y93" s="145"/>
      <c r="Z93" s="145"/>
      <c r="AA93" s="16" t="str">
        <f t="shared" si="10"/>
        <v/>
      </c>
    </row>
    <row r="94" spans="3:27" ht="33" hidden="1" customHeight="1">
      <c r="C94" s="30">
        <v>46</v>
      </c>
      <c r="D94" s="31"/>
      <c r="E94" s="32"/>
      <c r="F94" s="31"/>
      <c r="G94" s="31" t="s">
        <v>2</v>
      </c>
      <c r="H94" s="143"/>
      <c r="I94" s="143"/>
      <c r="J94" s="143"/>
      <c r="K94" s="143"/>
      <c r="L94" s="143"/>
      <c r="M94" s="143"/>
      <c r="N94" s="143"/>
      <c r="O94" s="31" t="s">
        <v>2</v>
      </c>
      <c r="P94" s="33"/>
      <c r="Q94" s="144"/>
      <c r="R94" s="144"/>
      <c r="S94" s="146"/>
      <c r="T94" s="146"/>
      <c r="U94" s="146"/>
      <c r="V94" s="146"/>
      <c r="W94" s="146"/>
      <c r="X94" s="34"/>
      <c r="Y94" s="145"/>
      <c r="Z94" s="145"/>
      <c r="AA94" s="16" t="str">
        <f t="shared" si="10"/>
        <v/>
      </c>
    </row>
    <row r="95" spans="3:27" ht="33" hidden="1" customHeight="1">
      <c r="C95" s="30">
        <v>47</v>
      </c>
      <c r="D95" s="31"/>
      <c r="E95" s="32"/>
      <c r="F95" s="31"/>
      <c r="G95" s="31" t="s">
        <v>2</v>
      </c>
      <c r="H95" s="143"/>
      <c r="I95" s="143"/>
      <c r="J95" s="143"/>
      <c r="K95" s="143"/>
      <c r="L95" s="143"/>
      <c r="M95" s="143"/>
      <c r="N95" s="143"/>
      <c r="O95" s="31" t="s">
        <v>2</v>
      </c>
      <c r="P95" s="33"/>
      <c r="Q95" s="144"/>
      <c r="R95" s="144"/>
      <c r="S95" s="146"/>
      <c r="T95" s="146"/>
      <c r="U95" s="146"/>
      <c r="V95" s="146"/>
      <c r="W95" s="146"/>
      <c r="X95" s="34"/>
      <c r="Y95" s="145"/>
      <c r="Z95" s="145"/>
      <c r="AA95" s="16" t="str">
        <f t="shared" si="10"/>
        <v/>
      </c>
    </row>
    <row r="96" spans="3:27" ht="33" hidden="1" customHeight="1">
      <c r="C96" s="30">
        <v>48</v>
      </c>
      <c r="D96" s="31"/>
      <c r="E96" s="32"/>
      <c r="F96" s="31"/>
      <c r="G96" s="31" t="s">
        <v>2</v>
      </c>
      <c r="H96" s="143"/>
      <c r="I96" s="143"/>
      <c r="J96" s="143"/>
      <c r="K96" s="143"/>
      <c r="L96" s="143"/>
      <c r="M96" s="143"/>
      <c r="N96" s="143"/>
      <c r="O96" s="31" t="s">
        <v>2</v>
      </c>
      <c r="P96" s="33"/>
      <c r="Q96" s="144"/>
      <c r="R96" s="144"/>
      <c r="S96" s="146"/>
      <c r="T96" s="146"/>
      <c r="U96" s="146"/>
      <c r="V96" s="146"/>
      <c r="W96" s="146"/>
      <c r="X96" s="34"/>
      <c r="Y96" s="145"/>
      <c r="Z96" s="145"/>
      <c r="AA96" s="16" t="str">
        <f t="shared" si="10"/>
        <v/>
      </c>
    </row>
    <row r="97" spans="3:28" ht="33" hidden="1" customHeight="1">
      <c r="C97" s="30">
        <v>49</v>
      </c>
      <c r="D97" s="31"/>
      <c r="E97" s="32"/>
      <c r="F97" s="31"/>
      <c r="G97" s="31" t="s">
        <v>2</v>
      </c>
      <c r="H97" s="143"/>
      <c r="I97" s="143"/>
      <c r="J97" s="143"/>
      <c r="K97" s="143"/>
      <c r="L97" s="143"/>
      <c r="M97" s="143"/>
      <c r="N97" s="143"/>
      <c r="O97" s="31" t="s">
        <v>2</v>
      </c>
      <c r="P97" s="33"/>
      <c r="Q97" s="144"/>
      <c r="R97" s="144"/>
      <c r="S97" s="146"/>
      <c r="T97" s="146"/>
      <c r="U97" s="146"/>
      <c r="V97" s="146"/>
      <c r="W97" s="146"/>
      <c r="X97" s="34"/>
      <c r="Y97" s="145"/>
      <c r="Z97" s="145"/>
      <c r="AA97" s="16" t="str">
        <f t="shared" si="10"/>
        <v/>
      </c>
    </row>
    <row r="98" spans="3:28" ht="33" hidden="1" customHeight="1">
      <c r="C98" s="30">
        <v>50</v>
      </c>
      <c r="D98" s="31"/>
      <c r="E98" s="32"/>
      <c r="F98" s="31"/>
      <c r="G98" s="31" t="s">
        <v>2</v>
      </c>
      <c r="H98" s="143"/>
      <c r="I98" s="143"/>
      <c r="J98" s="143"/>
      <c r="K98" s="143"/>
      <c r="L98" s="143"/>
      <c r="M98" s="143"/>
      <c r="N98" s="143"/>
      <c r="O98" s="31" t="s">
        <v>2</v>
      </c>
      <c r="P98" s="33"/>
      <c r="Q98" s="144"/>
      <c r="R98" s="144"/>
      <c r="S98" s="146"/>
      <c r="T98" s="146"/>
      <c r="U98" s="146"/>
      <c r="V98" s="146"/>
      <c r="W98" s="146"/>
      <c r="X98" s="34"/>
      <c r="Y98" s="145"/>
      <c r="Z98" s="145"/>
      <c r="AA98" s="16" t="str">
        <f t="shared" si="10"/>
        <v/>
      </c>
    </row>
    <row r="99" spans="3:28" ht="33" hidden="1" customHeight="1">
      <c r="C99" s="30">
        <v>51</v>
      </c>
      <c r="D99" s="31"/>
      <c r="E99" s="32"/>
      <c r="F99" s="31"/>
      <c r="G99" s="31" t="s">
        <v>2</v>
      </c>
      <c r="H99" s="143"/>
      <c r="I99" s="143"/>
      <c r="J99" s="143"/>
      <c r="K99" s="143"/>
      <c r="L99" s="143"/>
      <c r="M99" s="143"/>
      <c r="N99" s="143"/>
      <c r="O99" s="31" t="s">
        <v>2</v>
      </c>
      <c r="P99" s="33"/>
      <c r="Q99" s="144"/>
      <c r="R99" s="144"/>
      <c r="S99" s="146"/>
      <c r="T99" s="146"/>
      <c r="U99" s="146"/>
      <c r="V99" s="146"/>
      <c r="W99" s="146"/>
      <c r="X99" s="34"/>
      <c r="Y99" s="145"/>
      <c r="Z99" s="145"/>
      <c r="AA99" s="16" t="str">
        <f t="shared" si="10"/>
        <v/>
      </c>
    </row>
    <row r="100" spans="3:28" ht="18.75" customHeight="1">
      <c r="C100" s="35"/>
      <c r="D100" s="36"/>
      <c r="E100" s="37"/>
      <c r="F100" s="36"/>
      <c r="G100" s="36"/>
      <c r="H100" s="158"/>
      <c r="I100" s="158"/>
      <c r="J100" s="158"/>
      <c r="K100" s="158"/>
      <c r="L100" s="158"/>
      <c r="M100" s="158"/>
      <c r="N100" s="158"/>
      <c r="O100" s="36"/>
      <c r="P100" s="38"/>
      <c r="Q100" s="301"/>
      <c r="R100" s="301"/>
      <c r="S100" s="300"/>
      <c r="T100" s="300"/>
      <c r="U100" s="300"/>
      <c r="V100" s="300"/>
      <c r="W100" s="300"/>
      <c r="X100" s="39"/>
      <c r="Y100" s="299"/>
      <c r="Z100" s="299"/>
      <c r="AA100" s="40" t="str">
        <f>IF(G100="Issue",D100,"")</f>
        <v/>
      </c>
      <c r="AB100" s="40"/>
    </row>
    <row r="101" spans="3:28" s="14" customFormat="1" ht="16.5">
      <c r="C101" s="14" t="s">
        <v>175</v>
      </c>
    </row>
    <row r="102" spans="3:28" ht="64.5" customHeight="1">
      <c r="C102" s="155" t="s">
        <v>176</v>
      </c>
      <c r="D102" s="156"/>
      <c r="E102" s="156"/>
      <c r="F102" s="156"/>
      <c r="G102" s="156"/>
      <c r="H102" s="146" t="s">
        <v>471</v>
      </c>
      <c r="I102" s="157"/>
      <c r="J102" s="157"/>
      <c r="K102" s="157"/>
      <c r="L102" s="157"/>
      <c r="M102" s="157"/>
      <c r="N102" s="157"/>
      <c r="O102" s="157"/>
      <c r="P102" s="157"/>
      <c r="Q102" s="157"/>
      <c r="R102" s="157"/>
      <c r="S102" s="157"/>
      <c r="T102" s="157"/>
      <c r="U102" s="157"/>
      <c r="V102" s="157"/>
      <c r="W102" s="157"/>
      <c r="X102" s="157"/>
      <c r="Y102" s="157"/>
      <c r="Z102" s="157"/>
    </row>
    <row r="103" spans="3:28" ht="18.75" customHeight="1">
      <c r="K103" s="41"/>
      <c r="L103" s="41"/>
      <c r="M103" s="41"/>
      <c r="N103" s="41"/>
      <c r="O103" s="41"/>
      <c r="P103" s="41"/>
      <c r="Q103" s="41"/>
      <c r="R103" s="41"/>
      <c r="S103" s="41"/>
      <c r="T103" s="41"/>
      <c r="U103" s="41"/>
      <c r="V103" s="41"/>
      <c r="W103" s="41"/>
      <c r="X103" s="41"/>
      <c r="Y103" s="41"/>
      <c r="Z103" s="41"/>
    </row>
    <row r="104" spans="3:28" ht="16.5">
      <c r="C104" s="16" t="s">
        <v>177</v>
      </c>
      <c r="K104" s="42"/>
      <c r="L104" s="42"/>
      <c r="M104" s="42"/>
      <c r="N104" s="42"/>
      <c r="O104" s="42"/>
      <c r="P104" s="42"/>
      <c r="Q104" s="42"/>
      <c r="R104" s="42"/>
      <c r="S104" s="42"/>
      <c r="T104" s="42"/>
      <c r="U104" s="42"/>
      <c r="V104" s="42"/>
      <c r="W104" s="42"/>
      <c r="X104" s="42"/>
      <c r="Y104" s="42"/>
      <c r="Z104" s="42"/>
    </row>
    <row r="105" spans="3:28" ht="52.5" customHeight="1">
      <c r="C105" s="296" t="s">
        <v>479</v>
      </c>
      <c r="D105" s="297"/>
      <c r="E105" s="297"/>
      <c r="F105" s="297"/>
      <c r="G105" s="297"/>
      <c r="H105" s="297"/>
      <c r="I105" s="297"/>
      <c r="J105" s="297"/>
      <c r="K105" s="297"/>
      <c r="L105" s="297"/>
      <c r="M105" s="297"/>
      <c r="N105" s="297"/>
      <c r="O105" s="297"/>
      <c r="P105" s="297"/>
      <c r="Q105" s="297"/>
      <c r="R105" s="297"/>
      <c r="S105" s="297"/>
      <c r="T105" s="297"/>
      <c r="U105" s="297"/>
      <c r="V105" s="297"/>
      <c r="W105" s="297"/>
      <c r="X105" s="297"/>
      <c r="Y105" s="297"/>
      <c r="Z105" s="298"/>
    </row>
  </sheetData>
  <dataConsolidate/>
  <mergeCells count="376">
    <mergeCell ref="J2:X2"/>
    <mergeCell ref="C23:F24"/>
    <mergeCell ref="X47:X48"/>
    <mergeCell ref="Y47:Z48"/>
    <mergeCell ref="L38:P38"/>
    <mergeCell ref="Q38:S38"/>
    <mergeCell ref="T38:U38"/>
    <mergeCell ref="C47:C48"/>
    <mergeCell ref="D47:E47"/>
    <mergeCell ref="F47:F48"/>
    <mergeCell ref="G47:G48"/>
    <mergeCell ref="P47:P48"/>
    <mergeCell ref="S47:W48"/>
    <mergeCell ref="O47:O48"/>
    <mergeCell ref="J29:K29"/>
    <mergeCell ref="L29:M29"/>
    <mergeCell ref="H28:M28"/>
    <mergeCell ref="W28:X28"/>
    <mergeCell ref="Y28:Z28"/>
    <mergeCell ref="V45:W45"/>
    <mergeCell ref="X45:Y45"/>
    <mergeCell ref="Z45:AA45"/>
    <mergeCell ref="Y33:Z33"/>
    <mergeCell ref="L33:P34"/>
    <mergeCell ref="W33:X33"/>
    <mergeCell ref="Q47:R48"/>
    <mergeCell ref="S53:W53"/>
    <mergeCell ref="Y53:Z53"/>
    <mergeCell ref="S54:W54"/>
    <mergeCell ref="Y54:Z54"/>
    <mergeCell ref="Y56:Z56"/>
    <mergeCell ref="S55:W55"/>
    <mergeCell ref="Y55:Z55"/>
    <mergeCell ref="Y51:Z51"/>
    <mergeCell ref="S51:W51"/>
    <mergeCell ref="Q51:R51"/>
    <mergeCell ref="Y49:Z49"/>
    <mergeCell ref="Y50:Z50"/>
    <mergeCell ref="Q50:R50"/>
    <mergeCell ref="Q39:S39"/>
    <mergeCell ref="T39:U39"/>
    <mergeCell ref="T40:U40"/>
    <mergeCell ref="S50:W50"/>
    <mergeCell ref="Y52:Z52"/>
    <mergeCell ref="T42:U42"/>
    <mergeCell ref="T45:U45"/>
    <mergeCell ref="T33:U34"/>
    <mergeCell ref="T41:U41"/>
    <mergeCell ref="C38:D38"/>
    <mergeCell ref="H47:N48"/>
    <mergeCell ref="Q97:R97"/>
    <mergeCell ref="H70:N70"/>
    <mergeCell ref="H91:N91"/>
    <mergeCell ref="H92:N92"/>
    <mergeCell ref="H93:N93"/>
    <mergeCell ref="H94:N94"/>
    <mergeCell ref="H90:N90"/>
    <mergeCell ref="Q90:R90"/>
    <mergeCell ref="Q91:R91"/>
    <mergeCell ref="Q70:R70"/>
    <mergeCell ref="H76:N76"/>
    <mergeCell ref="Q76:R76"/>
    <mergeCell ref="H57:N57"/>
    <mergeCell ref="Q57:R57"/>
    <mergeCell ref="H60:N60"/>
    <mergeCell ref="Q60:R60"/>
    <mergeCell ref="H63:N63"/>
    <mergeCell ref="E38:K38"/>
    <mergeCell ref="E45:K45"/>
    <mergeCell ref="C45:D45"/>
    <mergeCell ref="H53:N53"/>
    <mergeCell ref="Q53:R53"/>
    <mergeCell ref="L35:P35"/>
    <mergeCell ref="Q35:S35"/>
    <mergeCell ref="T35:U35"/>
    <mergeCell ref="C36:D36"/>
    <mergeCell ref="E36:K36"/>
    <mergeCell ref="L36:P36"/>
    <mergeCell ref="Q36:S36"/>
    <mergeCell ref="T36:U36"/>
    <mergeCell ref="C37:D37"/>
    <mergeCell ref="E37:K37"/>
    <mergeCell ref="L37:P37"/>
    <mergeCell ref="Q37:S37"/>
    <mergeCell ref="T37:U37"/>
    <mergeCell ref="C35:D35"/>
    <mergeCell ref="E35:K35"/>
    <mergeCell ref="Y95:Z95"/>
    <mergeCell ref="Y96:Z96"/>
    <mergeCell ref="Y70:Z70"/>
    <mergeCell ref="Y74:Z74"/>
    <mergeCell ref="C105:Z105"/>
    <mergeCell ref="Y90:Z90"/>
    <mergeCell ref="Y91:Z91"/>
    <mergeCell ref="Y92:Z92"/>
    <mergeCell ref="Y93:Z93"/>
    <mergeCell ref="Y94:Z94"/>
    <mergeCell ref="Y100:Z100"/>
    <mergeCell ref="S100:W100"/>
    <mergeCell ref="Y97:Z97"/>
    <mergeCell ref="Y98:Z98"/>
    <mergeCell ref="Y99:Z99"/>
    <mergeCell ref="H97:N97"/>
    <mergeCell ref="H71:N71"/>
    <mergeCell ref="Q71:R71"/>
    <mergeCell ref="S71:W71"/>
    <mergeCell ref="Y71:Z71"/>
    <mergeCell ref="Y87:Z87"/>
    <mergeCell ref="S89:W89"/>
    <mergeCell ref="Q99:R99"/>
    <mergeCell ref="Q100:R100"/>
    <mergeCell ref="V33:V34"/>
    <mergeCell ref="S57:W57"/>
    <mergeCell ref="Q58:R58"/>
    <mergeCell ref="S58:W58"/>
    <mergeCell ref="Y57:Z57"/>
    <mergeCell ref="H51:N51"/>
    <mergeCell ref="E43:K43"/>
    <mergeCell ref="E39:K39"/>
    <mergeCell ref="L39:P39"/>
    <mergeCell ref="T43:U43"/>
    <mergeCell ref="Q40:S40"/>
    <mergeCell ref="Q41:S41"/>
    <mergeCell ref="Q42:S42"/>
    <mergeCell ref="Q43:S43"/>
    <mergeCell ref="L40:P40"/>
    <mergeCell ref="L41:P41"/>
    <mergeCell ref="L42:P42"/>
    <mergeCell ref="L43:P43"/>
    <mergeCell ref="H49:N49"/>
    <mergeCell ref="Q49:R49"/>
    <mergeCell ref="S49:W49"/>
    <mergeCell ref="H50:N50"/>
    <mergeCell ref="Q45:S45"/>
    <mergeCell ref="L45:P45"/>
    <mergeCell ref="U26:V26"/>
    <mergeCell ref="X25:Z25"/>
    <mergeCell ref="C25:F25"/>
    <mergeCell ref="G25:H25"/>
    <mergeCell ref="I25:J25"/>
    <mergeCell ref="C30:G30"/>
    <mergeCell ref="C31:G31"/>
    <mergeCell ref="H30:I30"/>
    <mergeCell ref="H31:I31"/>
    <mergeCell ref="K25:L25"/>
    <mergeCell ref="M25:N25"/>
    <mergeCell ref="O25:P25"/>
    <mergeCell ref="Q25:R25"/>
    <mergeCell ref="S25:T25"/>
    <mergeCell ref="Q26:R26"/>
    <mergeCell ref="S26:T26"/>
    <mergeCell ref="H29:I29"/>
    <mergeCell ref="N29:O29"/>
    <mergeCell ref="P29:Q29"/>
    <mergeCell ref="R29:S29"/>
    <mergeCell ref="U25:V25"/>
    <mergeCell ref="C33:D34"/>
    <mergeCell ref="N31:O31"/>
    <mergeCell ref="P31:Q31"/>
    <mergeCell ref="R31:S31"/>
    <mergeCell ref="J30:K30"/>
    <mergeCell ref="J31:K31"/>
    <mergeCell ref="L30:M30"/>
    <mergeCell ref="L31:M31"/>
    <mergeCell ref="E33:K34"/>
    <mergeCell ref="N30:O30"/>
    <mergeCell ref="P30:Q30"/>
    <mergeCell ref="R30:S30"/>
    <mergeCell ref="C3:F3"/>
    <mergeCell ref="G3:Q3"/>
    <mergeCell ref="R3:T4"/>
    <mergeCell ref="U3:Z4"/>
    <mergeCell ref="C4:F16"/>
    <mergeCell ref="G4:Q6"/>
    <mergeCell ref="R5:T6"/>
    <mergeCell ref="U5:Z6"/>
    <mergeCell ref="G7:Q7"/>
    <mergeCell ref="R7:T8"/>
    <mergeCell ref="U7:Z8"/>
    <mergeCell ref="G8:Q10"/>
    <mergeCell ref="R9:T10"/>
    <mergeCell ref="U9:Z10"/>
    <mergeCell ref="G11:T11"/>
    <mergeCell ref="U11:W11"/>
    <mergeCell ref="X11:Z11"/>
    <mergeCell ref="U12:W16"/>
    <mergeCell ref="X12:Z16"/>
    <mergeCell ref="G16:K16"/>
    <mergeCell ref="L16:T16"/>
    <mergeCell ref="G12:T15"/>
    <mergeCell ref="C19:F19"/>
    <mergeCell ref="G19:Z19"/>
    <mergeCell ref="C21:F21"/>
    <mergeCell ref="G23:H23"/>
    <mergeCell ref="I23:J23"/>
    <mergeCell ref="K23:L23"/>
    <mergeCell ref="M23:N23"/>
    <mergeCell ref="O23:P23"/>
    <mergeCell ref="Q23:R23"/>
    <mergeCell ref="S23:T23"/>
    <mergeCell ref="U23:Z23"/>
    <mergeCell ref="G20:J20"/>
    <mergeCell ref="G21:J21"/>
    <mergeCell ref="C20:F20"/>
    <mergeCell ref="K21:M21"/>
    <mergeCell ref="N21:T21"/>
    <mergeCell ref="K20:M20"/>
    <mergeCell ref="N20:T20"/>
    <mergeCell ref="G24:H24"/>
    <mergeCell ref="I24:Z24"/>
    <mergeCell ref="C26:F26"/>
    <mergeCell ref="C39:D39"/>
    <mergeCell ref="C44:D44"/>
    <mergeCell ref="E44:K44"/>
    <mergeCell ref="L44:P44"/>
    <mergeCell ref="Q44:S44"/>
    <mergeCell ref="T44:U44"/>
    <mergeCell ref="C40:D40"/>
    <mergeCell ref="C41:D41"/>
    <mergeCell ref="C42:D42"/>
    <mergeCell ref="C43:D43"/>
    <mergeCell ref="E40:K40"/>
    <mergeCell ref="E41:K41"/>
    <mergeCell ref="E42:K42"/>
    <mergeCell ref="C28:G29"/>
    <mergeCell ref="N28:S28"/>
    <mergeCell ref="Q33:S34"/>
    <mergeCell ref="G26:H26"/>
    <mergeCell ref="I26:J26"/>
    <mergeCell ref="K26:L26"/>
    <mergeCell ref="M26:N26"/>
    <mergeCell ref="O26:P26"/>
    <mergeCell ref="S61:W61"/>
    <mergeCell ref="Y61:Z61"/>
    <mergeCell ref="S60:W60"/>
    <mergeCell ref="Q59:R59"/>
    <mergeCell ref="S59:W59"/>
    <mergeCell ref="Y58:Z58"/>
    <mergeCell ref="C102:G102"/>
    <mergeCell ref="H102:Z102"/>
    <mergeCell ref="S90:W90"/>
    <mergeCell ref="S91:W91"/>
    <mergeCell ref="S92:W92"/>
    <mergeCell ref="S93:W93"/>
    <mergeCell ref="S94:W94"/>
    <mergeCell ref="S95:W95"/>
    <mergeCell ref="S96:W96"/>
    <mergeCell ref="S97:W97"/>
    <mergeCell ref="S98:W98"/>
    <mergeCell ref="S99:W99"/>
    <mergeCell ref="H98:N98"/>
    <mergeCell ref="H99:N99"/>
    <mergeCell ref="H100:N100"/>
    <mergeCell ref="Q98:R98"/>
    <mergeCell ref="H58:N58"/>
    <mergeCell ref="H59:N59"/>
    <mergeCell ref="H54:N54"/>
    <mergeCell ref="Q54:R54"/>
    <mergeCell ref="H56:N56"/>
    <mergeCell ref="Q56:R56"/>
    <mergeCell ref="H55:N55"/>
    <mergeCell ref="Q55:R55"/>
    <mergeCell ref="Y60:Z60"/>
    <mergeCell ref="H52:N52"/>
    <mergeCell ref="Q52:R52"/>
    <mergeCell ref="S52:W52"/>
    <mergeCell ref="S56:W56"/>
    <mergeCell ref="Y59:Z59"/>
    <mergeCell ref="S72:W72"/>
    <mergeCell ref="Y72:Z72"/>
    <mergeCell ref="H66:N66"/>
    <mergeCell ref="Q66:R66"/>
    <mergeCell ref="S66:W66"/>
    <mergeCell ref="Y66:Z66"/>
    <mergeCell ref="H95:N95"/>
    <mergeCell ref="H96:N96"/>
    <mergeCell ref="Q92:R92"/>
    <mergeCell ref="Q93:R93"/>
    <mergeCell ref="Q94:R94"/>
    <mergeCell ref="Q95:R95"/>
    <mergeCell ref="Q96:R96"/>
    <mergeCell ref="S67:W67"/>
    <mergeCell ref="S73:W73"/>
    <mergeCell ref="Y73:Z73"/>
    <mergeCell ref="H68:N68"/>
    <mergeCell ref="Q68:R68"/>
    <mergeCell ref="S68:W68"/>
    <mergeCell ref="H69:N69"/>
    <mergeCell ref="H72:N72"/>
    <mergeCell ref="Y89:Z89"/>
    <mergeCell ref="H67:N67"/>
    <mergeCell ref="H89:N89"/>
    <mergeCell ref="H61:N61"/>
    <mergeCell ref="Q61:R61"/>
    <mergeCell ref="Y68:Z68"/>
    <mergeCell ref="Y75:Z75"/>
    <mergeCell ref="S81:W81"/>
    <mergeCell ref="Y81:Z81"/>
    <mergeCell ref="H82:N82"/>
    <mergeCell ref="Q82:R82"/>
    <mergeCell ref="S82:W82"/>
    <mergeCell ref="Y67:Z67"/>
    <mergeCell ref="Q65:R65"/>
    <mergeCell ref="S70:W70"/>
    <mergeCell ref="Q69:R69"/>
    <mergeCell ref="S69:W69"/>
    <mergeCell ref="Y69:Z69"/>
    <mergeCell ref="H80:N80"/>
    <mergeCell ref="Q80:R80"/>
    <mergeCell ref="S80:W80"/>
    <mergeCell ref="Y80:Z80"/>
    <mergeCell ref="H77:N77"/>
    <mergeCell ref="Q77:R77"/>
    <mergeCell ref="S77:W77"/>
    <mergeCell ref="Y77:Z77"/>
    <mergeCell ref="S76:W76"/>
    <mergeCell ref="S63:W63"/>
    <mergeCell ref="Y63:Z63"/>
    <mergeCell ref="H64:N64"/>
    <mergeCell ref="Q64:R64"/>
    <mergeCell ref="S64:W64"/>
    <mergeCell ref="Y64:Z64"/>
    <mergeCell ref="H65:N65"/>
    <mergeCell ref="S65:W65"/>
    <mergeCell ref="Y65:Z65"/>
    <mergeCell ref="S62:W62"/>
    <mergeCell ref="Y62:Z62"/>
    <mergeCell ref="H62:N62"/>
    <mergeCell ref="Q62:R62"/>
    <mergeCell ref="Q67:R67"/>
    <mergeCell ref="Q63:R63"/>
    <mergeCell ref="Q84:R84"/>
    <mergeCell ref="S84:W84"/>
    <mergeCell ref="Y84:Z84"/>
    <mergeCell ref="H81:N81"/>
    <mergeCell ref="Q81:R81"/>
    <mergeCell ref="Q72:R72"/>
    <mergeCell ref="Q79:R79"/>
    <mergeCell ref="S79:W79"/>
    <mergeCell ref="Y79:Z79"/>
    <mergeCell ref="S74:W74"/>
    <mergeCell ref="H75:N75"/>
    <mergeCell ref="Q75:R75"/>
    <mergeCell ref="S75:W75"/>
    <mergeCell ref="Y82:Z82"/>
    <mergeCell ref="Q78:R78"/>
    <mergeCell ref="S78:W78"/>
    <mergeCell ref="Y78:Z78"/>
    <mergeCell ref="H79:N79"/>
    <mergeCell ref="Q89:R89"/>
    <mergeCell ref="H83:N83"/>
    <mergeCell ref="Q83:R83"/>
    <mergeCell ref="S83:W83"/>
    <mergeCell ref="Y83:Z83"/>
    <mergeCell ref="H85:N85"/>
    <mergeCell ref="Q85:R85"/>
    <mergeCell ref="S85:W85"/>
    <mergeCell ref="Y85:Z85"/>
    <mergeCell ref="H86:N86"/>
    <mergeCell ref="Q86:R86"/>
    <mergeCell ref="S86:W86"/>
    <mergeCell ref="Y86:Z86"/>
    <mergeCell ref="H87:N87"/>
    <mergeCell ref="Q87:R87"/>
    <mergeCell ref="H84:N84"/>
    <mergeCell ref="H73:N73"/>
    <mergeCell ref="Q73:R73"/>
    <mergeCell ref="Q74:R74"/>
    <mergeCell ref="H74:N74"/>
    <mergeCell ref="Y76:Z76"/>
    <mergeCell ref="H88:N88"/>
    <mergeCell ref="Q88:R88"/>
    <mergeCell ref="S88:W88"/>
    <mergeCell ref="Y88:Z88"/>
    <mergeCell ref="S87:W87"/>
    <mergeCell ref="H78:N78"/>
  </mergeCells>
  <phoneticPr fontId="6"/>
  <conditionalFormatting sqref="O23:R23">
    <cfRule type="expression" dxfId="239" priority="896">
      <formula>$G$20="Team"</formula>
    </cfRule>
  </conditionalFormatting>
  <conditionalFormatting sqref="C25:Z25 G23:R23">
    <cfRule type="expression" dxfId="238" priority="899">
      <formula>$G$20="Pass-around"</formula>
    </cfRule>
  </conditionalFormatting>
  <conditionalFormatting sqref="C26:H26 G23:J23 O23:R23 K26:L26 O26:P26 S26:T26">
    <cfRule type="expression" dxfId="237" priority="898">
      <formula>$G$20="Walk-through"</formula>
    </cfRule>
  </conditionalFormatting>
  <conditionalFormatting sqref="O68:R100 X68:Z100">
    <cfRule type="expression" dxfId="236" priority="887">
      <formula>$G68="Q&amp;A"</formula>
    </cfRule>
  </conditionalFormatting>
  <conditionalFormatting sqref="A1:XFD1 AA2:XFD2 A3:XFD3 A2:J2 A23:C23 A24:B24 G24:H24 A22:XFD22 A20:J20 A25:XFD25 AA7:XFD10 A17:XFD18 AA12:XFD16 A19:F19 AA19:XFD19 A21:M21 U20:XFD21 G23:T23 AA23:XFD24 A27:XFD27 A26:H26 K26:L26 O26:P26 S26:T26 W26:XFD26 A32:XFD34 A30:G31 P30:T31 A106:XFD1048576 A105:B105 AA105:XFD105 A103:XFD104 A102:G102 AA102:XFD102 A100:XFD101 A35:D43 A44:XFD48 V35:Y35 AA35:XFD38 A28:T29 AA28:XFD31 Z39:XFD39 W36:Y39 A68:Z99 AB68:XFD99 G16:K16 G7:T10 G11:XFD11 A4:B16 G4:XFD6 V36:V43 W40:XFD43 G50:G67">
    <cfRule type="cellIs" dxfId="235" priority="901" operator="equal">
      <formula>"(Select)"</formula>
    </cfRule>
  </conditionalFormatting>
  <conditionalFormatting sqref="K21:M21">
    <cfRule type="expression" dxfId="234" priority="884">
      <formula>$G21="use 'Peer Review Checklist' sheet"</formula>
    </cfRule>
  </conditionalFormatting>
  <conditionalFormatting sqref="N20">
    <cfRule type="cellIs" dxfId="233" priority="878" operator="equal">
      <formula>"(Select)"</formula>
    </cfRule>
  </conditionalFormatting>
  <conditionalFormatting sqref="K20:M20">
    <cfRule type="cellIs" dxfId="232" priority="877" operator="equal">
      <formula>"(Select)"</formula>
    </cfRule>
  </conditionalFormatting>
  <conditionalFormatting sqref="K20:M20">
    <cfRule type="expression" dxfId="231" priority="876">
      <formula>$G20="use 'Peer Review Checklist' sheet"</formula>
    </cfRule>
  </conditionalFormatting>
  <conditionalFormatting sqref="O68:Z99">
    <cfRule type="expression" dxfId="230" priority="874">
      <formula>$G68="proceedings"</formula>
    </cfRule>
  </conditionalFormatting>
  <conditionalFormatting sqref="O68:Z99">
    <cfRule type="expression" dxfId="229" priority="873">
      <formula>$G68="proceedings"</formula>
    </cfRule>
  </conditionalFormatting>
  <conditionalFormatting sqref="O68:Z99">
    <cfRule type="expression" dxfId="228" priority="872">
      <formula>$G68="proceedings"</formula>
    </cfRule>
  </conditionalFormatting>
  <conditionalFormatting sqref="U7:Z8">
    <cfRule type="cellIs" dxfId="227" priority="871" operator="equal">
      <formula>"(Select)"</formula>
    </cfRule>
  </conditionalFormatting>
  <conditionalFormatting sqref="X12:Z16">
    <cfRule type="cellIs" dxfId="226" priority="869" operator="equal">
      <formula>"(Select)"</formula>
    </cfRule>
  </conditionalFormatting>
  <conditionalFormatting sqref="L16:T16">
    <cfRule type="cellIs" dxfId="225" priority="867" operator="equal">
      <formula>"(Select)"</formula>
    </cfRule>
  </conditionalFormatting>
  <conditionalFormatting sqref="G19:Z19">
    <cfRule type="cellIs" dxfId="224" priority="866" operator="equal">
      <formula>"(Select)"</formula>
    </cfRule>
  </conditionalFormatting>
  <conditionalFormatting sqref="N21:T21">
    <cfRule type="cellIs" dxfId="223" priority="865" operator="equal">
      <formula>"(Select)"</formula>
    </cfRule>
  </conditionalFormatting>
  <conditionalFormatting sqref="N21:T21">
    <cfRule type="expression" dxfId="222" priority="864">
      <formula>$G21="use 'Peer Review Checklist' sheet"</formula>
    </cfRule>
  </conditionalFormatting>
  <conditionalFormatting sqref="U23:Z23">
    <cfRule type="cellIs" dxfId="221" priority="863" operator="equal">
      <formula>"(Select)"</formula>
    </cfRule>
  </conditionalFormatting>
  <conditionalFormatting sqref="I24:Z24">
    <cfRule type="cellIs" dxfId="220" priority="862" operator="equal">
      <formula>"(Select)"</formula>
    </cfRule>
  </conditionalFormatting>
  <conditionalFormatting sqref="I26:J26">
    <cfRule type="expression" dxfId="219" priority="858">
      <formula>$G$20="Inspection"</formula>
    </cfRule>
  </conditionalFormatting>
  <conditionalFormatting sqref="I26:J26">
    <cfRule type="expression" dxfId="218" priority="859">
      <formula>$G$20="Team"</formula>
    </cfRule>
  </conditionalFormatting>
  <conditionalFormatting sqref="I26:J26">
    <cfRule type="expression" dxfId="217" priority="860">
      <formula>$G$20="Walk-through"</formula>
    </cfRule>
  </conditionalFormatting>
  <conditionalFormatting sqref="I26:J26">
    <cfRule type="cellIs" dxfId="216" priority="861" operator="equal">
      <formula>"(Select)"</formula>
    </cfRule>
  </conditionalFormatting>
  <conditionalFormatting sqref="Q26:R26">
    <cfRule type="expression" dxfId="215" priority="850">
      <formula>$G$20="Inspection"</formula>
    </cfRule>
  </conditionalFormatting>
  <conditionalFormatting sqref="Q26:R26">
    <cfRule type="expression" dxfId="214" priority="851">
      <formula>$G$20="Team"</formula>
    </cfRule>
  </conditionalFormatting>
  <conditionalFormatting sqref="Q26:R26">
    <cfRule type="expression" dxfId="213" priority="852">
      <formula>$G$20="Walk-through"</formula>
    </cfRule>
  </conditionalFormatting>
  <conditionalFormatting sqref="Q26:R26">
    <cfRule type="cellIs" dxfId="212" priority="853" operator="equal">
      <formula>"(Select)"</formula>
    </cfRule>
  </conditionalFormatting>
  <conditionalFormatting sqref="U26:V26">
    <cfRule type="expression" dxfId="211" priority="846">
      <formula>$G$20="Inspection"</formula>
    </cfRule>
  </conditionalFormatting>
  <conditionalFormatting sqref="U26:V26">
    <cfRule type="expression" dxfId="210" priority="847">
      <formula>$G$20="Team"</formula>
    </cfRule>
  </conditionalFormatting>
  <conditionalFormatting sqref="U26:V26">
    <cfRule type="expression" dxfId="209" priority="848">
      <formula>$G$20="Walk-through"</formula>
    </cfRule>
  </conditionalFormatting>
  <conditionalFormatting sqref="U26:V26">
    <cfRule type="cellIs" dxfId="208" priority="849" operator="equal">
      <formula>"(Select)"</formula>
    </cfRule>
  </conditionalFormatting>
  <conditionalFormatting sqref="J30:M31">
    <cfRule type="cellIs" dxfId="207" priority="838" operator="equal">
      <formula>"(Select)"</formula>
    </cfRule>
  </conditionalFormatting>
  <conditionalFormatting sqref="N30:O31">
    <cfRule type="cellIs" dxfId="206" priority="834" operator="equal">
      <formula>"(Select)"</formula>
    </cfRule>
  </conditionalFormatting>
  <conditionalFormatting sqref="Q35:U37 Q39:U43 T38:U38">
    <cfRule type="cellIs" dxfId="205" priority="467" operator="equal">
      <formula>"(Select)"</formula>
    </cfRule>
  </conditionalFormatting>
  <conditionalFormatting sqref="E35:P35">
    <cfRule type="cellIs" dxfId="204" priority="466" operator="equal">
      <formula>"(Select)"</formula>
    </cfRule>
  </conditionalFormatting>
  <conditionalFormatting sqref="E36:P37">
    <cfRule type="cellIs" dxfId="203" priority="465" operator="equal">
      <formula>"(Select)"</formula>
    </cfRule>
  </conditionalFormatting>
  <conditionalFormatting sqref="E39:P43">
    <cfRule type="cellIs" dxfId="202" priority="464" operator="equal">
      <formula>"(Select)"</formula>
    </cfRule>
  </conditionalFormatting>
  <conditionalFormatting sqref="Z35:Z38">
    <cfRule type="cellIs" dxfId="201" priority="463" operator="equal">
      <formula>"(Select)"</formula>
    </cfRule>
  </conditionalFormatting>
  <conditionalFormatting sqref="O57:R67 X57:Z67 O50:O56">
    <cfRule type="expression" dxfId="200" priority="383">
      <formula>$G50="Q&amp;A"</formula>
    </cfRule>
  </conditionalFormatting>
  <conditionalFormatting sqref="A51:B51 A57:F67 H57:Z67 A52:C55 AB49:XFD67 A56:E56 H56:N56 S56:W56 A49:C50 H50 O50:O56">
    <cfRule type="cellIs" dxfId="199" priority="384" operator="equal">
      <formula>"(Select)"</formula>
    </cfRule>
  </conditionalFormatting>
  <conditionalFormatting sqref="O57:Z67 S56:W56 O50:O56">
    <cfRule type="expression" dxfId="198" priority="382">
      <formula>$G50="proceedings"</formula>
    </cfRule>
  </conditionalFormatting>
  <conditionalFormatting sqref="O57:Z67 S56:W56 O50:O56">
    <cfRule type="expression" dxfId="197" priority="381">
      <formula>$G50="proceedings"</formula>
    </cfRule>
  </conditionalFormatting>
  <conditionalFormatting sqref="O57:Z67 S56:W56 O50:O56">
    <cfRule type="expression" dxfId="196" priority="380">
      <formula>$G50="proceedings"</formula>
    </cfRule>
  </conditionalFormatting>
  <conditionalFormatting sqref="C105:Z105">
    <cfRule type="cellIs" dxfId="195" priority="378" operator="equal">
      <formula>"(Select)"</formula>
    </cfRule>
  </conditionalFormatting>
  <conditionalFormatting sqref="H30:I31">
    <cfRule type="cellIs" dxfId="194" priority="377" operator="equal">
      <formula>"(Select)"</formula>
    </cfRule>
  </conditionalFormatting>
  <conditionalFormatting sqref="H102:Z102">
    <cfRule type="cellIs" dxfId="193" priority="376" operator="equal">
      <formula>"(Select)"</formula>
    </cfRule>
  </conditionalFormatting>
  <conditionalFormatting sqref="U12:W16">
    <cfRule type="cellIs" dxfId="192" priority="371" operator="equal">
      <formula>"(Select)"</formula>
    </cfRule>
  </conditionalFormatting>
  <conditionalFormatting sqref="P50 X50:Z51">
    <cfRule type="expression" dxfId="191" priority="350">
      <formula>$G50="Q&amp;A"</formula>
    </cfRule>
  </conditionalFormatting>
  <conditionalFormatting sqref="P50 X50:Z51">
    <cfRule type="cellIs" dxfId="190" priority="351" operator="equal">
      <formula>"(Select)"</formula>
    </cfRule>
  </conditionalFormatting>
  <conditionalFormatting sqref="P50 X50:Z51">
    <cfRule type="expression" dxfId="189" priority="349">
      <formula>$G50="proceedings"</formula>
    </cfRule>
  </conditionalFormatting>
  <conditionalFormatting sqref="P50 X50:Z51">
    <cfRule type="expression" dxfId="188" priority="348">
      <formula>$G50="proceedings"</formula>
    </cfRule>
  </conditionalFormatting>
  <conditionalFormatting sqref="P50 X50:Z51">
    <cfRule type="expression" dxfId="187" priority="347">
      <formula>$G50="proceedings"</formula>
    </cfRule>
  </conditionalFormatting>
  <conditionalFormatting sqref="U28:Z31">
    <cfRule type="cellIs" dxfId="186" priority="259" operator="equal">
      <formula>"(Select)"</formula>
    </cfRule>
  </conditionalFormatting>
  <conditionalFormatting sqref="C51">
    <cfRule type="cellIs" dxfId="185" priority="253" operator="equal">
      <formula>"(Select)"</formula>
    </cfRule>
  </conditionalFormatting>
  <conditionalFormatting sqref="H52:N52">
    <cfRule type="cellIs" dxfId="184" priority="233" operator="equal">
      <formula>"(Select)"</formula>
    </cfRule>
  </conditionalFormatting>
  <conditionalFormatting sqref="D52:E52">
    <cfRule type="cellIs" dxfId="183" priority="232" operator="equal">
      <formula>"(Select)"</formula>
    </cfRule>
  </conditionalFormatting>
  <conditionalFormatting sqref="D52:E52">
    <cfRule type="cellIs" dxfId="182" priority="231" operator="equal">
      <formula>"(Select)"</formula>
    </cfRule>
  </conditionalFormatting>
  <conditionalFormatting sqref="D52:E52">
    <cfRule type="cellIs" dxfId="181" priority="230" operator="equal">
      <formula>"(Select)"</formula>
    </cfRule>
  </conditionalFormatting>
  <conditionalFormatting sqref="D52:E52">
    <cfRule type="cellIs" dxfId="180" priority="229" operator="equal">
      <formula>"(Select)"</formula>
    </cfRule>
  </conditionalFormatting>
  <conditionalFormatting sqref="F52">
    <cfRule type="cellIs" dxfId="179" priority="228" operator="equal">
      <formula>"(Select)"</formula>
    </cfRule>
  </conditionalFormatting>
  <conditionalFormatting sqref="G12:T15">
    <cfRule type="cellIs" dxfId="178" priority="218" operator="equal">
      <formula>"(Select)"</formula>
    </cfRule>
  </conditionalFormatting>
  <conditionalFormatting sqref="D54">
    <cfRule type="cellIs" dxfId="177" priority="206" operator="equal">
      <formula>"(Select)"</formula>
    </cfRule>
  </conditionalFormatting>
  <conditionalFormatting sqref="D54">
    <cfRule type="cellIs" dxfId="176" priority="205" operator="equal">
      <formula>"(Select)"</formula>
    </cfRule>
  </conditionalFormatting>
  <conditionalFormatting sqref="D54">
    <cfRule type="cellIs" dxfId="175" priority="204" operator="equal">
      <formula>"(Select)"</formula>
    </cfRule>
  </conditionalFormatting>
  <conditionalFormatting sqref="D54">
    <cfRule type="cellIs" dxfId="174" priority="203" operator="equal">
      <formula>"(Select)"</formula>
    </cfRule>
  </conditionalFormatting>
  <conditionalFormatting sqref="Q50:R50">
    <cfRule type="expression" dxfId="173" priority="191">
      <formula>$G50="Q&amp;A"</formula>
    </cfRule>
  </conditionalFormatting>
  <conditionalFormatting sqref="Q50:W50">
    <cfRule type="cellIs" dxfId="172" priority="192" operator="equal">
      <formula>"(Select)"</formula>
    </cfRule>
  </conditionalFormatting>
  <conditionalFormatting sqref="Q50:W50">
    <cfRule type="expression" dxfId="171" priority="190">
      <formula>$G50="proceedings"</formula>
    </cfRule>
  </conditionalFormatting>
  <conditionalFormatting sqref="Q50:W50">
    <cfRule type="expression" dxfId="170" priority="189">
      <formula>$G50="proceedings"</formula>
    </cfRule>
  </conditionalFormatting>
  <conditionalFormatting sqref="Q50:W50">
    <cfRule type="expression" dxfId="169" priority="188">
      <formula>$G50="proceedings"</formula>
    </cfRule>
  </conditionalFormatting>
  <conditionalFormatting sqref="P51">
    <cfRule type="expression" dxfId="168" priority="180">
      <formula>$G51="Q&amp;A"</formula>
    </cfRule>
  </conditionalFormatting>
  <conditionalFormatting sqref="P51">
    <cfRule type="cellIs" dxfId="167" priority="181" operator="equal">
      <formula>"(Select)"</formula>
    </cfRule>
  </conditionalFormatting>
  <conditionalFormatting sqref="P51">
    <cfRule type="expression" dxfId="166" priority="179">
      <formula>$G51="proceedings"</formula>
    </cfRule>
  </conditionalFormatting>
  <conditionalFormatting sqref="P51">
    <cfRule type="expression" dxfId="165" priority="178">
      <formula>$G51="proceedings"</formula>
    </cfRule>
  </conditionalFormatting>
  <conditionalFormatting sqref="P51">
    <cfRule type="expression" dxfId="164" priority="177">
      <formula>$G51="proceedings"</formula>
    </cfRule>
  </conditionalFormatting>
  <conditionalFormatting sqref="Q51:R51">
    <cfRule type="expression" dxfId="163" priority="175">
      <formula>$G51="Q&amp;A"</formula>
    </cfRule>
  </conditionalFormatting>
  <conditionalFormatting sqref="Q51:W51">
    <cfRule type="cellIs" dxfId="162" priority="176" operator="equal">
      <formula>"(Select)"</formula>
    </cfRule>
  </conditionalFormatting>
  <conditionalFormatting sqref="Q51:W51">
    <cfRule type="expression" dxfId="161" priority="174">
      <formula>$G51="proceedings"</formula>
    </cfRule>
  </conditionalFormatting>
  <conditionalFormatting sqref="Q51:W51">
    <cfRule type="expression" dxfId="160" priority="173">
      <formula>$G51="proceedings"</formula>
    </cfRule>
  </conditionalFormatting>
  <conditionalFormatting sqref="Q51:W51">
    <cfRule type="expression" dxfId="159" priority="172">
      <formula>$G51="proceedings"</formula>
    </cfRule>
  </conditionalFormatting>
  <conditionalFormatting sqref="P52:R52">
    <cfRule type="expression" dxfId="158" priority="170">
      <formula>$G52="Q&amp;A"</formula>
    </cfRule>
  </conditionalFormatting>
  <conditionalFormatting sqref="P52:W52">
    <cfRule type="cellIs" dxfId="157" priority="171" operator="equal">
      <formula>"(Select)"</formula>
    </cfRule>
  </conditionalFormatting>
  <conditionalFormatting sqref="P52:W52">
    <cfRule type="expression" dxfId="156" priority="169">
      <formula>$G52="proceedings"</formula>
    </cfRule>
  </conditionalFormatting>
  <conditionalFormatting sqref="P52:W52">
    <cfRule type="expression" dxfId="155" priority="168">
      <formula>$G52="proceedings"</formula>
    </cfRule>
  </conditionalFormatting>
  <conditionalFormatting sqref="P52:W52">
    <cfRule type="expression" dxfId="154" priority="167">
      <formula>$G52="proceedings"</formula>
    </cfRule>
  </conditionalFormatting>
  <conditionalFormatting sqref="X52:Z52">
    <cfRule type="expression" dxfId="153" priority="165">
      <formula>$G52="Q&amp;A"</formula>
    </cfRule>
  </conditionalFormatting>
  <conditionalFormatting sqref="X52:Z52">
    <cfRule type="cellIs" dxfId="152" priority="166" operator="equal">
      <formula>"(Select)"</formula>
    </cfRule>
  </conditionalFormatting>
  <conditionalFormatting sqref="X52:Z52">
    <cfRule type="expression" dxfId="151" priority="164">
      <formula>$G52="proceedings"</formula>
    </cfRule>
  </conditionalFormatting>
  <conditionalFormatting sqref="X52:Z52">
    <cfRule type="expression" dxfId="150" priority="163">
      <formula>$G52="proceedings"</formula>
    </cfRule>
  </conditionalFormatting>
  <conditionalFormatting sqref="X52:Z52">
    <cfRule type="expression" dxfId="149" priority="162">
      <formula>$G52="proceedings"</formula>
    </cfRule>
  </conditionalFormatting>
  <conditionalFormatting sqref="D53">
    <cfRule type="cellIs" dxfId="148" priority="154" operator="equal">
      <formula>"(Select)"</formula>
    </cfRule>
  </conditionalFormatting>
  <conditionalFormatting sqref="D53">
    <cfRule type="cellIs" dxfId="147" priority="153" operator="equal">
      <formula>"(Select)"</formula>
    </cfRule>
  </conditionalFormatting>
  <conditionalFormatting sqref="D53">
    <cfRule type="cellIs" dxfId="146" priority="152" operator="equal">
      <formula>"(Select)"</formula>
    </cfRule>
  </conditionalFormatting>
  <conditionalFormatting sqref="D53">
    <cfRule type="cellIs" dxfId="145" priority="151" operator="equal">
      <formula>"(Select)"</formula>
    </cfRule>
  </conditionalFormatting>
  <conditionalFormatting sqref="P53:R53">
    <cfRule type="expression" dxfId="144" priority="148">
      <formula>$G53="Q&amp;A"</formula>
    </cfRule>
  </conditionalFormatting>
  <conditionalFormatting sqref="P53:W53">
    <cfRule type="cellIs" dxfId="143" priority="149" operator="equal">
      <formula>"(Select)"</formula>
    </cfRule>
  </conditionalFormatting>
  <conditionalFormatting sqref="P53:W53">
    <cfRule type="expression" dxfId="142" priority="147">
      <formula>$G53="proceedings"</formula>
    </cfRule>
  </conditionalFormatting>
  <conditionalFormatting sqref="P53:W53">
    <cfRule type="expression" dxfId="141" priority="146">
      <formula>$G53="proceedings"</formula>
    </cfRule>
  </conditionalFormatting>
  <conditionalFormatting sqref="P53:W53">
    <cfRule type="expression" dxfId="140" priority="145">
      <formula>$G53="proceedings"</formula>
    </cfRule>
  </conditionalFormatting>
  <conditionalFormatting sqref="X53:Z53">
    <cfRule type="expression" dxfId="139" priority="143">
      <formula>$G53="Q&amp;A"</formula>
    </cfRule>
  </conditionalFormatting>
  <conditionalFormatting sqref="X53:Z53">
    <cfRule type="cellIs" dxfId="138" priority="144" operator="equal">
      <formula>"(Select)"</formula>
    </cfRule>
  </conditionalFormatting>
  <conditionalFormatting sqref="X53:Z53">
    <cfRule type="expression" dxfId="137" priority="142">
      <formula>$G53="proceedings"</formula>
    </cfRule>
  </conditionalFormatting>
  <conditionalFormatting sqref="X53:Z53">
    <cfRule type="expression" dxfId="136" priority="141">
      <formula>$G53="proceedings"</formula>
    </cfRule>
  </conditionalFormatting>
  <conditionalFormatting sqref="X53:Z53">
    <cfRule type="expression" dxfId="135" priority="140">
      <formula>$G53="proceedings"</formula>
    </cfRule>
  </conditionalFormatting>
  <conditionalFormatting sqref="Y55:Z55">
    <cfRule type="expression" dxfId="134" priority="138">
      <formula>$G55="Q&amp;A"</formula>
    </cfRule>
  </conditionalFormatting>
  <conditionalFormatting sqref="X55:Z55">
    <cfRule type="cellIs" dxfId="133" priority="139" operator="equal">
      <formula>"(Select)"</formula>
    </cfRule>
  </conditionalFormatting>
  <conditionalFormatting sqref="Y55:Z55">
    <cfRule type="expression" dxfId="132" priority="137">
      <formula>$G55="proceedings"</formula>
    </cfRule>
  </conditionalFormatting>
  <conditionalFormatting sqref="Y55:Z55">
    <cfRule type="expression" dxfId="131" priority="136">
      <formula>$G55="proceedings"</formula>
    </cfRule>
  </conditionalFormatting>
  <conditionalFormatting sqref="Y55:Z55">
    <cfRule type="expression" dxfId="130" priority="135">
      <formula>$G55="proceedings"</formula>
    </cfRule>
  </conditionalFormatting>
  <conditionalFormatting sqref="S55:W55">
    <cfRule type="cellIs" dxfId="129" priority="134" operator="equal">
      <formula>"(Select)"</formula>
    </cfRule>
  </conditionalFormatting>
  <conditionalFormatting sqref="S55:W55">
    <cfRule type="expression" dxfId="128" priority="133">
      <formula>$G55="proceedings"</formula>
    </cfRule>
  </conditionalFormatting>
  <conditionalFormatting sqref="S55:W55">
    <cfRule type="expression" dxfId="127" priority="132">
      <formula>$G55="proceedings"</formula>
    </cfRule>
  </conditionalFormatting>
  <conditionalFormatting sqref="S55:W55">
    <cfRule type="expression" dxfId="126" priority="131">
      <formula>$G55="proceedings"</formula>
    </cfRule>
  </conditionalFormatting>
  <conditionalFormatting sqref="H55:N55">
    <cfRule type="cellIs" dxfId="125" priority="129" operator="equal">
      <formula>"(Select)"</formula>
    </cfRule>
  </conditionalFormatting>
  <conditionalFormatting sqref="D55:E55">
    <cfRule type="cellIs" dxfId="124" priority="128" operator="equal">
      <formula>"(Select)"</formula>
    </cfRule>
  </conditionalFormatting>
  <conditionalFormatting sqref="D55:E55">
    <cfRule type="cellIs" dxfId="123" priority="127" operator="equal">
      <formula>"(Select)"</formula>
    </cfRule>
  </conditionalFormatting>
  <conditionalFormatting sqref="D55:E55">
    <cfRule type="cellIs" dxfId="122" priority="126" operator="equal">
      <formula>"(Select)"</formula>
    </cfRule>
  </conditionalFormatting>
  <conditionalFormatting sqref="D55:E55">
    <cfRule type="cellIs" dxfId="121" priority="125" operator="equal">
      <formula>"(Select)"</formula>
    </cfRule>
  </conditionalFormatting>
  <conditionalFormatting sqref="F55">
    <cfRule type="cellIs" dxfId="120" priority="124" operator="equal">
      <formula>"(Select)"</formula>
    </cfRule>
  </conditionalFormatting>
  <conditionalFormatting sqref="P55:R55">
    <cfRule type="expression" dxfId="119" priority="122">
      <formula>$G55="Q&amp;A"</formula>
    </cfRule>
  </conditionalFormatting>
  <conditionalFormatting sqref="P55:R55">
    <cfRule type="cellIs" dxfId="118" priority="123" operator="equal">
      <formula>"(Select)"</formula>
    </cfRule>
  </conditionalFormatting>
  <conditionalFormatting sqref="P55:R55">
    <cfRule type="expression" dxfId="117" priority="121">
      <formula>$G55="proceedings"</formula>
    </cfRule>
  </conditionalFormatting>
  <conditionalFormatting sqref="P55:R55">
    <cfRule type="expression" dxfId="116" priority="120">
      <formula>$G55="proceedings"</formula>
    </cfRule>
  </conditionalFormatting>
  <conditionalFormatting sqref="P55:R55">
    <cfRule type="expression" dxfId="115" priority="119">
      <formula>$G55="proceedings"</formula>
    </cfRule>
  </conditionalFormatting>
  <conditionalFormatting sqref="X55">
    <cfRule type="expression" dxfId="114" priority="118">
      <formula>$G55="Q&amp;A"</formula>
    </cfRule>
  </conditionalFormatting>
  <conditionalFormatting sqref="X55">
    <cfRule type="expression" dxfId="113" priority="117">
      <formula>$G55="proceedings"</formula>
    </cfRule>
  </conditionalFormatting>
  <conditionalFormatting sqref="X55">
    <cfRule type="expression" dxfId="112" priority="116">
      <formula>$G55="proceedings"</formula>
    </cfRule>
  </conditionalFormatting>
  <conditionalFormatting sqref="X55">
    <cfRule type="expression" dxfId="111" priority="115">
      <formula>$G55="proceedings"</formula>
    </cfRule>
  </conditionalFormatting>
  <conditionalFormatting sqref="H54:N54">
    <cfRule type="cellIs" dxfId="110" priority="108" operator="equal">
      <formula>"(Select)"</formula>
    </cfRule>
  </conditionalFormatting>
  <conditionalFormatting sqref="E54">
    <cfRule type="cellIs" dxfId="109" priority="107" operator="equal">
      <formula>"(Select)"</formula>
    </cfRule>
  </conditionalFormatting>
  <conditionalFormatting sqref="E54">
    <cfRule type="cellIs" dxfId="108" priority="106" operator="equal">
      <formula>"(Select)"</formula>
    </cfRule>
  </conditionalFormatting>
  <conditionalFormatting sqref="E54">
    <cfRule type="cellIs" dxfId="107" priority="105" operator="equal">
      <formula>"(Select)"</formula>
    </cfRule>
  </conditionalFormatting>
  <conditionalFormatting sqref="E54">
    <cfRule type="cellIs" dxfId="106" priority="104" operator="equal">
      <formula>"(Select)"</formula>
    </cfRule>
  </conditionalFormatting>
  <conditionalFormatting sqref="F54">
    <cfRule type="cellIs" dxfId="105" priority="103" operator="equal">
      <formula>"(Select)"</formula>
    </cfRule>
  </conditionalFormatting>
  <conditionalFormatting sqref="P54:R54">
    <cfRule type="expression" dxfId="104" priority="101">
      <formula>$G54="Q&amp;A"</formula>
    </cfRule>
  </conditionalFormatting>
  <conditionalFormatting sqref="P54:W54">
    <cfRule type="cellIs" dxfId="103" priority="102" operator="equal">
      <formula>"(Select)"</formula>
    </cfRule>
  </conditionalFormatting>
  <conditionalFormatting sqref="P54:W54">
    <cfRule type="expression" dxfId="102" priority="100">
      <formula>$G54="proceedings"</formula>
    </cfRule>
  </conditionalFormatting>
  <conditionalFormatting sqref="P54:W54">
    <cfRule type="expression" dxfId="101" priority="99">
      <formula>$G54="proceedings"</formula>
    </cfRule>
  </conditionalFormatting>
  <conditionalFormatting sqref="P54:W54">
    <cfRule type="expression" dxfId="100" priority="98">
      <formula>$G54="proceedings"</formula>
    </cfRule>
  </conditionalFormatting>
  <conditionalFormatting sqref="X54:Z54">
    <cfRule type="expression" dxfId="99" priority="96">
      <formula>$G54="Q&amp;A"</formula>
    </cfRule>
  </conditionalFormatting>
  <conditionalFormatting sqref="X54:Z54">
    <cfRule type="cellIs" dxfId="98" priority="97" operator="equal">
      <formula>"(Select)"</formula>
    </cfRule>
  </conditionalFormatting>
  <conditionalFormatting sqref="X54:Z54">
    <cfRule type="expression" dxfId="97" priority="95">
      <formula>$G54="proceedings"</formula>
    </cfRule>
  </conditionalFormatting>
  <conditionalFormatting sqref="X54:Z54">
    <cfRule type="expression" dxfId="96" priority="94">
      <formula>$G54="proceedings"</formula>
    </cfRule>
  </conditionalFormatting>
  <conditionalFormatting sqref="X54:Z54">
    <cfRule type="expression" dxfId="95" priority="93">
      <formula>$G54="proceedings"</formula>
    </cfRule>
  </conditionalFormatting>
  <conditionalFormatting sqref="AA49:AA99">
    <cfRule type="cellIs" dxfId="94" priority="92" operator="equal">
      <formula>"(Select)"</formula>
    </cfRule>
  </conditionalFormatting>
  <conditionalFormatting sqref="H53:N53">
    <cfRule type="cellIs" dxfId="93" priority="85" operator="equal">
      <formula>"(Select)"</formula>
    </cfRule>
  </conditionalFormatting>
  <conditionalFormatting sqref="E53">
    <cfRule type="cellIs" dxfId="92" priority="84" operator="equal">
      <formula>"(Select)"</formula>
    </cfRule>
  </conditionalFormatting>
  <conditionalFormatting sqref="E53">
    <cfRule type="cellIs" dxfId="91" priority="83" operator="equal">
      <formula>"(Select)"</formula>
    </cfRule>
  </conditionalFormatting>
  <conditionalFormatting sqref="E53">
    <cfRule type="cellIs" dxfId="90" priority="82" operator="equal">
      <formula>"(Select)"</formula>
    </cfRule>
  </conditionalFormatting>
  <conditionalFormatting sqref="E53">
    <cfRule type="cellIs" dxfId="89" priority="81" operator="equal">
      <formula>"(Select)"</formula>
    </cfRule>
  </conditionalFormatting>
  <conditionalFormatting sqref="F53">
    <cfRule type="cellIs" dxfId="88" priority="80" operator="equal">
      <formula>"(Select)"</formula>
    </cfRule>
  </conditionalFormatting>
  <conditionalFormatting sqref="F56">
    <cfRule type="cellIs" dxfId="87" priority="78" operator="equal">
      <formula>"(Select)"</formula>
    </cfRule>
  </conditionalFormatting>
  <conditionalFormatting sqref="P56:R56">
    <cfRule type="expression" dxfId="86" priority="76">
      <formula>$G56="Q&amp;A"</formula>
    </cfRule>
  </conditionalFormatting>
  <conditionalFormatting sqref="P56:R56">
    <cfRule type="cellIs" dxfId="85" priority="77" operator="equal">
      <formula>"(Select)"</formula>
    </cfRule>
  </conditionalFormatting>
  <conditionalFormatting sqref="P56:R56">
    <cfRule type="expression" dxfId="84" priority="75">
      <formula>$G56="proceedings"</formula>
    </cfRule>
  </conditionalFormatting>
  <conditionalFormatting sqref="P56:R56">
    <cfRule type="expression" dxfId="83" priority="74">
      <formula>$G56="proceedings"</formula>
    </cfRule>
  </conditionalFormatting>
  <conditionalFormatting sqref="P56:R56">
    <cfRule type="expression" dxfId="82" priority="73">
      <formula>$G56="proceedings"</formula>
    </cfRule>
  </conditionalFormatting>
  <conditionalFormatting sqref="Y56:Z56">
    <cfRule type="expression" dxfId="81" priority="71">
      <formula>$G56="Q&amp;A"</formula>
    </cfRule>
  </conditionalFormatting>
  <conditionalFormatting sqref="X56:Z56">
    <cfRule type="cellIs" dxfId="80" priority="72" operator="equal">
      <formula>"(Select)"</formula>
    </cfRule>
  </conditionalFormatting>
  <conditionalFormatting sqref="Y56:Z56">
    <cfRule type="expression" dxfId="79" priority="70">
      <formula>$G56="proceedings"</formula>
    </cfRule>
  </conditionalFormatting>
  <conditionalFormatting sqref="Y56:Z56">
    <cfRule type="expression" dxfId="78" priority="69">
      <formula>$G56="proceedings"</formula>
    </cfRule>
  </conditionalFormatting>
  <conditionalFormatting sqref="Y56:Z56">
    <cfRule type="expression" dxfId="77" priority="68">
      <formula>$G56="proceedings"</formula>
    </cfRule>
  </conditionalFormatting>
  <conditionalFormatting sqref="X56">
    <cfRule type="expression" dxfId="76" priority="67">
      <formula>$G56="Q&amp;A"</formula>
    </cfRule>
  </conditionalFormatting>
  <conditionalFormatting sqref="X56">
    <cfRule type="expression" dxfId="75" priority="66">
      <formula>$G56="proceedings"</formula>
    </cfRule>
  </conditionalFormatting>
  <conditionalFormatting sqref="X56">
    <cfRule type="expression" dxfId="74" priority="65">
      <formula>$G56="proceedings"</formula>
    </cfRule>
  </conditionalFormatting>
  <conditionalFormatting sqref="X56">
    <cfRule type="expression" dxfId="73" priority="64">
      <formula>$G56="proceedings"</formula>
    </cfRule>
  </conditionalFormatting>
  <conditionalFormatting sqref="D50:F50">
    <cfRule type="cellIs" dxfId="72" priority="62" operator="equal">
      <formula>"(Select)"</formula>
    </cfRule>
  </conditionalFormatting>
  <conditionalFormatting sqref="H51">
    <cfRule type="cellIs" dxfId="71" priority="60" operator="equal">
      <formula>"(Select)"</formula>
    </cfRule>
  </conditionalFormatting>
  <conditionalFormatting sqref="D51:F51">
    <cfRule type="cellIs" dxfId="70" priority="55" operator="equal">
      <formula>"(Select)"</formula>
    </cfRule>
  </conditionalFormatting>
  <conditionalFormatting sqref="C4:F16">
    <cfRule type="cellIs" dxfId="69" priority="54" operator="equal">
      <formula>"(Select)"</formula>
    </cfRule>
  </conditionalFormatting>
  <conditionalFormatting sqref="U9:Z10">
    <cfRule type="cellIs" dxfId="68" priority="53" operator="equal">
      <formula>"(Select)"</formula>
    </cfRule>
  </conditionalFormatting>
  <conditionalFormatting sqref="M26:N26">
    <cfRule type="expression" dxfId="67" priority="51">
      <formula>$G26="Q&amp;A"</formula>
    </cfRule>
  </conditionalFormatting>
  <conditionalFormatting sqref="M26:N26">
    <cfRule type="cellIs" dxfId="66" priority="52" operator="equal">
      <formula>"(Select)"</formula>
    </cfRule>
  </conditionalFormatting>
  <conditionalFormatting sqref="M26:N26">
    <cfRule type="expression" dxfId="65" priority="50">
      <formula>$G26="proceedings"</formula>
    </cfRule>
  </conditionalFormatting>
  <conditionalFormatting sqref="M26:N26">
    <cfRule type="expression" dxfId="64" priority="49">
      <formula>$G26="proceedings"</formula>
    </cfRule>
  </conditionalFormatting>
  <conditionalFormatting sqref="M26:N26">
    <cfRule type="expression" dxfId="63" priority="48">
      <formula>$G26="proceedings"</formula>
    </cfRule>
  </conditionalFormatting>
  <conditionalFormatting sqref="Q38:S38">
    <cfRule type="cellIs" dxfId="62" priority="46" operator="equal">
      <formula>"(Select)"</formula>
    </cfRule>
  </conditionalFormatting>
  <conditionalFormatting sqref="E38:P38">
    <cfRule type="cellIs" dxfId="61" priority="45" operator="equal">
      <formula>"(Select)"</formula>
    </cfRule>
  </conditionalFormatting>
  <conditionalFormatting sqref="G49">
    <cfRule type="cellIs" dxfId="60" priority="22" operator="equal">
      <formula>"(Select)"</formula>
    </cfRule>
  </conditionalFormatting>
  <conditionalFormatting sqref="O49">
    <cfRule type="expression" dxfId="59" priority="20">
      <formula>$G49="Q&amp;A"</formula>
    </cfRule>
  </conditionalFormatting>
  <conditionalFormatting sqref="H49 O49">
    <cfRule type="cellIs" dxfId="58" priority="21" operator="equal">
      <formula>"(Select)"</formula>
    </cfRule>
  </conditionalFormatting>
  <conditionalFormatting sqref="O49">
    <cfRule type="expression" dxfId="57" priority="19">
      <formula>$G49="proceedings"</formula>
    </cfRule>
  </conditionalFormatting>
  <conditionalFormatting sqref="O49">
    <cfRule type="expression" dxfId="56" priority="18">
      <formula>$G49="proceedings"</formula>
    </cfRule>
  </conditionalFormatting>
  <conditionalFormatting sqref="O49">
    <cfRule type="expression" dxfId="55" priority="17">
      <formula>$G49="proceedings"</formula>
    </cfRule>
  </conditionalFormatting>
  <conditionalFormatting sqref="P49 X49">
    <cfRule type="expression" dxfId="54" priority="15">
      <formula>$G49="Q&amp;A"</formula>
    </cfRule>
  </conditionalFormatting>
  <conditionalFormatting sqref="P49 X49">
    <cfRule type="cellIs" dxfId="53" priority="16" operator="equal">
      <formula>"(Select)"</formula>
    </cfRule>
  </conditionalFormatting>
  <conditionalFormatting sqref="P49 X49">
    <cfRule type="expression" dxfId="52" priority="14">
      <formula>$G49="proceedings"</formula>
    </cfRule>
  </conditionalFormatting>
  <conditionalFormatting sqref="P49 X49">
    <cfRule type="expression" dxfId="51" priority="13">
      <formula>$G49="proceedings"</formula>
    </cfRule>
  </conditionalFormatting>
  <conditionalFormatting sqref="P49 X49">
    <cfRule type="expression" dxfId="50" priority="12">
      <formula>$G49="proceedings"</formula>
    </cfRule>
  </conditionalFormatting>
  <conditionalFormatting sqref="Q49:R49">
    <cfRule type="expression" dxfId="49" priority="10">
      <formula>$G49="Q&amp;A"</formula>
    </cfRule>
  </conditionalFormatting>
  <conditionalFormatting sqref="Q49:W49">
    <cfRule type="cellIs" dxfId="48" priority="11" operator="equal">
      <formula>"(Select)"</formula>
    </cfRule>
  </conditionalFormatting>
  <conditionalFormatting sqref="Q49:W49">
    <cfRule type="expression" dxfId="47" priority="9">
      <formula>$G49="proceedings"</formula>
    </cfRule>
  </conditionalFormatting>
  <conditionalFormatting sqref="Q49:W49">
    <cfRule type="expression" dxfId="46" priority="8">
      <formula>$G49="proceedings"</formula>
    </cfRule>
  </conditionalFormatting>
  <conditionalFormatting sqref="Q49:W49">
    <cfRule type="expression" dxfId="45" priority="7">
      <formula>$G49="proceedings"</formula>
    </cfRule>
  </conditionalFormatting>
  <conditionalFormatting sqref="D49:F49">
    <cfRule type="cellIs" dxfId="44" priority="6" operator="equal">
      <formula>"(Select)"</formula>
    </cfRule>
  </conditionalFormatting>
  <conditionalFormatting sqref="Y49:Z49">
    <cfRule type="expression" dxfId="43" priority="4">
      <formula>$G49="Q&amp;A"</formula>
    </cfRule>
  </conditionalFormatting>
  <conditionalFormatting sqref="Y49:Z49">
    <cfRule type="cellIs" dxfId="42" priority="5" operator="equal">
      <formula>"(Select)"</formula>
    </cfRule>
  </conditionalFormatting>
  <conditionalFormatting sqref="Y49:Z49">
    <cfRule type="expression" dxfId="41" priority="3">
      <formula>$G49="proceedings"</formula>
    </cfRule>
  </conditionalFormatting>
  <conditionalFormatting sqref="Y49:Z49">
    <cfRule type="expression" dxfId="40" priority="2">
      <formula>$G49="proceedings"</formula>
    </cfRule>
  </conditionalFormatting>
  <conditionalFormatting sqref="Y49:Z49">
    <cfRule type="expression" dxfId="39" priority="1">
      <formula>$G49="proceedings"</formula>
    </cfRule>
  </conditionalFormatting>
  <dataValidations count="10">
    <dataValidation type="list" allowBlank="1" sqref="G21:J21" xr:uid="{00000000-0002-0000-0000-000000000000}">
      <formula1>"(Select), use department checklist, use 'Peer Review Checklist' sheet"</formula1>
    </dataValidation>
    <dataValidation type="list" allowBlank="1" sqref="G20:J20" xr:uid="{00000000-0002-0000-0000-000001000000}">
      <formula1>"(Select),Inspection,Team,Walk-through,Pass-around"</formula1>
    </dataValidation>
    <dataValidation type="list" allowBlank="1" sqref="G100" xr:uid="{00000000-0002-0000-0000-000002000000}">
      <formula1>"(Select),Issue,Q&amp;A"</formula1>
    </dataValidation>
    <dataValidation type="list" allowBlank="1" sqref="O49:O100" xr:uid="{00000000-0002-0000-0000-000003000000}">
      <formula1>"(Select),Defect,Risk,Problem,AI"</formula1>
    </dataValidation>
    <dataValidation type="list" allowBlank="1" sqref="V35:V44" xr:uid="{00000000-0002-0000-0000-000004000000}">
      <formula1>"(Select),Page,Line,Number"</formula1>
    </dataValidation>
    <dataValidation type="list" allowBlank="1" sqref="G8:Q10" xr:uid="{00000000-0002-0000-0000-000005000000}">
      <formula1>"(Select), Project planning process, Requirements development process, Functional design process, Detailed design process, Coding and debug process, Unit test process, Integration test process, System test process, -"</formula1>
    </dataValidation>
    <dataValidation type="list" allowBlank="1" showInputMessage="1" showErrorMessage="1" sqref="N20:T20" xr:uid="{00000000-0002-0000-0000-000006000000}">
      <formula1>"1st review,Re-review"</formula1>
    </dataValidation>
    <dataValidation type="list" allowBlank="1" sqref="G49:G99" xr:uid="{00000000-0002-0000-0000-000007000000}">
      <formula1>"(Select),Issue,Q&amp;A,proceedings"</formula1>
    </dataValidation>
    <dataValidation type="list" allowBlank="1" showInputMessage="1" sqref="D52:D55" xr:uid="{00000000-0002-0000-0000-000008000000}">
      <formula1>"-,(–{‘), 1, 2, 3, 4, 5, 6, 7, 8, 9, 10, 11, 12, 13, 14"</formula1>
    </dataValidation>
    <dataValidation type="list" allowBlank="1" showInputMessage="1" sqref="E52:E55" xr:uid="{00000000-0002-0000-0000-000009000000}">
      <formula1>",-"</formula1>
    </dataValidation>
  </dataValidations>
  <printOptions horizontalCentered="1"/>
  <pageMargins left="0.39370078740157483" right="0.39370078740157483" top="0.59055118110236227" bottom="0.39370078740157483" header="0.31496062992125984" footer="0.19685039370078741"/>
  <pageSetup paperSize="9" scale="60" fitToHeight="0" orientation="portrait" r:id="rId1"/>
  <headerFooter scaleWithDoc="0" alignWithMargins="0"/>
  <rowBreaks count="1" manualBreakCount="1">
    <brk id="72" max="26" man="1"/>
  </rowBreaks>
  <ignoredErrors>
    <ignoredError sqref="X41:X44" unlockedFormula="1"/>
  </ignoredErrors>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M41"/>
  <sheetViews>
    <sheetView topLeftCell="A13" zoomScale="85" zoomScaleNormal="85" workbookViewId="0">
      <selection activeCell="C24" sqref="C24:D24"/>
    </sheetView>
  </sheetViews>
  <sheetFormatPr defaultRowHeight="12.75"/>
  <cols>
    <col min="1" max="1" width="1.109375" style="16" customWidth="1"/>
    <col min="2" max="2" width="5.44140625" style="16" customWidth="1"/>
    <col min="3" max="3" width="10.109375" style="29" customWidth="1"/>
    <col min="4" max="4" width="55.88671875" style="29" customWidth="1"/>
    <col min="5" max="5" width="9.88671875" style="29" customWidth="1"/>
    <col min="6" max="6" width="8.44140625" style="64" customWidth="1"/>
    <col min="7" max="7" width="9.88671875" style="68" bestFit="1" customWidth="1"/>
    <col min="8" max="8" width="10.6640625" style="16" bestFit="1" customWidth="1"/>
    <col min="9" max="9" width="8.44140625" style="16" customWidth="1"/>
    <col min="10" max="10" width="9.88671875" style="68" bestFit="1" customWidth="1"/>
    <col min="11" max="11" width="9.44140625" style="16" bestFit="1" customWidth="1"/>
    <col min="12" max="12" width="42.109375" style="16" bestFit="1" customWidth="1"/>
    <col min="13" max="256" width="8.88671875" style="16"/>
    <col min="257" max="257" width="1.109375" style="16" customWidth="1"/>
    <col min="258" max="258" width="5.44140625" style="16" customWidth="1"/>
    <col min="259" max="259" width="10.109375" style="16" customWidth="1"/>
    <col min="260" max="260" width="55.88671875" style="16" customWidth="1"/>
    <col min="261" max="261" width="9.88671875" style="16" customWidth="1"/>
    <col min="262" max="267" width="8.44140625" style="16" customWidth="1"/>
    <col min="268" max="268" width="16.44140625" style="16" customWidth="1"/>
    <col min="269" max="512" width="8.88671875" style="16"/>
    <col min="513" max="513" width="1.109375" style="16" customWidth="1"/>
    <col min="514" max="514" width="5.44140625" style="16" customWidth="1"/>
    <col min="515" max="515" width="10.109375" style="16" customWidth="1"/>
    <col min="516" max="516" width="55.88671875" style="16" customWidth="1"/>
    <col min="517" max="517" width="9.88671875" style="16" customWidth="1"/>
    <col min="518" max="523" width="8.44140625" style="16" customWidth="1"/>
    <col min="524" max="524" width="16.44140625" style="16" customWidth="1"/>
    <col min="525" max="768" width="8.88671875" style="16"/>
    <col min="769" max="769" width="1.109375" style="16" customWidth="1"/>
    <col min="770" max="770" width="5.44140625" style="16" customWidth="1"/>
    <col min="771" max="771" width="10.109375" style="16" customWidth="1"/>
    <col min="772" max="772" width="55.88671875" style="16" customWidth="1"/>
    <col min="773" max="773" width="9.88671875" style="16" customWidth="1"/>
    <col min="774" max="779" width="8.44140625" style="16" customWidth="1"/>
    <col min="780" max="780" width="16.44140625" style="16" customWidth="1"/>
    <col min="781" max="1024" width="8.88671875" style="16"/>
    <col min="1025" max="1025" width="1.109375" style="16" customWidth="1"/>
    <col min="1026" max="1026" width="5.44140625" style="16" customWidth="1"/>
    <col min="1027" max="1027" width="10.109375" style="16" customWidth="1"/>
    <col min="1028" max="1028" width="55.88671875" style="16" customWidth="1"/>
    <col min="1029" max="1029" width="9.88671875" style="16" customWidth="1"/>
    <col min="1030" max="1035" width="8.44140625" style="16" customWidth="1"/>
    <col min="1036" max="1036" width="16.44140625" style="16" customWidth="1"/>
    <col min="1037" max="1280" width="8.88671875" style="16"/>
    <col min="1281" max="1281" width="1.109375" style="16" customWidth="1"/>
    <col min="1282" max="1282" width="5.44140625" style="16" customWidth="1"/>
    <col min="1283" max="1283" width="10.109375" style="16" customWidth="1"/>
    <col min="1284" max="1284" width="55.88671875" style="16" customWidth="1"/>
    <col min="1285" max="1285" width="9.88671875" style="16" customWidth="1"/>
    <col min="1286" max="1291" width="8.44140625" style="16" customWidth="1"/>
    <col min="1292" max="1292" width="16.44140625" style="16" customWidth="1"/>
    <col min="1293" max="1536" width="8.88671875" style="16"/>
    <col min="1537" max="1537" width="1.109375" style="16" customWidth="1"/>
    <col min="1538" max="1538" width="5.44140625" style="16" customWidth="1"/>
    <col min="1539" max="1539" width="10.109375" style="16" customWidth="1"/>
    <col min="1540" max="1540" width="55.88671875" style="16" customWidth="1"/>
    <col min="1541" max="1541" width="9.88671875" style="16" customWidth="1"/>
    <col min="1542" max="1547" width="8.44140625" style="16" customWidth="1"/>
    <col min="1548" max="1548" width="16.44140625" style="16" customWidth="1"/>
    <col min="1549" max="1792" width="8.88671875" style="16"/>
    <col min="1793" max="1793" width="1.109375" style="16" customWidth="1"/>
    <col min="1794" max="1794" width="5.44140625" style="16" customWidth="1"/>
    <col min="1795" max="1795" width="10.109375" style="16" customWidth="1"/>
    <col min="1796" max="1796" width="55.88671875" style="16" customWidth="1"/>
    <col min="1797" max="1797" width="9.88671875" style="16" customWidth="1"/>
    <col min="1798" max="1803" width="8.44140625" style="16" customWidth="1"/>
    <col min="1804" max="1804" width="16.44140625" style="16" customWidth="1"/>
    <col min="1805" max="2048" width="8.88671875" style="16"/>
    <col min="2049" max="2049" width="1.109375" style="16" customWidth="1"/>
    <col min="2050" max="2050" width="5.44140625" style="16" customWidth="1"/>
    <col min="2051" max="2051" width="10.109375" style="16" customWidth="1"/>
    <col min="2052" max="2052" width="55.88671875" style="16" customWidth="1"/>
    <col min="2053" max="2053" width="9.88671875" style="16" customWidth="1"/>
    <col min="2054" max="2059" width="8.44140625" style="16" customWidth="1"/>
    <col min="2060" max="2060" width="16.44140625" style="16" customWidth="1"/>
    <col min="2061" max="2304" width="8.88671875" style="16"/>
    <col min="2305" max="2305" width="1.109375" style="16" customWidth="1"/>
    <col min="2306" max="2306" width="5.44140625" style="16" customWidth="1"/>
    <col min="2307" max="2307" width="10.109375" style="16" customWidth="1"/>
    <col min="2308" max="2308" width="55.88671875" style="16" customWidth="1"/>
    <col min="2309" max="2309" width="9.88671875" style="16" customWidth="1"/>
    <col min="2310" max="2315" width="8.44140625" style="16" customWidth="1"/>
    <col min="2316" max="2316" width="16.44140625" style="16" customWidth="1"/>
    <col min="2317" max="2560" width="8.88671875" style="16"/>
    <col min="2561" max="2561" width="1.109375" style="16" customWidth="1"/>
    <col min="2562" max="2562" width="5.44140625" style="16" customWidth="1"/>
    <col min="2563" max="2563" width="10.109375" style="16" customWidth="1"/>
    <col min="2564" max="2564" width="55.88671875" style="16" customWidth="1"/>
    <col min="2565" max="2565" width="9.88671875" style="16" customWidth="1"/>
    <col min="2566" max="2571" width="8.44140625" style="16" customWidth="1"/>
    <col min="2572" max="2572" width="16.44140625" style="16" customWidth="1"/>
    <col min="2573" max="2816" width="8.88671875" style="16"/>
    <col min="2817" max="2817" width="1.109375" style="16" customWidth="1"/>
    <col min="2818" max="2818" width="5.44140625" style="16" customWidth="1"/>
    <col min="2819" max="2819" width="10.109375" style="16" customWidth="1"/>
    <col min="2820" max="2820" width="55.88671875" style="16" customWidth="1"/>
    <col min="2821" max="2821" width="9.88671875" style="16" customWidth="1"/>
    <col min="2822" max="2827" width="8.44140625" style="16" customWidth="1"/>
    <col min="2828" max="2828" width="16.44140625" style="16" customWidth="1"/>
    <col min="2829" max="3072" width="8.88671875" style="16"/>
    <col min="3073" max="3073" width="1.109375" style="16" customWidth="1"/>
    <col min="3074" max="3074" width="5.44140625" style="16" customWidth="1"/>
    <col min="3075" max="3075" width="10.109375" style="16" customWidth="1"/>
    <col min="3076" max="3076" width="55.88671875" style="16" customWidth="1"/>
    <col min="3077" max="3077" width="9.88671875" style="16" customWidth="1"/>
    <col min="3078" max="3083" width="8.44140625" style="16" customWidth="1"/>
    <col min="3084" max="3084" width="16.44140625" style="16" customWidth="1"/>
    <col min="3085" max="3328" width="8.88671875" style="16"/>
    <col min="3329" max="3329" width="1.109375" style="16" customWidth="1"/>
    <col min="3330" max="3330" width="5.44140625" style="16" customWidth="1"/>
    <col min="3331" max="3331" width="10.109375" style="16" customWidth="1"/>
    <col min="3332" max="3332" width="55.88671875" style="16" customWidth="1"/>
    <col min="3333" max="3333" width="9.88671875" style="16" customWidth="1"/>
    <col min="3334" max="3339" width="8.44140625" style="16" customWidth="1"/>
    <col min="3340" max="3340" width="16.44140625" style="16" customWidth="1"/>
    <col min="3341" max="3584" width="8.88671875" style="16"/>
    <col min="3585" max="3585" width="1.109375" style="16" customWidth="1"/>
    <col min="3586" max="3586" width="5.44140625" style="16" customWidth="1"/>
    <col min="3587" max="3587" width="10.109375" style="16" customWidth="1"/>
    <col min="3588" max="3588" width="55.88671875" style="16" customWidth="1"/>
    <col min="3589" max="3589" width="9.88671875" style="16" customWidth="1"/>
    <col min="3590" max="3595" width="8.44140625" style="16" customWidth="1"/>
    <col min="3596" max="3596" width="16.44140625" style="16" customWidth="1"/>
    <col min="3597" max="3840" width="8.88671875" style="16"/>
    <col min="3841" max="3841" width="1.109375" style="16" customWidth="1"/>
    <col min="3842" max="3842" width="5.44140625" style="16" customWidth="1"/>
    <col min="3843" max="3843" width="10.109375" style="16" customWidth="1"/>
    <col min="3844" max="3844" width="55.88671875" style="16" customWidth="1"/>
    <col min="3845" max="3845" width="9.88671875" style="16" customWidth="1"/>
    <col min="3846" max="3851" width="8.44140625" style="16" customWidth="1"/>
    <col min="3852" max="3852" width="16.44140625" style="16" customWidth="1"/>
    <col min="3853" max="4096" width="8.88671875" style="16"/>
    <col min="4097" max="4097" width="1.109375" style="16" customWidth="1"/>
    <col min="4098" max="4098" width="5.44140625" style="16" customWidth="1"/>
    <col min="4099" max="4099" width="10.109375" style="16" customWidth="1"/>
    <col min="4100" max="4100" width="55.88671875" style="16" customWidth="1"/>
    <col min="4101" max="4101" width="9.88671875" style="16" customWidth="1"/>
    <col min="4102" max="4107" width="8.44140625" style="16" customWidth="1"/>
    <col min="4108" max="4108" width="16.44140625" style="16" customWidth="1"/>
    <col min="4109" max="4352" width="8.88671875" style="16"/>
    <col min="4353" max="4353" width="1.109375" style="16" customWidth="1"/>
    <col min="4354" max="4354" width="5.44140625" style="16" customWidth="1"/>
    <col min="4355" max="4355" width="10.109375" style="16" customWidth="1"/>
    <col min="4356" max="4356" width="55.88671875" style="16" customWidth="1"/>
    <col min="4357" max="4357" width="9.88671875" style="16" customWidth="1"/>
    <col min="4358" max="4363" width="8.44140625" style="16" customWidth="1"/>
    <col min="4364" max="4364" width="16.44140625" style="16" customWidth="1"/>
    <col min="4365" max="4608" width="8.88671875" style="16"/>
    <col min="4609" max="4609" width="1.109375" style="16" customWidth="1"/>
    <col min="4610" max="4610" width="5.44140625" style="16" customWidth="1"/>
    <col min="4611" max="4611" width="10.109375" style="16" customWidth="1"/>
    <col min="4612" max="4612" width="55.88671875" style="16" customWidth="1"/>
    <col min="4613" max="4613" width="9.88671875" style="16" customWidth="1"/>
    <col min="4614" max="4619" width="8.44140625" style="16" customWidth="1"/>
    <col min="4620" max="4620" width="16.44140625" style="16" customWidth="1"/>
    <col min="4621" max="4864" width="8.88671875" style="16"/>
    <col min="4865" max="4865" width="1.109375" style="16" customWidth="1"/>
    <col min="4866" max="4866" width="5.44140625" style="16" customWidth="1"/>
    <col min="4867" max="4867" width="10.109375" style="16" customWidth="1"/>
    <col min="4868" max="4868" width="55.88671875" style="16" customWidth="1"/>
    <col min="4869" max="4869" width="9.88671875" style="16" customWidth="1"/>
    <col min="4870" max="4875" width="8.44140625" style="16" customWidth="1"/>
    <col min="4876" max="4876" width="16.44140625" style="16" customWidth="1"/>
    <col min="4877" max="5120" width="8.88671875" style="16"/>
    <col min="5121" max="5121" width="1.109375" style="16" customWidth="1"/>
    <col min="5122" max="5122" width="5.44140625" style="16" customWidth="1"/>
    <col min="5123" max="5123" width="10.109375" style="16" customWidth="1"/>
    <col min="5124" max="5124" width="55.88671875" style="16" customWidth="1"/>
    <col min="5125" max="5125" width="9.88671875" style="16" customWidth="1"/>
    <col min="5126" max="5131" width="8.44140625" style="16" customWidth="1"/>
    <col min="5132" max="5132" width="16.44140625" style="16" customWidth="1"/>
    <col min="5133" max="5376" width="8.88671875" style="16"/>
    <col min="5377" max="5377" width="1.109375" style="16" customWidth="1"/>
    <col min="5378" max="5378" width="5.44140625" style="16" customWidth="1"/>
    <col min="5379" max="5379" width="10.109375" style="16" customWidth="1"/>
    <col min="5380" max="5380" width="55.88671875" style="16" customWidth="1"/>
    <col min="5381" max="5381" width="9.88671875" style="16" customWidth="1"/>
    <col min="5382" max="5387" width="8.44140625" style="16" customWidth="1"/>
    <col min="5388" max="5388" width="16.44140625" style="16" customWidth="1"/>
    <col min="5389" max="5632" width="8.88671875" style="16"/>
    <col min="5633" max="5633" width="1.109375" style="16" customWidth="1"/>
    <col min="5634" max="5634" width="5.44140625" style="16" customWidth="1"/>
    <col min="5635" max="5635" width="10.109375" style="16" customWidth="1"/>
    <col min="5636" max="5636" width="55.88671875" style="16" customWidth="1"/>
    <col min="5637" max="5637" width="9.88671875" style="16" customWidth="1"/>
    <col min="5638" max="5643" width="8.44140625" style="16" customWidth="1"/>
    <col min="5644" max="5644" width="16.44140625" style="16" customWidth="1"/>
    <col min="5645" max="5888" width="8.88671875" style="16"/>
    <col min="5889" max="5889" width="1.109375" style="16" customWidth="1"/>
    <col min="5890" max="5890" width="5.44140625" style="16" customWidth="1"/>
    <col min="5891" max="5891" width="10.109375" style="16" customWidth="1"/>
    <col min="5892" max="5892" width="55.88671875" style="16" customWidth="1"/>
    <col min="5893" max="5893" width="9.88671875" style="16" customWidth="1"/>
    <col min="5894" max="5899" width="8.44140625" style="16" customWidth="1"/>
    <col min="5900" max="5900" width="16.44140625" style="16" customWidth="1"/>
    <col min="5901" max="6144" width="8.88671875" style="16"/>
    <col min="6145" max="6145" width="1.109375" style="16" customWidth="1"/>
    <col min="6146" max="6146" width="5.44140625" style="16" customWidth="1"/>
    <col min="6147" max="6147" width="10.109375" style="16" customWidth="1"/>
    <col min="6148" max="6148" width="55.88671875" style="16" customWidth="1"/>
    <col min="6149" max="6149" width="9.88671875" style="16" customWidth="1"/>
    <col min="6150" max="6155" width="8.44140625" style="16" customWidth="1"/>
    <col min="6156" max="6156" width="16.44140625" style="16" customWidth="1"/>
    <col min="6157" max="6400" width="8.88671875" style="16"/>
    <col min="6401" max="6401" width="1.109375" style="16" customWidth="1"/>
    <col min="6402" max="6402" width="5.44140625" style="16" customWidth="1"/>
    <col min="6403" max="6403" width="10.109375" style="16" customWidth="1"/>
    <col min="6404" max="6404" width="55.88671875" style="16" customWidth="1"/>
    <col min="6405" max="6405" width="9.88671875" style="16" customWidth="1"/>
    <col min="6406" max="6411" width="8.44140625" style="16" customWidth="1"/>
    <col min="6412" max="6412" width="16.44140625" style="16" customWidth="1"/>
    <col min="6413" max="6656" width="8.88671875" style="16"/>
    <col min="6657" max="6657" width="1.109375" style="16" customWidth="1"/>
    <col min="6658" max="6658" width="5.44140625" style="16" customWidth="1"/>
    <col min="6659" max="6659" width="10.109375" style="16" customWidth="1"/>
    <col min="6660" max="6660" width="55.88671875" style="16" customWidth="1"/>
    <col min="6661" max="6661" width="9.88671875" style="16" customWidth="1"/>
    <col min="6662" max="6667" width="8.44140625" style="16" customWidth="1"/>
    <col min="6668" max="6668" width="16.44140625" style="16" customWidth="1"/>
    <col min="6669" max="6912" width="8.88671875" style="16"/>
    <col min="6913" max="6913" width="1.109375" style="16" customWidth="1"/>
    <col min="6914" max="6914" width="5.44140625" style="16" customWidth="1"/>
    <col min="6915" max="6915" width="10.109375" style="16" customWidth="1"/>
    <col min="6916" max="6916" width="55.88671875" style="16" customWidth="1"/>
    <col min="6917" max="6917" width="9.88671875" style="16" customWidth="1"/>
    <col min="6918" max="6923" width="8.44140625" style="16" customWidth="1"/>
    <col min="6924" max="6924" width="16.44140625" style="16" customWidth="1"/>
    <col min="6925" max="7168" width="8.88671875" style="16"/>
    <col min="7169" max="7169" width="1.109375" style="16" customWidth="1"/>
    <col min="7170" max="7170" width="5.44140625" style="16" customWidth="1"/>
    <col min="7171" max="7171" width="10.109375" style="16" customWidth="1"/>
    <col min="7172" max="7172" width="55.88671875" style="16" customWidth="1"/>
    <col min="7173" max="7173" width="9.88671875" style="16" customWidth="1"/>
    <col min="7174" max="7179" width="8.44140625" style="16" customWidth="1"/>
    <col min="7180" max="7180" width="16.44140625" style="16" customWidth="1"/>
    <col min="7181" max="7424" width="8.88671875" style="16"/>
    <col min="7425" max="7425" width="1.109375" style="16" customWidth="1"/>
    <col min="7426" max="7426" width="5.44140625" style="16" customWidth="1"/>
    <col min="7427" max="7427" width="10.109375" style="16" customWidth="1"/>
    <col min="7428" max="7428" width="55.88671875" style="16" customWidth="1"/>
    <col min="7429" max="7429" width="9.88671875" style="16" customWidth="1"/>
    <col min="7430" max="7435" width="8.44140625" style="16" customWidth="1"/>
    <col min="7436" max="7436" width="16.44140625" style="16" customWidth="1"/>
    <col min="7437" max="7680" width="8.88671875" style="16"/>
    <col min="7681" max="7681" width="1.109375" style="16" customWidth="1"/>
    <col min="7682" max="7682" width="5.44140625" style="16" customWidth="1"/>
    <col min="7683" max="7683" width="10.109375" style="16" customWidth="1"/>
    <col min="7684" max="7684" width="55.88671875" style="16" customWidth="1"/>
    <col min="7685" max="7685" width="9.88671875" style="16" customWidth="1"/>
    <col min="7686" max="7691" width="8.44140625" style="16" customWidth="1"/>
    <col min="7692" max="7692" width="16.44140625" style="16" customWidth="1"/>
    <col min="7693" max="7936" width="8.88671875" style="16"/>
    <col min="7937" max="7937" width="1.109375" style="16" customWidth="1"/>
    <col min="7938" max="7938" width="5.44140625" style="16" customWidth="1"/>
    <col min="7939" max="7939" width="10.109375" style="16" customWidth="1"/>
    <col min="7940" max="7940" width="55.88671875" style="16" customWidth="1"/>
    <col min="7941" max="7941" width="9.88671875" style="16" customWidth="1"/>
    <col min="7942" max="7947" width="8.44140625" style="16" customWidth="1"/>
    <col min="7948" max="7948" width="16.44140625" style="16" customWidth="1"/>
    <col min="7949" max="8192" width="8.88671875" style="16"/>
    <col min="8193" max="8193" width="1.109375" style="16" customWidth="1"/>
    <col min="8194" max="8194" width="5.44140625" style="16" customWidth="1"/>
    <col min="8195" max="8195" width="10.109375" style="16" customWidth="1"/>
    <col min="8196" max="8196" width="55.88671875" style="16" customWidth="1"/>
    <col min="8197" max="8197" width="9.88671875" style="16" customWidth="1"/>
    <col min="8198" max="8203" width="8.44140625" style="16" customWidth="1"/>
    <col min="8204" max="8204" width="16.44140625" style="16" customWidth="1"/>
    <col min="8205" max="8448" width="8.88671875" style="16"/>
    <col min="8449" max="8449" width="1.109375" style="16" customWidth="1"/>
    <col min="8450" max="8450" width="5.44140625" style="16" customWidth="1"/>
    <col min="8451" max="8451" width="10.109375" style="16" customWidth="1"/>
    <col min="8452" max="8452" width="55.88671875" style="16" customWidth="1"/>
    <col min="8453" max="8453" width="9.88671875" style="16" customWidth="1"/>
    <col min="8454" max="8459" width="8.44140625" style="16" customWidth="1"/>
    <col min="8460" max="8460" width="16.44140625" style="16" customWidth="1"/>
    <col min="8461" max="8704" width="8.88671875" style="16"/>
    <col min="8705" max="8705" width="1.109375" style="16" customWidth="1"/>
    <col min="8706" max="8706" width="5.44140625" style="16" customWidth="1"/>
    <col min="8707" max="8707" width="10.109375" style="16" customWidth="1"/>
    <col min="8708" max="8708" width="55.88671875" style="16" customWidth="1"/>
    <col min="8709" max="8709" width="9.88671875" style="16" customWidth="1"/>
    <col min="8710" max="8715" width="8.44140625" style="16" customWidth="1"/>
    <col min="8716" max="8716" width="16.44140625" style="16" customWidth="1"/>
    <col min="8717" max="8960" width="8.88671875" style="16"/>
    <col min="8961" max="8961" width="1.109375" style="16" customWidth="1"/>
    <col min="8962" max="8962" width="5.44140625" style="16" customWidth="1"/>
    <col min="8963" max="8963" width="10.109375" style="16" customWidth="1"/>
    <col min="8964" max="8964" width="55.88671875" style="16" customWidth="1"/>
    <col min="8965" max="8965" width="9.88671875" style="16" customWidth="1"/>
    <col min="8966" max="8971" width="8.44140625" style="16" customWidth="1"/>
    <col min="8972" max="8972" width="16.44140625" style="16" customWidth="1"/>
    <col min="8973" max="9216" width="8.88671875" style="16"/>
    <col min="9217" max="9217" width="1.109375" style="16" customWidth="1"/>
    <col min="9218" max="9218" width="5.44140625" style="16" customWidth="1"/>
    <col min="9219" max="9219" width="10.109375" style="16" customWidth="1"/>
    <col min="9220" max="9220" width="55.88671875" style="16" customWidth="1"/>
    <col min="9221" max="9221" width="9.88671875" style="16" customWidth="1"/>
    <col min="9222" max="9227" width="8.44140625" style="16" customWidth="1"/>
    <col min="9228" max="9228" width="16.44140625" style="16" customWidth="1"/>
    <col min="9229" max="9472" width="8.88671875" style="16"/>
    <col min="9473" max="9473" width="1.109375" style="16" customWidth="1"/>
    <col min="9474" max="9474" width="5.44140625" style="16" customWidth="1"/>
    <col min="9475" max="9475" width="10.109375" style="16" customWidth="1"/>
    <col min="9476" max="9476" width="55.88671875" style="16" customWidth="1"/>
    <col min="9477" max="9477" width="9.88671875" style="16" customWidth="1"/>
    <col min="9478" max="9483" width="8.44140625" style="16" customWidth="1"/>
    <col min="9484" max="9484" width="16.44140625" style="16" customWidth="1"/>
    <col min="9485" max="9728" width="8.88671875" style="16"/>
    <col min="9729" max="9729" width="1.109375" style="16" customWidth="1"/>
    <col min="9730" max="9730" width="5.44140625" style="16" customWidth="1"/>
    <col min="9731" max="9731" width="10.109375" style="16" customWidth="1"/>
    <col min="9732" max="9732" width="55.88671875" style="16" customWidth="1"/>
    <col min="9733" max="9733" width="9.88671875" style="16" customWidth="1"/>
    <col min="9734" max="9739" width="8.44140625" style="16" customWidth="1"/>
    <col min="9740" max="9740" width="16.44140625" style="16" customWidth="1"/>
    <col min="9741" max="9984" width="8.88671875" style="16"/>
    <col min="9985" max="9985" width="1.109375" style="16" customWidth="1"/>
    <col min="9986" max="9986" width="5.44140625" style="16" customWidth="1"/>
    <col min="9987" max="9987" width="10.109375" style="16" customWidth="1"/>
    <col min="9988" max="9988" width="55.88671875" style="16" customWidth="1"/>
    <col min="9989" max="9989" width="9.88671875" style="16" customWidth="1"/>
    <col min="9990" max="9995" width="8.44140625" style="16" customWidth="1"/>
    <col min="9996" max="9996" width="16.44140625" style="16" customWidth="1"/>
    <col min="9997" max="10240" width="8.88671875" style="16"/>
    <col min="10241" max="10241" width="1.109375" style="16" customWidth="1"/>
    <col min="10242" max="10242" width="5.44140625" style="16" customWidth="1"/>
    <col min="10243" max="10243" width="10.109375" style="16" customWidth="1"/>
    <col min="10244" max="10244" width="55.88671875" style="16" customWidth="1"/>
    <col min="10245" max="10245" width="9.88671875" style="16" customWidth="1"/>
    <col min="10246" max="10251" width="8.44140625" style="16" customWidth="1"/>
    <col min="10252" max="10252" width="16.44140625" style="16" customWidth="1"/>
    <col min="10253" max="10496" width="8.88671875" style="16"/>
    <col min="10497" max="10497" width="1.109375" style="16" customWidth="1"/>
    <col min="10498" max="10498" width="5.44140625" style="16" customWidth="1"/>
    <col min="10499" max="10499" width="10.109375" style="16" customWidth="1"/>
    <col min="10500" max="10500" width="55.88671875" style="16" customWidth="1"/>
    <col min="10501" max="10501" width="9.88671875" style="16" customWidth="1"/>
    <col min="10502" max="10507" width="8.44140625" style="16" customWidth="1"/>
    <col min="10508" max="10508" width="16.44140625" style="16" customWidth="1"/>
    <col min="10509" max="10752" width="8.88671875" style="16"/>
    <col min="10753" max="10753" width="1.109375" style="16" customWidth="1"/>
    <col min="10754" max="10754" width="5.44140625" style="16" customWidth="1"/>
    <col min="10755" max="10755" width="10.109375" style="16" customWidth="1"/>
    <col min="10756" max="10756" width="55.88671875" style="16" customWidth="1"/>
    <col min="10757" max="10757" width="9.88671875" style="16" customWidth="1"/>
    <col min="10758" max="10763" width="8.44140625" style="16" customWidth="1"/>
    <col min="10764" max="10764" width="16.44140625" style="16" customWidth="1"/>
    <col min="10765" max="11008" width="8.88671875" style="16"/>
    <col min="11009" max="11009" width="1.109375" style="16" customWidth="1"/>
    <col min="11010" max="11010" width="5.44140625" style="16" customWidth="1"/>
    <col min="11011" max="11011" width="10.109375" style="16" customWidth="1"/>
    <col min="11012" max="11012" width="55.88671875" style="16" customWidth="1"/>
    <col min="11013" max="11013" width="9.88671875" style="16" customWidth="1"/>
    <col min="11014" max="11019" width="8.44140625" style="16" customWidth="1"/>
    <col min="11020" max="11020" width="16.44140625" style="16" customWidth="1"/>
    <col min="11021" max="11264" width="8.88671875" style="16"/>
    <col min="11265" max="11265" width="1.109375" style="16" customWidth="1"/>
    <col min="11266" max="11266" width="5.44140625" style="16" customWidth="1"/>
    <col min="11267" max="11267" width="10.109375" style="16" customWidth="1"/>
    <col min="11268" max="11268" width="55.88671875" style="16" customWidth="1"/>
    <col min="11269" max="11269" width="9.88671875" style="16" customWidth="1"/>
    <col min="11270" max="11275" width="8.44140625" style="16" customWidth="1"/>
    <col min="11276" max="11276" width="16.44140625" style="16" customWidth="1"/>
    <col min="11277" max="11520" width="8.88671875" style="16"/>
    <col min="11521" max="11521" width="1.109375" style="16" customWidth="1"/>
    <col min="11522" max="11522" width="5.44140625" style="16" customWidth="1"/>
    <col min="11523" max="11523" width="10.109375" style="16" customWidth="1"/>
    <col min="11524" max="11524" width="55.88671875" style="16" customWidth="1"/>
    <col min="11525" max="11525" width="9.88671875" style="16" customWidth="1"/>
    <col min="11526" max="11531" width="8.44140625" style="16" customWidth="1"/>
    <col min="11532" max="11532" width="16.44140625" style="16" customWidth="1"/>
    <col min="11533" max="11776" width="8.88671875" style="16"/>
    <col min="11777" max="11777" width="1.109375" style="16" customWidth="1"/>
    <col min="11778" max="11778" width="5.44140625" style="16" customWidth="1"/>
    <col min="11779" max="11779" width="10.109375" style="16" customWidth="1"/>
    <col min="11780" max="11780" width="55.88671875" style="16" customWidth="1"/>
    <col min="11781" max="11781" width="9.88671875" style="16" customWidth="1"/>
    <col min="11782" max="11787" width="8.44140625" style="16" customWidth="1"/>
    <col min="11788" max="11788" width="16.44140625" style="16" customWidth="1"/>
    <col min="11789" max="12032" width="8.88671875" style="16"/>
    <col min="12033" max="12033" width="1.109375" style="16" customWidth="1"/>
    <col min="12034" max="12034" width="5.44140625" style="16" customWidth="1"/>
    <col min="12035" max="12035" width="10.109375" style="16" customWidth="1"/>
    <col min="12036" max="12036" width="55.88671875" style="16" customWidth="1"/>
    <col min="12037" max="12037" width="9.88671875" style="16" customWidth="1"/>
    <col min="12038" max="12043" width="8.44140625" style="16" customWidth="1"/>
    <col min="12044" max="12044" width="16.44140625" style="16" customWidth="1"/>
    <col min="12045" max="12288" width="8.88671875" style="16"/>
    <col min="12289" max="12289" width="1.109375" style="16" customWidth="1"/>
    <col min="12290" max="12290" width="5.44140625" style="16" customWidth="1"/>
    <col min="12291" max="12291" width="10.109375" style="16" customWidth="1"/>
    <col min="12292" max="12292" width="55.88671875" style="16" customWidth="1"/>
    <col min="12293" max="12293" width="9.88671875" style="16" customWidth="1"/>
    <col min="12294" max="12299" width="8.44140625" style="16" customWidth="1"/>
    <col min="12300" max="12300" width="16.44140625" style="16" customWidth="1"/>
    <col min="12301" max="12544" width="8.88671875" style="16"/>
    <col min="12545" max="12545" width="1.109375" style="16" customWidth="1"/>
    <col min="12546" max="12546" width="5.44140625" style="16" customWidth="1"/>
    <col min="12547" max="12547" width="10.109375" style="16" customWidth="1"/>
    <col min="12548" max="12548" width="55.88671875" style="16" customWidth="1"/>
    <col min="12549" max="12549" width="9.88671875" style="16" customWidth="1"/>
    <col min="12550" max="12555" width="8.44140625" style="16" customWidth="1"/>
    <col min="12556" max="12556" width="16.44140625" style="16" customWidth="1"/>
    <col min="12557" max="12800" width="8.88671875" style="16"/>
    <col min="12801" max="12801" width="1.109375" style="16" customWidth="1"/>
    <col min="12802" max="12802" width="5.44140625" style="16" customWidth="1"/>
    <col min="12803" max="12803" width="10.109375" style="16" customWidth="1"/>
    <col min="12804" max="12804" width="55.88671875" style="16" customWidth="1"/>
    <col min="12805" max="12805" width="9.88671875" style="16" customWidth="1"/>
    <col min="12806" max="12811" width="8.44140625" style="16" customWidth="1"/>
    <col min="12812" max="12812" width="16.44140625" style="16" customWidth="1"/>
    <col min="12813" max="13056" width="8.88671875" style="16"/>
    <col min="13057" max="13057" width="1.109375" style="16" customWidth="1"/>
    <col min="13058" max="13058" width="5.44140625" style="16" customWidth="1"/>
    <col min="13059" max="13059" width="10.109375" style="16" customWidth="1"/>
    <col min="13060" max="13060" width="55.88671875" style="16" customWidth="1"/>
    <col min="13061" max="13061" width="9.88671875" style="16" customWidth="1"/>
    <col min="13062" max="13067" width="8.44140625" style="16" customWidth="1"/>
    <col min="13068" max="13068" width="16.44140625" style="16" customWidth="1"/>
    <col min="13069" max="13312" width="8.88671875" style="16"/>
    <col min="13313" max="13313" width="1.109375" style="16" customWidth="1"/>
    <col min="13314" max="13314" width="5.44140625" style="16" customWidth="1"/>
    <col min="13315" max="13315" width="10.109375" style="16" customWidth="1"/>
    <col min="13316" max="13316" width="55.88671875" style="16" customWidth="1"/>
    <col min="13317" max="13317" width="9.88671875" style="16" customWidth="1"/>
    <col min="13318" max="13323" width="8.44140625" style="16" customWidth="1"/>
    <col min="13324" max="13324" width="16.44140625" style="16" customWidth="1"/>
    <col min="13325" max="13568" width="8.88671875" style="16"/>
    <col min="13569" max="13569" width="1.109375" style="16" customWidth="1"/>
    <col min="13570" max="13570" width="5.44140625" style="16" customWidth="1"/>
    <col min="13571" max="13571" width="10.109375" style="16" customWidth="1"/>
    <col min="13572" max="13572" width="55.88671875" style="16" customWidth="1"/>
    <col min="13573" max="13573" width="9.88671875" style="16" customWidth="1"/>
    <col min="13574" max="13579" width="8.44140625" style="16" customWidth="1"/>
    <col min="13580" max="13580" width="16.44140625" style="16" customWidth="1"/>
    <col min="13581" max="13824" width="8.88671875" style="16"/>
    <col min="13825" max="13825" width="1.109375" style="16" customWidth="1"/>
    <col min="13826" max="13826" width="5.44140625" style="16" customWidth="1"/>
    <col min="13827" max="13827" width="10.109375" style="16" customWidth="1"/>
    <col min="13828" max="13828" width="55.88671875" style="16" customWidth="1"/>
    <col min="13829" max="13829" width="9.88671875" style="16" customWidth="1"/>
    <col min="13830" max="13835" width="8.44140625" style="16" customWidth="1"/>
    <col min="13836" max="13836" width="16.44140625" style="16" customWidth="1"/>
    <col min="13837" max="14080" width="8.88671875" style="16"/>
    <col min="14081" max="14081" width="1.109375" style="16" customWidth="1"/>
    <col min="14082" max="14082" width="5.44140625" style="16" customWidth="1"/>
    <col min="14083" max="14083" width="10.109375" style="16" customWidth="1"/>
    <col min="14084" max="14084" width="55.88671875" style="16" customWidth="1"/>
    <col min="14085" max="14085" width="9.88671875" style="16" customWidth="1"/>
    <col min="14086" max="14091" width="8.44140625" style="16" customWidth="1"/>
    <col min="14092" max="14092" width="16.44140625" style="16" customWidth="1"/>
    <col min="14093" max="14336" width="8.88671875" style="16"/>
    <col min="14337" max="14337" width="1.109375" style="16" customWidth="1"/>
    <col min="14338" max="14338" width="5.44140625" style="16" customWidth="1"/>
    <col min="14339" max="14339" width="10.109375" style="16" customWidth="1"/>
    <col min="14340" max="14340" width="55.88671875" style="16" customWidth="1"/>
    <col min="14341" max="14341" width="9.88671875" style="16" customWidth="1"/>
    <col min="14342" max="14347" width="8.44140625" style="16" customWidth="1"/>
    <col min="14348" max="14348" width="16.44140625" style="16" customWidth="1"/>
    <col min="14349" max="14592" width="8.88671875" style="16"/>
    <col min="14593" max="14593" width="1.109375" style="16" customWidth="1"/>
    <col min="14594" max="14594" width="5.44140625" style="16" customWidth="1"/>
    <col min="14595" max="14595" width="10.109375" style="16" customWidth="1"/>
    <col min="14596" max="14596" width="55.88671875" style="16" customWidth="1"/>
    <col min="14597" max="14597" width="9.88671875" style="16" customWidth="1"/>
    <col min="14598" max="14603" width="8.44140625" style="16" customWidth="1"/>
    <col min="14604" max="14604" width="16.44140625" style="16" customWidth="1"/>
    <col min="14605" max="14848" width="8.88671875" style="16"/>
    <col min="14849" max="14849" width="1.109375" style="16" customWidth="1"/>
    <col min="14850" max="14850" width="5.44140625" style="16" customWidth="1"/>
    <col min="14851" max="14851" width="10.109375" style="16" customWidth="1"/>
    <col min="14852" max="14852" width="55.88671875" style="16" customWidth="1"/>
    <col min="14853" max="14853" width="9.88671875" style="16" customWidth="1"/>
    <col min="14854" max="14859" width="8.44140625" style="16" customWidth="1"/>
    <col min="14860" max="14860" width="16.44140625" style="16" customWidth="1"/>
    <col min="14861" max="15104" width="8.88671875" style="16"/>
    <col min="15105" max="15105" width="1.109375" style="16" customWidth="1"/>
    <col min="15106" max="15106" width="5.44140625" style="16" customWidth="1"/>
    <col min="15107" max="15107" width="10.109375" style="16" customWidth="1"/>
    <col min="15108" max="15108" width="55.88671875" style="16" customWidth="1"/>
    <col min="15109" max="15109" width="9.88671875" style="16" customWidth="1"/>
    <col min="15110" max="15115" width="8.44140625" style="16" customWidth="1"/>
    <col min="15116" max="15116" width="16.44140625" style="16" customWidth="1"/>
    <col min="15117" max="15360" width="8.88671875" style="16"/>
    <col min="15361" max="15361" width="1.109375" style="16" customWidth="1"/>
    <col min="15362" max="15362" width="5.44140625" style="16" customWidth="1"/>
    <col min="15363" max="15363" width="10.109375" style="16" customWidth="1"/>
    <col min="15364" max="15364" width="55.88671875" style="16" customWidth="1"/>
    <col min="15365" max="15365" width="9.88671875" style="16" customWidth="1"/>
    <col min="15366" max="15371" width="8.44140625" style="16" customWidth="1"/>
    <col min="15372" max="15372" width="16.44140625" style="16" customWidth="1"/>
    <col min="15373" max="15616" width="8.88671875" style="16"/>
    <col min="15617" max="15617" width="1.109375" style="16" customWidth="1"/>
    <col min="15618" max="15618" width="5.44140625" style="16" customWidth="1"/>
    <col min="15619" max="15619" width="10.109375" style="16" customWidth="1"/>
    <col min="15620" max="15620" width="55.88671875" style="16" customWidth="1"/>
    <col min="15621" max="15621" width="9.88671875" style="16" customWidth="1"/>
    <col min="15622" max="15627" width="8.44140625" style="16" customWidth="1"/>
    <col min="15628" max="15628" width="16.44140625" style="16" customWidth="1"/>
    <col min="15629" max="15872" width="8.88671875" style="16"/>
    <col min="15873" max="15873" width="1.109375" style="16" customWidth="1"/>
    <col min="15874" max="15874" width="5.44140625" style="16" customWidth="1"/>
    <col min="15875" max="15875" width="10.109375" style="16" customWidth="1"/>
    <col min="15876" max="15876" width="55.88671875" style="16" customWidth="1"/>
    <col min="15877" max="15877" width="9.88671875" style="16" customWidth="1"/>
    <col min="15878" max="15883" width="8.44140625" style="16" customWidth="1"/>
    <col min="15884" max="15884" width="16.44140625" style="16" customWidth="1"/>
    <col min="15885" max="16128" width="8.88671875" style="16"/>
    <col min="16129" max="16129" width="1.109375" style="16" customWidth="1"/>
    <col min="16130" max="16130" width="5.44140625" style="16" customWidth="1"/>
    <col min="16131" max="16131" width="10.109375" style="16" customWidth="1"/>
    <col min="16132" max="16132" width="55.88671875" style="16" customWidth="1"/>
    <col min="16133" max="16133" width="9.88671875" style="16" customWidth="1"/>
    <col min="16134" max="16139" width="8.44140625" style="16" customWidth="1"/>
    <col min="16140" max="16140" width="16.44140625" style="16" customWidth="1"/>
    <col min="16141" max="16384" width="8.88671875" style="16"/>
  </cols>
  <sheetData>
    <row r="2" spans="2:13">
      <c r="B2" s="81" t="s">
        <v>360</v>
      </c>
      <c r="E2" s="29" t="s">
        <v>388</v>
      </c>
    </row>
    <row r="3" spans="2:13">
      <c r="B3" s="81"/>
    </row>
    <row r="4" spans="2:13">
      <c r="B4" s="69" t="s">
        <v>361</v>
      </c>
    </row>
    <row r="5" spans="2:13" ht="13.5" thickBot="1"/>
    <row r="6" spans="2:13" s="69" customFormat="1" ht="13.9" customHeight="1">
      <c r="B6" s="325" t="s">
        <v>362</v>
      </c>
      <c r="C6" s="326"/>
      <c r="D6" s="329" t="s">
        <v>462</v>
      </c>
      <c r="E6" s="331" t="s">
        <v>330</v>
      </c>
      <c r="F6" s="332"/>
      <c r="G6" s="335" t="s">
        <v>472</v>
      </c>
      <c r="H6" s="336"/>
      <c r="I6" s="336"/>
      <c r="J6" s="336"/>
      <c r="K6" s="337"/>
      <c r="L6" s="70"/>
    </row>
    <row r="7" spans="2:13" s="69" customFormat="1" ht="14.25" customHeight="1" thickBot="1">
      <c r="B7" s="327"/>
      <c r="C7" s="328"/>
      <c r="D7" s="330"/>
      <c r="E7" s="333"/>
      <c r="F7" s="334"/>
      <c r="G7" s="338"/>
      <c r="H7" s="339"/>
      <c r="I7" s="339"/>
      <c r="J7" s="339"/>
      <c r="K7" s="340"/>
      <c r="L7" s="70"/>
    </row>
    <row r="8" spans="2:13" s="69" customFormat="1" ht="14.25" customHeight="1" thickBot="1">
      <c r="B8" s="341" t="s">
        <v>341</v>
      </c>
      <c r="C8" s="342"/>
      <c r="D8" s="82" t="s">
        <v>455</v>
      </c>
      <c r="E8" s="331" t="s">
        <v>363</v>
      </c>
      <c r="F8" s="332"/>
      <c r="G8" s="343" t="s">
        <v>470</v>
      </c>
      <c r="H8" s="344"/>
      <c r="I8" s="344"/>
      <c r="J8" s="344"/>
      <c r="K8" s="345"/>
      <c r="L8" s="70"/>
    </row>
    <row r="9" spans="2:13" s="69" customFormat="1" ht="14.25" customHeight="1" thickBot="1">
      <c r="B9" s="341" t="s">
        <v>364</v>
      </c>
      <c r="C9" s="342"/>
      <c r="D9" s="135">
        <v>1.3</v>
      </c>
      <c r="E9" s="333"/>
      <c r="F9" s="334"/>
      <c r="G9" s="346"/>
      <c r="H9" s="347"/>
      <c r="I9" s="347"/>
      <c r="J9" s="347"/>
      <c r="K9" s="348"/>
      <c r="L9" s="70"/>
    </row>
    <row r="10" spans="2:13" s="69" customFormat="1" ht="13.5" thickBot="1">
      <c r="B10" s="71"/>
      <c r="C10" s="65"/>
      <c r="D10" s="66"/>
      <c r="E10" s="71"/>
      <c r="F10" s="70"/>
      <c r="G10" s="72"/>
      <c r="H10" s="73"/>
      <c r="I10" s="74"/>
      <c r="J10" s="75"/>
      <c r="K10" s="74"/>
      <c r="L10" s="74"/>
      <c r="M10" s="70"/>
    </row>
    <row r="11" spans="2:13" ht="26.25" thickBot="1">
      <c r="B11" s="83" t="s">
        <v>331</v>
      </c>
      <c r="C11" s="349" t="s">
        <v>332</v>
      </c>
      <c r="D11" s="350"/>
      <c r="E11" s="84" t="s">
        <v>333</v>
      </c>
      <c r="F11" s="85" t="s">
        <v>334</v>
      </c>
      <c r="G11" s="86" t="s">
        <v>365</v>
      </c>
      <c r="H11" s="87" t="s">
        <v>335</v>
      </c>
      <c r="I11" s="88" t="s">
        <v>336</v>
      </c>
      <c r="J11" s="89" t="s">
        <v>365</v>
      </c>
      <c r="K11" s="90" t="s">
        <v>335</v>
      </c>
      <c r="L11" s="84" t="s">
        <v>342</v>
      </c>
    </row>
    <row r="12" spans="2:13" ht="13.5" thickBot="1">
      <c r="B12" s="351" t="s">
        <v>346</v>
      </c>
      <c r="C12" s="352"/>
      <c r="D12" s="352"/>
      <c r="E12" s="352"/>
      <c r="F12" s="352"/>
      <c r="G12" s="352"/>
      <c r="H12" s="352"/>
      <c r="I12" s="352"/>
      <c r="J12" s="352"/>
      <c r="K12" s="352"/>
      <c r="L12" s="353"/>
    </row>
    <row r="13" spans="2:13" ht="12" customHeight="1">
      <c r="B13" s="354" t="s">
        <v>343</v>
      </c>
      <c r="C13" s="355"/>
      <c r="D13" s="355"/>
      <c r="E13" s="355"/>
      <c r="F13" s="355"/>
      <c r="G13" s="355"/>
      <c r="H13" s="355"/>
      <c r="I13" s="355"/>
      <c r="J13" s="355"/>
      <c r="K13" s="355"/>
      <c r="L13" s="356"/>
    </row>
    <row r="14" spans="2:13" ht="12" customHeight="1">
      <c r="B14" s="76">
        <v>1</v>
      </c>
      <c r="C14" s="357" t="s">
        <v>347</v>
      </c>
      <c r="D14" s="358"/>
      <c r="E14" s="77" t="s">
        <v>348</v>
      </c>
      <c r="F14" s="78" t="s">
        <v>339</v>
      </c>
      <c r="G14" s="91" t="s">
        <v>472</v>
      </c>
      <c r="H14" s="79" t="s">
        <v>461</v>
      </c>
      <c r="I14" s="78" t="s">
        <v>339</v>
      </c>
      <c r="J14" s="91" t="s">
        <v>472</v>
      </c>
      <c r="K14" s="79" t="s">
        <v>470</v>
      </c>
      <c r="L14" s="80"/>
    </row>
    <row r="15" spans="2:13" ht="25.5" customHeight="1">
      <c r="B15" s="76">
        <v>2</v>
      </c>
      <c r="C15" s="357" t="s">
        <v>349</v>
      </c>
      <c r="D15" s="358"/>
      <c r="E15" s="77" t="s">
        <v>337</v>
      </c>
      <c r="F15" s="78" t="s">
        <v>339</v>
      </c>
      <c r="G15" s="91" t="s">
        <v>472</v>
      </c>
      <c r="H15" s="79" t="s">
        <v>461</v>
      </c>
      <c r="I15" s="78" t="s">
        <v>339</v>
      </c>
      <c r="J15" s="91" t="s">
        <v>472</v>
      </c>
      <c r="K15" s="79" t="s">
        <v>470</v>
      </c>
      <c r="L15" s="80"/>
    </row>
    <row r="16" spans="2:13" ht="12.75" customHeight="1">
      <c r="B16" s="76">
        <v>3</v>
      </c>
      <c r="C16" s="323" t="s">
        <v>350</v>
      </c>
      <c r="D16" s="324"/>
      <c r="E16" s="77" t="s">
        <v>337</v>
      </c>
      <c r="F16" s="78" t="s">
        <v>339</v>
      </c>
      <c r="G16" s="91" t="s">
        <v>472</v>
      </c>
      <c r="H16" s="79" t="s">
        <v>461</v>
      </c>
      <c r="I16" s="78" t="s">
        <v>339</v>
      </c>
      <c r="J16" s="91" t="s">
        <v>472</v>
      </c>
      <c r="K16" s="79" t="s">
        <v>470</v>
      </c>
      <c r="L16" s="80"/>
    </row>
    <row r="17" spans="2:12" ht="12.75" customHeight="1">
      <c r="B17" s="76">
        <v>4</v>
      </c>
      <c r="C17" s="152" t="s">
        <v>351</v>
      </c>
      <c r="D17" s="362"/>
      <c r="E17" s="77" t="s">
        <v>337</v>
      </c>
      <c r="F17" s="78" t="s">
        <v>339</v>
      </c>
      <c r="G17" s="91" t="s">
        <v>472</v>
      </c>
      <c r="H17" s="79" t="s">
        <v>461</v>
      </c>
      <c r="I17" s="78" t="s">
        <v>339</v>
      </c>
      <c r="J17" s="91" t="s">
        <v>472</v>
      </c>
      <c r="K17" s="79" t="s">
        <v>470</v>
      </c>
      <c r="L17" s="80"/>
    </row>
    <row r="18" spans="2:12" ht="12.75" customHeight="1">
      <c r="B18" s="76">
        <v>5</v>
      </c>
      <c r="C18" s="152" t="s">
        <v>352</v>
      </c>
      <c r="D18" s="362"/>
      <c r="E18" s="77" t="s">
        <v>337</v>
      </c>
      <c r="F18" s="78" t="s">
        <v>339</v>
      </c>
      <c r="G18" s="91" t="s">
        <v>472</v>
      </c>
      <c r="H18" s="79" t="s">
        <v>461</v>
      </c>
      <c r="I18" s="78" t="s">
        <v>339</v>
      </c>
      <c r="J18" s="91" t="s">
        <v>472</v>
      </c>
      <c r="K18" s="79" t="s">
        <v>470</v>
      </c>
      <c r="L18" s="80" t="s">
        <v>396</v>
      </c>
    </row>
    <row r="19" spans="2:12" ht="12.75" customHeight="1">
      <c r="B19" s="76">
        <v>6</v>
      </c>
      <c r="C19" s="323" t="s">
        <v>353</v>
      </c>
      <c r="D19" s="324"/>
      <c r="E19" s="77" t="s">
        <v>337</v>
      </c>
      <c r="F19" s="78" t="s">
        <v>339</v>
      </c>
      <c r="G19" s="91" t="s">
        <v>472</v>
      </c>
      <c r="H19" s="79" t="s">
        <v>461</v>
      </c>
      <c r="I19" s="78" t="s">
        <v>339</v>
      </c>
      <c r="J19" s="91" t="s">
        <v>472</v>
      </c>
      <c r="K19" s="79" t="s">
        <v>470</v>
      </c>
      <c r="L19" s="80"/>
    </row>
    <row r="20" spans="2:12" ht="27" customHeight="1">
      <c r="B20" s="109">
        <v>7</v>
      </c>
      <c r="C20" s="363" t="s">
        <v>377</v>
      </c>
      <c r="D20" s="364"/>
      <c r="E20" s="77" t="s">
        <v>337</v>
      </c>
      <c r="F20" s="78" t="s">
        <v>329</v>
      </c>
      <c r="G20" s="91" t="s">
        <v>472</v>
      </c>
      <c r="H20" s="79" t="s">
        <v>461</v>
      </c>
      <c r="I20" s="78" t="s">
        <v>329</v>
      </c>
      <c r="J20" s="91" t="s">
        <v>472</v>
      </c>
      <c r="K20" s="79" t="s">
        <v>470</v>
      </c>
      <c r="L20" s="80" t="s">
        <v>460</v>
      </c>
    </row>
    <row r="21" spans="2:12" ht="27" customHeight="1">
      <c r="B21" s="110">
        <v>8</v>
      </c>
      <c r="C21" s="369" t="s">
        <v>387</v>
      </c>
      <c r="D21" s="370"/>
      <c r="E21" s="77" t="s">
        <v>337</v>
      </c>
      <c r="F21" s="78" t="s">
        <v>329</v>
      </c>
      <c r="G21" s="91" t="s">
        <v>472</v>
      </c>
      <c r="H21" s="79" t="s">
        <v>461</v>
      </c>
      <c r="I21" s="78" t="s">
        <v>329</v>
      </c>
      <c r="J21" s="91" t="s">
        <v>472</v>
      </c>
      <c r="K21" s="79" t="s">
        <v>470</v>
      </c>
      <c r="L21" s="80" t="s">
        <v>459</v>
      </c>
    </row>
    <row r="22" spans="2:12" ht="27" customHeight="1">
      <c r="B22" s="92" t="s">
        <v>366</v>
      </c>
      <c r="C22" s="93"/>
      <c r="D22" s="93"/>
      <c r="E22" s="94"/>
      <c r="F22" s="94"/>
      <c r="G22" s="94"/>
      <c r="H22" s="94"/>
      <c r="I22" s="94"/>
      <c r="J22" s="94"/>
      <c r="K22" s="94"/>
      <c r="L22" s="95"/>
    </row>
    <row r="23" spans="2:12" ht="59.25" customHeight="1">
      <c r="B23" s="111">
        <v>1</v>
      </c>
      <c r="C23" s="323" t="s">
        <v>382</v>
      </c>
      <c r="D23" s="324"/>
      <c r="E23" s="77" t="s">
        <v>337</v>
      </c>
      <c r="F23" s="78" t="s">
        <v>339</v>
      </c>
      <c r="G23" s="91" t="s">
        <v>472</v>
      </c>
      <c r="H23" s="79" t="s">
        <v>461</v>
      </c>
      <c r="I23" s="78" t="s">
        <v>339</v>
      </c>
      <c r="J23" s="91" t="s">
        <v>472</v>
      </c>
      <c r="K23" s="79" t="s">
        <v>470</v>
      </c>
      <c r="L23" s="80"/>
    </row>
    <row r="24" spans="2:12" ht="59.25" customHeight="1">
      <c r="B24" s="76">
        <v>2</v>
      </c>
      <c r="C24" s="152" t="s">
        <v>367</v>
      </c>
      <c r="D24" s="362"/>
      <c r="E24" s="77" t="s">
        <v>337</v>
      </c>
      <c r="F24" s="78" t="s">
        <v>339</v>
      </c>
      <c r="G24" s="91" t="s">
        <v>472</v>
      </c>
      <c r="H24" s="79" t="s">
        <v>461</v>
      </c>
      <c r="I24" s="78" t="s">
        <v>339</v>
      </c>
      <c r="J24" s="91" t="s">
        <v>472</v>
      </c>
      <c r="K24" s="79" t="s">
        <v>470</v>
      </c>
      <c r="L24" s="80"/>
    </row>
    <row r="25" spans="2:12" ht="12.75" customHeight="1">
      <c r="B25" s="76">
        <v>3</v>
      </c>
      <c r="C25" s="152" t="s">
        <v>368</v>
      </c>
      <c r="D25" s="362"/>
      <c r="E25" s="77" t="s">
        <v>337</v>
      </c>
      <c r="F25" s="78" t="s">
        <v>339</v>
      </c>
      <c r="G25" s="91" t="s">
        <v>472</v>
      </c>
      <c r="H25" s="79" t="s">
        <v>461</v>
      </c>
      <c r="I25" s="78" t="s">
        <v>339</v>
      </c>
      <c r="J25" s="91" t="s">
        <v>472</v>
      </c>
      <c r="K25" s="79" t="s">
        <v>470</v>
      </c>
      <c r="L25" s="80"/>
    </row>
    <row r="26" spans="2:12" ht="12.75" customHeight="1">
      <c r="B26" s="76">
        <v>4</v>
      </c>
      <c r="C26" s="365" t="s">
        <v>369</v>
      </c>
      <c r="D26" s="366"/>
      <c r="E26" s="77" t="s">
        <v>337</v>
      </c>
      <c r="F26" s="78" t="s">
        <v>339</v>
      </c>
      <c r="G26" s="91" t="s">
        <v>472</v>
      </c>
      <c r="H26" s="79" t="s">
        <v>461</v>
      </c>
      <c r="I26" s="78" t="s">
        <v>339</v>
      </c>
      <c r="J26" s="91" t="s">
        <v>472</v>
      </c>
      <c r="K26" s="79" t="s">
        <v>470</v>
      </c>
      <c r="L26" s="80"/>
    </row>
    <row r="27" spans="2:12" ht="12.75" customHeight="1">
      <c r="B27" s="76">
        <v>5</v>
      </c>
      <c r="C27" s="365" t="s">
        <v>370</v>
      </c>
      <c r="D27" s="366"/>
      <c r="E27" s="77" t="s">
        <v>337</v>
      </c>
      <c r="F27" s="78" t="s">
        <v>339</v>
      </c>
      <c r="G27" s="91" t="s">
        <v>472</v>
      </c>
      <c r="H27" s="79" t="s">
        <v>461</v>
      </c>
      <c r="I27" s="78" t="s">
        <v>339</v>
      </c>
      <c r="J27" s="91" t="s">
        <v>472</v>
      </c>
      <c r="K27" s="79" t="s">
        <v>470</v>
      </c>
      <c r="L27" s="80"/>
    </row>
    <row r="28" spans="2:12" ht="12.75" customHeight="1">
      <c r="B28" s="78">
        <v>6</v>
      </c>
      <c r="C28" s="152" t="s">
        <v>371</v>
      </c>
      <c r="D28" s="362"/>
      <c r="E28" s="77" t="s">
        <v>337</v>
      </c>
      <c r="F28" s="78" t="s">
        <v>339</v>
      </c>
      <c r="G28" s="91" t="s">
        <v>472</v>
      </c>
      <c r="H28" s="79" t="s">
        <v>461</v>
      </c>
      <c r="I28" s="78" t="s">
        <v>339</v>
      </c>
      <c r="J28" s="91" t="s">
        <v>472</v>
      </c>
      <c r="K28" s="79" t="s">
        <v>470</v>
      </c>
      <c r="L28" s="80"/>
    </row>
    <row r="29" spans="2:12" ht="12.75" customHeight="1">
      <c r="B29" s="136">
        <v>7</v>
      </c>
      <c r="C29" s="367" t="s">
        <v>372</v>
      </c>
      <c r="D29" s="368"/>
      <c r="E29" s="137" t="s">
        <v>337</v>
      </c>
      <c r="F29" s="136" t="s">
        <v>339</v>
      </c>
      <c r="G29" s="138" t="s">
        <v>472</v>
      </c>
      <c r="H29" s="139" t="s">
        <v>461</v>
      </c>
      <c r="I29" s="136" t="s">
        <v>339</v>
      </c>
      <c r="J29" s="138" t="s">
        <v>472</v>
      </c>
      <c r="K29" s="139" t="s">
        <v>470</v>
      </c>
      <c r="L29" s="140"/>
    </row>
    <row r="30" spans="2:12" ht="13.5" thickBot="1">
      <c r="B30" s="141">
        <v>8</v>
      </c>
      <c r="C30" s="371" t="s">
        <v>383</v>
      </c>
      <c r="D30" s="372"/>
      <c r="E30" s="113" t="s">
        <v>337</v>
      </c>
      <c r="F30" s="112" t="s">
        <v>339</v>
      </c>
      <c r="G30" s="120" t="s">
        <v>472</v>
      </c>
      <c r="H30" s="121" t="s">
        <v>461</v>
      </c>
      <c r="I30" s="112" t="s">
        <v>339</v>
      </c>
      <c r="J30" s="120" t="s">
        <v>472</v>
      </c>
      <c r="K30" s="121" t="s">
        <v>470</v>
      </c>
      <c r="L30" s="114"/>
    </row>
    <row r="31" spans="2:12" ht="13.5" thickBot="1"/>
    <row r="32" spans="2:12" ht="13.5" customHeight="1" thickBot="1">
      <c r="B32" s="359" t="s">
        <v>373</v>
      </c>
      <c r="C32" s="360"/>
      <c r="D32" s="360"/>
      <c r="E32" s="360"/>
      <c r="F32" s="360"/>
      <c r="G32" s="360"/>
      <c r="H32" s="360"/>
      <c r="I32" s="360"/>
      <c r="J32" s="360"/>
      <c r="K32" s="361"/>
    </row>
    <row r="33" spans="2:12" ht="25.5">
      <c r="B33" s="96" t="s">
        <v>378</v>
      </c>
      <c r="C33" s="383" t="s">
        <v>332</v>
      </c>
      <c r="D33" s="384"/>
      <c r="E33" s="97" t="s">
        <v>379</v>
      </c>
      <c r="F33" s="385" t="s">
        <v>380</v>
      </c>
      <c r="G33" s="386"/>
      <c r="H33" s="386"/>
      <c r="I33" s="386"/>
      <c r="J33" s="386"/>
      <c r="K33" s="387"/>
    </row>
    <row r="34" spans="2:12" ht="14.25" customHeight="1">
      <c r="B34" s="98">
        <v>1</v>
      </c>
      <c r="C34" s="373" t="s">
        <v>354</v>
      </c>
      <c r="D34" s="374"/>
      <c r="E34" s="99" t="s">
        <v>355</v>
      </c>
      <c r="F34" s="375"/>
      <c r="G34" s="376"/>
      <c r="H34" s="376"/>
      <c r="I34" s="376"/>
      <c r="J34" s="376"/>
      <c r="K34" s="377"/>
    </row>
    <row r="35" spans="2:12">
      <c r="B35" s="100">
        <v>2</v>
      </c>
      <c r="C35" s="373" t="s">
        <v>356</v>
      </c>
      <c r="D35" s="374"/>
      <c r="E35" s="101" t="s">
        <v>355</v>
      </c>
      <c r="F35" s="375"/>
      <c r="G35" s="376"/>
      <c r="H35" s="376"/>
      <c r="I35" s="376"/>
      <c r="J35" s="376"/>
      <c r="K35" s="377"/>
    </row>
    <row r="36" spans="2:12" ht="12.75" customHeight="1">
      <c r="B36" s="100">
        <v>2</v>
      </c>
      <c r="C36" s="373" t="s">
        <v>357</v>
      </c>
      <c r="D36" s="374"/>
      <c r="E36" s="101" t="s">
        <v>355</v>
      </c>
      <c r="F36" s="375"/>
      <c r="G36" s="376"/>
      <c r="H36" s="376"/>
      <c r="I36" s="376"/>
      <c r="J36" s="376"/>
      <c r="K36" s="377"/>
    </row>
    <row r="37" spans="2:12" ht="12.75" customHeight="1" thickBot="1">
      <c r="B37" s="102">
        <v>3</v>
      </c>
      <c r="C37" s="378" t="s">
        <v>358</v>
      </c>
      <c r="D37" s="379"/>
      <c r="E37" s="103" t="s">
        <v>355</v>
      </c>
      <c r="F37" s="380"/>
      <c r="G37" s="381"/>
      <c r="H37" s="381"/>
      <c r="I37" s="381"/>
      <c r="J37" s="381"/>
      <c r="K37" s="382"/>
    </row>
    <row r="38" spans="2:12">
      <c r="B38" s="104"/>
      <c r="C38" s="105"/>
      <c r="D38" s="105"/>
      <c r="E38" s="105"/>
      <c r="F38" s="106"/>
      <c r="G38" s="107"/>
      <c r="H38" s="104"/>
      <c r="I38" s="104"/>
      <c r="J38" s="107"/>
      <c r="K38" s="104"/>
      <c r="L38" s="104"/>
    </row>
    <row r="39" spans="2:12" ht="13.5" customHeight="1">
      <c r="B39" s="69" t="s">
        <v>344</v>
      </c>
      <c r="C39" s="67"/>
      <c r="D39" s="105"/>
      <c r="E39" s="105"/>
      <c r="F39" s="106"/>
      <c r="G39" s="107"/>
      <c r="H39" s="104"/>
      <c r="I39" s="104"/>
      <c r="J39" s="107"/>
      <c r="K39" s="104"/>
      <c r="L39" s="108"/>
    </row>
    <row r="40" spans="2:12">
      <c r="B40" s="69" t="s">
        <v>338</v>
      </c>
      <c r="C40" s="67"/>
      <c r="D40" s="105"/>
      <c r="E40" s="105"/>
      <c r="F40" s="106"/>
      <c r="G40" s="107"/>
      <c r="H40" s="104"/>
      <c r="I40" s="104"/>
      <c r="J40" s="107"/>
      <c r="K40" s="104"/>
      <c r="L40" s="104"/>
    </row>
    <row r="41" spans="2:12">
      <c r="B41" s="69" t="s">
        <v>381</v>
      </c>
      <c r="C41" s="67"/>
      <c r="D41" s="105"/>
      <c r="E41" s="105"/>
      <c r="F41" s="106"/>
      <c r="G41" s="107"/>
      <c r="H41" s="104"/>
      <c r="I41" s="104"/>
      <c r="J41" s="107"/>
      <c r="K41" s="104"/>
      <c r="L41" s="104"/>
    </row>
  </sheetData>
  <dataConsolidate/>
  <mergeCells count="38">
    <mergeCell ref="C36:D36"/>
    <mergeCell ref="F36:K36"/>
    <mergeCell ref="C37:D37"/>
    <mergeCell ref="F37:K37"/>
    <mergeCell ref="C33:D33"/>
    <mergeCell ref="F33:K33"/>
    <mergeCell ref="C34:D34"/>
    <mergeCell ref="F34:K34"/>
    <mergeCell ref="C35:D35"/>
    <mergeCell ref="F35:K35"/>
    <mergeCell ref="B32:K32"/>
    <mergeCell ref="C17:D17"/>
    <mergeCell ref="C18:D18"/>
    <mergeCell ref="C19:D19"/>
    <mergeCell ref="C20:D20"/>
    <mergeCell ref="C23:D23"/>
    <mergeCell ref="C24:D24"/>
    <mergeCell ref="C25:D25"/>
    <mergeCell ref="C26:D26"/>
    <mergeCell ref="C27:D27"/>
    <mergeCell ref="C28:D28"/>
    <mergeCell ref="C29:D29"/>
    <mergeCell ref="C21:D21"/>
    <mergeCell ref="C30:D30"/>
    <mergeCell ref="C16:D16"/>
    <mergeCell ref="B6:C7"/>
    <mergeCell ref="D6:D7"/>
    <mergeCell ref="E6:F7"/>
    <mergeCell ref="G6:K7"/>
    <mergeCell ref="B8:C8"/>
    <mergeCell ref="E8:F9"/>
    <mergeCell ref="G8:K9"/>
    <mergeCell ref="B9:C9"/>
    <mergeCell ref="C11:D11"/>
    <mergeCell ref="B12:L12"/>
    <mergeCell ref="B13:L13"/>
    <mergeCell ref="C14:D14"/>
    <mergeCell ref="C15:D15"/>
  </mergeCells>
  <conditionalFormatting sqref="F24:F29 E34:E37 F14:F20 H23:H30 H14:H21">
    <cfRule type="containsBlanks" dxfId="38" priority="18" stopIfTrue="1">
      <formula>LEN(TRIM(E14))=0</formula>
    </cfRule>
  </conditionalFormatting>
  <conditionalFormatting sqref="F21">
    <cfRule type="containsBlanks" dxfId="37" priority="14" stopIfTrue="1">
      <formula>LEN(TRIM(F21))=0</formula>
    </cfRule>
  </conditionalFormatting>
  <conditionalFormatting sqref="F23">
    <cfRule type="containsBlanks" dxfId="36" priority="13" stopIfTrue="1">
      <formula>LEN(TRIM(F23))=0</formula>
    </cfRule>
  </conditionalFormatting>
  <conditionalFormatting sqref="F30">
    <cfRule type="containsBlanks" dxfId="35" priority="12" stopIfTrue="1">
      <formula>LEN(TRIM(F30))=0</formula>
    </cfRule>
  </conditionalFormatting>
  <conditionalFormatting sqref="I24:I29 I14:I20 K14:K21 K23:K30">
    <cfRule type="containsBlanks" dxfId="34" priority="11" stopIfTrue="1">
      <formula>LEN(TRIM(I14))=0</formula>
    </cfRule>
  </conditionalFormatting>
  <conditionalFormatting sqref="I21">
    <cfRule type="containsBlanks" dxfId="33" priority="10" stopIfTrue="1">
      <formula>LEN(TRIM(I21))=0</formula>
    </cfRule>
  </conditionalFormatting>
  <conditionalFormatting sqref="I23">
    <cfRule type="containsBlanks" dxfId="32" priority="9" stopIfTrue="1">
      <formula>LEN(TRIM(I23))=0</formula>
    </cfRule>
  </conditionalFormatting>
  <conditionalFormatting sqref="I30">
    <cfRule type="containsBlanks" dxfId="31" priority="8" stopIfTrue="1">
      <formula>LEN(TRIM(I30))=0</formula>
    </cfRule>
  </conditionalFormatting>
  <conditionalFormatting sqref="G14:G21 G23:G30">
    <cfRule type="containsBlanks" dxfId="30" priority="2" stopIfTrue="1">
      <formula>LEN(TRIM(G14))=0</formula>
    </cfRule>
  </conditionalFormatting>
  <conditionalFormatting sqref="J14:J21 J23:J30">
    <cfRule type="containsBlanks" dxfId="29" priority="1" stopIfTrue="1">
      <formula>LEN(TRIM(J14))=0</formula>
    </cfRule>
  </conditionalFormatting>
  <dataValidations count="3">
    <dataValidation type="list" allowBlank="1" showInputMessage="1" showErrorMessage="1" sqref="SW23:SW30 ACS23:ACS30 AMO23:AMO30 AWK23:AWK30 BGG23:BGG30 BQC23:BQC30 BZY23:BZY30 CJU23:CJU30 CTQ23:CTQ30 DDM23:DDM30 DNI23:DNI30 DXE23:DXE30 EHA23:EHA30 EQW23:EQW30 FAS23:FAS30 FKO23:FKO30 FUK23:FUK30 GEG23:GEG30 GOC23:GOC30 GXY23:GXY30 HHU23:HHU30 HRQ23:HRQ30 IBM23:IBM30 ILI23:ILI30 IVE23:IVE30 JFA23:JFA30 JOW23:JOW30 JYS23:JYS30 KIO23:KIO30 KSK23:KSK30 LCG23:LCG30 LMC23:LMC30 LVY23:LVY30 MFU23:MFU30 MPQ23:MPQ30 MZM23:MZM30 NJI23:NJI30 NTE23:NTE30 ODA23:ODA30 OMW23:OMW30 OWS23:OWS30 PGO23:PGO30 PQK23:PQK30 QAG23:QAG30 QKC23:QKC30 QTY23:QTY30 RDU23:RDU30 RNQ23:RNQ30 RXM23:RXM30 SHI23:SHI30 SRE23:SRE30 TBA23:TBA30 TKW23:TKW30 TUS23:TUS30 UEO23:UEO30 UOK23:UOK30 UYG23:UYG30 VIC23:VIC30 VRY23:VRY30 WBU23:WBU30 WLQ23:WLQ30 WVM23:WVM30 E23:E30 E14:E21 E65560:E65566 JA65560:JA65566 SW65560:SW65566 ACS65560:ACS65566 AMO65560:AMO65566 AWK65560:AWK65566 BGG65560:BGG65566 BQC65560:BQC65566 BZY65560:BZY65566 CJU65560:CJU65566 CTQ65560:CTQ65566 DDM65560:DDM65566 DNI65560:DNI65566 DXE65560:DXE65566 EHA65560:EHA65566 EQW65560:EQW65566 FAS65560:FAS65566 FKO65560:FKO65566 FUK65560:FUK65566 GEG65560:GEG65566 GOC65560:GOC65566 GXY65560:GXY65566 HHU65560:HHU65566 HRQ65560:HRQ65566 IBM65560:IBM65566 ILI65560:ILI65566 IVE65560:IVE65566 JFA65560:JFA65566 JOW65560:JOW65566 JYS65560:JYS65566 KIO65560:KIO65566 KSK65560:KSK65566 LCG65560:LCG65566 LMC65560:LMC65566 LVY65560:LVY65566 MFU65560:MFU65566 MPQ65560:MPQ65566 MZM65560:MZM65566 NJI65560:NJI65566 NTE65560:NTE65566 ODA65560:ODA65566 OMW65560:OMW65566 OWS65560:OWS65566 PGO65560:PGO65566 PQK65560:PQK65566 QAG65560:QAG65566 QKC65560:QKC65566 QTY65560:QTY65566 RDU65560:RDU65566 RNQ65560:RNQ65566 RXM65560:RXM65566 SHI65560:SHI65566 SRE65560:SRE65566 TBA65560:TBA65566 TKW65560:TKW65566 TUS65560:TUS65566 UEO65560:UEO65566 UOK65560:UOK65566 UYG65560:UYG65566 VIC65560:VIC65566 VRY65560:VRY65566 WBU65560:WBU65566 WLQ65560:WLQ65566 WVM65560:WVM65566 E131096:E131102 JA131096:JA131102 SW131096:SW131102 ACS131096:ACS131102 AMO131096:AMO131102 AWK131096:AWK131102 BGG131096:BGG131102 BQC131096:BQC131102 BZY131096:BZY131102 CJU131096:CJU131102 CTQ131096:CTQ131102 DDM131096:DDM131102 DNI131096:DNI131102 DXE131096:DXE131102 EHA131096:EHA131102 EQW131096:EQW131102 FAS131096:FAS131102 FKO131096:FKO131102 FUK131096:FUK131102 GEG131096:GEG131102 GOC131096:GOC131102 GXY131096:GXY131102 HHU131096:HHU131102 HRQ131096:HRQ131102 IBM131096:IBM131102 ILI131096:ILI131102 IVE131096:IVE131102 JFA131096:JFA131102 JOW131096:JOW131102 JYS131096:JYS131102 KIO131096:KIO131102 KSK131096:KSK131102 LCG131096:LCG131102 LMC131096:LMC131102 LVY131096:LVY131102 MFU131096:MFU131102 MPQ131096:MPQ131102 MZM131096:MZM131102 NJI131096:NJI131102 NTE131096:NTE131102 ODA131096:ODA131102 OMW131096:OMW131102 OWS131096:OWS131102 PGO131096:PGO131102 PQK131096:PQK131102 QAG131096:QAG131102 QKC131096:QKC131102 QTY131096:QTY131102 RDU131096:RDU131102 RNQ131096:RNQ131102 RXM131096:RXM131102 SHI131096:SHI131102 SRE131096:SRE131102 TBA131096:TBA131102 TKW131096:TKW131102 TUS131096:TUS131102 UEO131096:UEO131102 UOK131096:UOK131102 UYG131096:UYG131102 VIC131096:VIC131102 VRY131096:VRY131102 WBU131096:WBU131102 WLQ131096:WLQ131102 WVM131096:WVM131102 E196632:E196638 JA196632:JA196638 SW196632:SW196638 ACS196632:ACS196638 AMO196632:AMO196638 AWK196632:AWK196638 BGG196632:BGG196638 BQC196632:BQC196638 BZY196632:BZY196638 CJU196632:CJU196638 CTQ196632:CTQ196638 DDM196632:DDM196638 DNI196632:DNI196638 DXE196632:DXE196638 EHA196632:EHA196638 EQW196632:EQW196638 FAS196632:FAS196638 FKO196632:FKO196638 FUK196632:FUK196638 GEG196632:GEG196638 GOC196632:GOC196638 GXY196632:GXY196638 HHU196632:HHU196638 HRQ196632:HRQ196638 IBM196632:IBM196638 ILI196632:ILI196638 IVE196632:IVE196638 JFA196632:JFA196638 JOW196632:JOW196638 JYS196632:JYS196638 KIO196632:KIO196638 KSK196632:KSK196638 LCG196632:LCG196638 LMC196632:LMC196638 LVY196632:LVY196638 MFU196632:MFU196638 MPQ196632:MPQ196638 MZM196632:MZM196638 NJI196632:NJI196638 NTE196632:NTE196638 ODA196632:ODA196638 OMW196632:OMW196638 OWS196632:OWS196638 PGO196632:PGO196638 PQK196632:PQK196638 QAG196632:QAG196638 QKC196632:QKC196638 QTY196632:QTY196638 RDU196632:RDU196638 RNQ196632:RNQ196638 RXM196632:RXM196638 SHI196632:SHI196638 SRE196632:SRE196638 TBA196632:TBA196638 TKW196632:TKW196638 TUS196632:TUS196638 UEO196632:UEO196638 UOK196632:UOK196638 UYG196632:UYG196638 VIC196632:VIC196638 VRY196632:VRY196638 WBU196632:WBU196638 WLQ196632:WLQ196638 WVM196632:WVM196638 E262168:E262174 JA262168:JA262174 SW262168:SW262174 ACS262168:ACS262174 AMO262168:AMO262174 AWK262168:AWK262174 BGG262168:BGG262174 BQC262168:BQC262174 BZY262168:BZY262174 CJU262168:CJU262174 CTQ262168:CTQ262174 DDM262168:DDM262174 DNI262168:DNI262174 DXE262168:DXE262174 EHA262168:EHA262174 EQW262168:EQW262174 FAS262168:FAS262174 FKO262168:FKO262174 FUK262168:FUK262174 GEG262168:GEG262174 GOC262168:GOC262174 GXY262168:GXY262174 HHU262168:HHU262174 HRQ262168:HRQ262174 IBM262168:IBM262174 ILI262168:ILI262174 IVE262168:IVE262174 JFA262168:JFA262174 JOW262168:JOW262174 JYS262168:JYS262174 KIO262168:KIO262174 KSK262168:KSK262174 LCG262168:LCG262174 LMC262168:LMC262174 LVY262168:LVY262174 MFU262168:MFU262174 MPQ262168:MPQ262174 MZM262168:MZM262174 NJI262168:NJI262174 NTE262168:NTE262174 ODA262168:ODA262174 OMW262168:OMW262174 OWS262168:OWS262174 PGO262168:PGO262174 PQK262168:PQK262174 QAG262168:QAG262174 QKC262168:QKC262174 QTY262168:QTY262174 RDU262168:RDU262174 RNQ262168:RNQ262174 RXM262168:RXM262174 SHI262168:SHI262174 SRE262168:SRE262174 TBA262168:TBA262174 TKW262168:TKW262174 TUS262168:TUS262174 UEO262168:UEO262174 UOK262168:UOK262174 UYG262168:UYG262174 VIC262168:VIC262174 VRY262168:VRY262174 WBU262168:WBU262174 WLQ262168:WLQ262174 WVM262168:WVM262174 E327704:E327710 JA327704:JA327710 SW327704:SW327710 ACS327704:ACS327710 AMO327704:AMO327710 AWK327704:AWK327710 BGG327704:BGG327710 BQC327704:BQC327710 BZY327704:BZY327710 CJU327704:CJU327710 CTQ327704:CTQ327710 DDM327704:DDM327710 DNI327704:DNI327710 DXE327704:DXE327710 EHA327704:EHA327710 EQW327704:EQW327710 FAS327704:FAS327710 FKO327704:FKO327710 FUK327704:FUK327710 GEG327704:GEG327710 GOC327704:GOC327710 GXY327704:GXY327710 HHU327704:HHU327710 HRQ327704:HRQ327710 IBM327704:IBM327710 ILI327704:ILI327710 IVE327704:IVE327710 JFA327704:JFA327710 JOW327704:JOW327710 JYS327704:JYS327710 KIO327704:KIO327710 KSK327704:KSK327710 LCG327704:LCG327710 LMC327704:LMC327710 LVY327704:LVY327710 MFU327704:MFU327710 MPQ327704:MPQ327710 MZM327704:MZM327710 NJI327704:NJI327710 NTE327704:NTE327710 ODA327704:ODA327710 OMW327704:OMW327710 OWS327704:OWS327710 PGO327704:PGO327710 PQK327704:PQK327710 QAG327704:QAG327710 QKC327704:QKC327710 QTY327704:QTY327710 RDU327704:RDU327710 RNQ327704:RNQ327710 RXM327704:RXM327710 SHI327704:SHI327710 SRE327704:SRE327710 TBA327704:TBA327710 TKW327704:TKW327710 TUS327704:TUS327710 UEO327704:UEO327710 UOK327704:UOK327710 UYG327704:UYG327710 VIC327704:VIC327710 VRY327704:VRY327710 WBU327704:WBU327710 WLQ327704:WLQ327710 WVM327704:WVM327710 E393240:E393246 JA393240:JA393246 SW393240:SW393246 ACS393240:ACS393246 AMO393240:AMO393246 AWK393240:AWK393246 BGG393240:BGG393246 BQC393240:BQC393246 BZY393240:BZY393246 CJU393240:CJU393246 CTQ393240:CTQ393246 DDM393240:DDM393246 DNI393240:DNI393246 DXE393240:DXE393246 EHA393240:EHA393246 EQW393240:EQW393246 FAS393240:FAS393246 FKO393240:FKO393246 FUK393240:FUK393246 GEG393240:GEG393246 GOC393240:GOC393246 GXY393240:GXY393246 HHU393240:HHU393246 HRQ393240:HRQ393246 IBM393240:IBM393246 ILI393240:ILI393246 IVE393240:IVE393246 JFA393240:JFA393246 JOW393240:JOW393246 JYS393240:JYS393246 KIO393240:KIO393246 KSK393240:KSK393246 LCG393240:LCG393246 LMC393240:LMC393246 LVY393240:LVY393246 MFU393240:MFU393246 MPQ393240:MPQ393246 MZM393240:MZM393246 NJI393240:NJI393246 NTE393240:NTE393246 ODA393240:ODA393246 OMW393240:OMW393246 OWS393240:OWS393246 PGO393240:PGO393246 PQK393240:PQK393246 QAG393240:QAG393246 QKC393240:QKC393246 QTY393240:QTY393246 RDU393240:RDU393246 RNQ393240:RNQ393246 RXM393240:RXM393246 SHI393240:SHI393246 SRE393240:SRE393246 TBA393240:TBA393246 TKW393240:TKW393246 TUS393240:TUS393246 UEO393240:UEO393246 UOK393240:UOK393246 UYG393240:UYG393246 VIC393240:VIC393246 VRY393240:VRY393246 WBU393240:WBU393246 WLQ393240:WLQ393246 WVM393240:WVM393246 E458776:E458782 JA458776:JA458782 SW458776:SW458782 ACS458776:ACS458782 AMO458776:AMO458782 AWK458776:AWK458782 BGG458776:BGG458782 BQC458776:BQC458782 BZY458776:BZY458782 CJU458776:CJU458782 CTQ458776:CTQ458782 DDM458776:DDM458782 DNI458776:DNI458782 DXE458776:DXE458782 EHA458776:EHA458782 EQW458776:EQW458782 FAS458776:FAS458782 FKO458776:FKO458782 FUK458776:FUK458782 GEG458776:GEG458782 GOC458776:GOC458782 GXY458776:GXY458782 HHU458776:HHU458782 HRQ458776:HRQ458782 IBM458776:IBM458782 ILI458776:ILI458782 IVE458776:IVE458782 JFA458776:JFA458782 JOW458776:JOW458782 JYS458776:JYS458782 KIO458776:KIO458782 KSK458776:KSK458782 LCG458776:LCG458782 LMC458776:LMC458782 LVY458776:LVY458782 MFU458776:MFU458782 MPQ458776:MPQ458782 MZM458776:MZM458782 NJI458776:NJI458782 NTE458776:NTE458782 ODA458776:ODA458782 OMW458776:OMW458782 OWS458776:OWS458782 PGO458776:PGO458782 PQK458776:PQK458782 QAG458776:QAG458782 QKC458776:QKC458782 QTY458776:QTY458782 RDU458776:RDU458782 RNQ458776:RNQ458782 RXM458776:RXM458782 SHI458776:SHI458782 SRE458776:SRE458782 TBA458776:TBA458782 TKW458776:TKW458782 TUS458776:TUS458782 UEO458776:UEO458782 UOK458776:UOK458782 UYG458776:UYG458782 VIC458776:VIC458782 VRY458776:VRY458782 WBU458776:WBU458782 WLQ458776:WLQ458782 WVM458776:WVM458782 E524312:E524318 JA524312:JA524318 SW524312:SW524318 ACS524312:ACS524318 AMO524312:AMO524318 AWK524312:AWK524318 BGG524312:BGG524318 BQC524312:BQC524318 BZY524312:BZY524318 CJU524312:CJU524318 CTQ524312:CTQ524318 DDM524312:DDM524318 DNI524312:DNI524318 DXE524312:DXE524318 EHA524312:EHA524318 EQW524312:EQW524318 FAS524312:FAS524318 FKO524312:FKO524318 FUK524312:FUK524318 GEG524312:GEG524318 GOC524312:GOC524318 GXY524312:GXY524318 HHU524312:HHU524318 HRQ524312:HRQ524318 IBM524312:IBM524318 ILI524312:ILI524318 IVE524312:IVE524318 JFA524312:JFA524318 JOW524312:JOW524318 JYS524312:JYS524318 KIO524312:KIO524318 KSK524312:KSK524318 LCG524312:LCG524318 LMC524312:LMC524318 LVY524312:LVY524318 MFU524312:MFU524318 MPQ524312:MPQ524318 MZM524312:MZM524318 NJI524312:NJI524318 NTE524312:NTE524318 ODA524312:ODA524318 OMW524312:OMW524318 OWS524312:OWS524318 PGO524312:PGO524318 PQK524312:PQK524318 QAG524312:QAG524318 QKC524312:QKC524318 QTY524312:QTY524318 RDU524312:RDU524318 RNQ524312:RNQ524318 RXM524312:RXM524318 SHI524312:SHI524318 SRE524312:SRE524318 TBA524312:TBA524318 TKW524312:TKW524318 TUS524312:TUS524318 UEO524312:UEO524318 UOK524312:UOK524318 UYG524312:UYG524318 VIC524312:VIC524318 VRY524312:VRY524318 WBU524312:WBU524318 WLQ524312:WLQ524318 WVM524312:WVM524318 E589848:E589854 JA589848:JA589854 SW589848:SW589854 ACS589848:ACS589854 AMO589848:AMO589854 AWK589848:AWK589854 BGG589848:BGG589854 BQC589848:BQC589854 BZY589848:BZY589854 CJU589848:CJU589854 CTQ589848:CTQ589854 DDM589848:DDM589854 DNI589848:DNI589854 DXE589848:DXE589854 EHA589848:EHA589854 EQW589848:EQW589854 FAS589848:FAS589854 FKO589848:FKO589854 FUK589848:FUK589854 GEG589848:GEG589854 GOC589848:GOC589854 GXY589848:GXY589854 HHU589848:HHU589854 HRQ589848:HRQ589854 IBM589848:IBM589854 ILI589848:ILI589854 IVE589848:IVE589854 JFA589848:JFA589854 JOW589848:JOW589854 JYS589848:JYS589854 KIO589848:KIO589854 KSK589848:KSK589854 LCG589848:LCG589854 LMC589848:LMC589854 LVY589848:LVY589854 MFU589848:MFU589854 MPQ589848:MPQ589854 MZM589848:MZM589854 NJI589848:NJI589854 NTE589848:NTE589854 ODA589848:ODA589854 OMW589848:OMW589854 OWS589848:OWS589854 PGO589848:PGO589854 PQK589848:PQK589854 QAG589848:QAG589854 QKC589848:QKC589854 QTY589848:QTY589854 RDU589848:RDU589854 RNQ589848:RNQ589854 RXM589848:RXM589854 SHI589848:SHI589854 SRE589848:SRE589854 TBA589848:TBA589854 TKW589848:TKW589854 TUS589848:TUS589854 UEO589848:UEO589854 UOK589848:UOK589854 UYG589848:UYG589854 VIC589848:VIC589854 VRY589848:VRY589854 WBU589848:WBU589854 WLQ589848:WLQ589854 WVM589848:WVM589854 E655384:E655390 JA655384:JA655390 SW655384:SW655390 ACS655384:ACS655390 AMO655384:AMO655390 AWK655384:AWK655390 BGG655384:BGG655390 BQC655384:BQC655390 BZY655384:BZY655390 CJU655384:CJU655390 CTQ655384:CTQ655390 DDM655384:DDM655390 DNI655384:DNI655390 DXE655384:DXE655390 EHA655384:EHA655390 EQW655384:EQW655390 FAS655384:FAS655390 FKO655384:FKO655390 FUK655384:FUK655390 GEG655384:GEG655390 GOC655384:GOC655390 GXY655384:GXY655390 HHU655384:HHU655390 HRQ655384:HRQ655390 IBM655384:IBM655390 ILI655384:ILI655390 IVE655384:IVE655390 JFA655384:JFA655390 JOW655384:JOW655390 JYS655384:JYS655390 KIO655384:KIO655390 KSK655384:KSK655390 LCG655384:LCG655390 LMC655384:LMC655390 LVY655384:LVY655390 MFU655384:MFU655390 MPQ655384:MPQ655390 MZM655384:MZM655390 NJI655384:NJI655390 NTE655384:NTE655390 ODA655384:ODA655390 OMW655384:OMW655390 OWS655384:OWS655390 PGO655384:PGO655390 PQK655384:PQK655390 QAG655384:QAG655390 QKC655384:QKC655390 QTY655384:QTY655390 RDU655384:RDU655390 RNQ655384:RNQ655390 RXM655384:RXM655390 SHI655384:SHI655390 SRE655384:SRE655390 TBA655384:TBA655390 TKW655384:TKW655390 TUS655384:TUS655390 UEO655384:UEO655390 UOK655384:UOK655390 UYG655384:UYG655390 VIC655384:VIC655390 VRY655384:VRY655390 WBU655384:WBU655390 WLQ655384:WLQ655390 WVM655384:WVM655390 E720920:E720926 JA720920:JA720926 SW720920:SW720926 ACS720920:ACS720926 AMO720920:AMO720926 AWK720920:AWK720926 BGG720920:BGG720926 BQC720920:BQC720926 BZY720920:BZY720926 CJU720920:CJU720926 CTQ720920:CTQ720926 DDM720920:DDM720926 DNI720920:DNI720926 DXE720920:DXE720926 EHA720920:EHA720926 EQW720920:EQW720926 FAS720920:FAS720926 FKO720920:FKO720926 FUK720920:FUK720926 GEG720920:GEG720926 GOC720920:GOC720926 GXY720920:GXY720926 HHU720920:HHU720926 HRQ720920:HRQ720926 IBM720920:IBM720926 ILI720920:ILI720926 IVE720920:IVE720926 JFA720920:JFA720926 JOW720920:JOW720926 JYS720920:JYS720926 KIO720920:KIO720926 KSK720920:KSK720926 LCG720920:LCG720926 LMC720920:LMC720926 LVY720920:LVY720926 MFU720920:MFU720926 MPQ720920:MPQ720926 MZM720920:MZM720926 NJI720920:NJI720926 NTE720920:NTE720926 ODA720920:ODA720926 OMW720920:OMW720926 OWS720920:OWS720926 PGO720920:PGO720926 PQK720920:PQK720926 QAG720920:QAG720926 QKC720920:QKC720926 QTY720920:QTY720926 RDU720920:RDU720926 RNQ720920:RNQ720926 RXM720920:RXM720926 SHI720920:SHI720926 SRE720920:SRE720926 TBA720920:TBA720926 TKW720920:TKW720926 TUS720920:TUS720926 UEO720920:UEO720926 UOK720920:UOK720926 UYG720920:UYG720926 VIC720920:VIC720926 VRY720920:VRY720926 WBU720920:WBU720926 WLQ720920:WLQ720926 WVM720920:WVM720926 E786456:E786462 JA786456:JA786462 SW786456:SW786462 ACS786456:ACS786462 AMO786456:AMO786462 AWK786456:AWK786462 BGG786456:BGG786462 BQC786456:BQC786462 BZY786456:BZY786462 CJU786456:CJU786462 CTQ786456:CTQ786462 DDM786456:DDM786462 DNI786456:DNI786462 DXE786456:DXE786462 EHA786456:EHA786462 EQW786456:EQW786462 FAS786456:FAS786462 FKO786456:FKO786462 FUK786456:FUK786462 GEG786456:GEG786462 GOC786456:GOC786462 GXY786456:GXY786462 HHU786456:HHU786462 HRQ786456:HRQ786462 IBM786456:IBM786462 ILI786456:ILI786462 IVE786456:IVE786462 JFA786456:JFA786462 JOW786456:JOW786462 JYS786456:JYS786462 KIO786456:KIO786462 KSK786456:KSK786462 LCG786456:LCG786462 LMC786456:LMC786462 LVY786456:LVY786462 MFU786456:MFU786462 MPQ786456:MPQ786462 MZM786456:MZM786462 NJI786456:NJI786462 NTE786456:NTE786462 ODA786456:ODA786462 OMW786456:OMW786462 OWS786456:OWS786462 PGO786456:PGO786462 PQK786456:PQK786462 QAG786456:QAG786462 QKC786456:QKC786462 QTY786456:QTY786462 RDU786456:RDU786462 RNQ786456:RNQ786462 RXM786456:RXM786462 SHI786456:SHI786462 SRE786456:SRE786462 TBA786456:TBA786462 TKW786456:TKW786462 TUS786456:TUS786462 UEO786456:UEO786462 UOK786456:UOK786462 UYG786456:UYG786462 VIC786456:VIC786462 VRY786456:VRY786462 WBU786456:WBU786462 WLQ786456:WLQ786462 WVM786456:WVM786462 E851992:E851998 JA851992:JA851998 SW851992:SW851998 ACS851992:ACS851998 AMO851992:AMO851998 AWK851992:AWK851998 BGG851992:BGG851998 BQC851992:BQC851998 BZY851992:BZY851998 CJU851992:CJU851998 CTQ851992:CTQ851998 DDM851992:DDM851998 DNI851992:DNI851998 DXE851992:DXE851998 EHA851992:EHA851998 EQW851992:EQW851998 FAS851992:FAS851998 FKO851992:FKO851998 FUK851992:FUK851998 GEG851992:GEG851998 GOC851992:GOC851998 GXY851992:GXY851998 HHU851992:HHU851998 HRQ851992:HRQ851998 IBM851992:IBM851998 ILI851992:ILI851998 IVE851992:IVE851998 JFA851992:JFA851998 JOW851992:JOW851998 JYS851992:JYS851998 KIO851992:KIO851998 KSK851992:KSK851998 LCG851992:LCG851998 LMC851992:LMC851998 LVY851992:LVY851998 MFU851992:MFU851998 MPQ851992:MPQ851998 MZM851992:MZM851998 NJI851992:NJI851998 NTE851992:NTE851998 ODA851992:ODA851998 OMW851992:OMW851998 OWS851992:OWS851998 PGO851992:PGO851998 PQK851992:PQK851998 QAG851992:QAG851998 QKC851992:QKC851998 QTY851992:QTY851998 RDU851992:RDU851998 RNQ851992:RNQ851998 RXM851992:RXM851998 SHI851992:SHI851998 SRE851992:SRE851998 TBA851992:TBA851998 TKW851992:TKW851998 TUS851992:TUS851998 UEO851992:UEO851998 UOK851992:UOK851998 UYG851992:UYG851998 VIC851992:VIC851998 VRY851992:VRY851998 WBU851992:WBU851998 WLQ851992:WLQ851998 WVM851992:WVM851998 E917528:E917534 JA917528:JA917534 SW917528:SW917534 ACS917528:ACS917534 AMO917528:AMO917534 AWK917528:AWK917534 BGG917528:BGG917534 BQC917528:BQC917534 BZY917528:BZY917534 CJU917528:CJU917534 CTQ917528:CTQ917534 DDM917528:DDM917534 DNI917528:DNI917534 DXE917528:DXE917534 EHA917528:EHA917534 EQW917528:EQW917534 FAS917528:FAS917534 FKO917528:FKO917534 FUK917528:FUK917534 GEG917528:GEG917534 GOC917528:GOC917534 GXY917528:GXY917534 HHU917528:HHU917534 HRQ917528:HRQ917534 IBM917528:IBM917534 ILI917528:ILI917534 IVE917528:IVE917534 JFA917528:JFA917534 JOW917528:JOW917534 JYS917528:JYS917534 KIO917528:KIO917534 KSK917528:KSK917534 LCG917528:LCG917534 LMC917528:LMC917534 LVY917528:LVY917534 MFU917528:MFU917534 MPQ917528:MPQ917534 MZM917528:MZM917534 NJI917528:NJI917534 NTE917528:NTE917534 ODA917528:ODA917534 OMW917528:OMW917534 OWS917528:OWS917534 PGO917528:PGO917534 PQK917528:PQK917534 QAG917528:QAG917534 QKC917528:QKC917534 QTY917528:QTY917534 RDU917528:RDU917534 RNQ917528:RNQ917534 RXM917528:RXM917534 SHI917528:SHI917534 SRE917528:SRE917534 TBA917528:TBA917534 TKW917528:TKW917534 TUS917528:TUS917534 UEO917528:UEO917534 UOK917528:UOK917534 UYG917528:UYG917534 VIC917528:VIC917534 VRY917528:VRY917534 WBU917528:WBU917534 WLQ917528:WLQ917534 WVM917528:WVM917534 E983064:E983070 JA983064:JA983070 SW983064:SW983070 ACS983064:ACS983070 AMO983064:AMO983070 AWK983064:AWK983070 BGG983064:BGG983070 BQC983064:BQC983070 BZY983064:BZY983070 CJU983064:CJU983070 CTQ983064:CTQ983070 DDM983064:DDM983070 DNI983064:DNI983070 DXE983064:DXE983070 EHA983064:EHA983070 EQW983064:EQW983070 FAS983064:FAS983070 FKO983064:FKO983070 FUK983064:FUK983070 GEG983064:GEG983070 GOC983064:GOC983070 GXY983064:GXY983070 HHU983064:HHU983070 HRQ983064:HRQ983070 IBM983064:IBM983070 ILI983064:ILI983070 IVE983064:IVE983070 JFA983064:JFA983070 JOW983064:JOW983070 JYS983064:JYS983070 KIO983064:KIO983070 KSK983064:KSK983070 LCG983064:LCG983070 LMC983064:LMC983070 LVY983064:LVY983070 MFU983064:MFU983070 MPQ983064:MPQ983070 MZM983064:MZM983070 NJI983064:NJI983070 NTE983064:NTE983070 ODA983064:ODA983070 OMW983064:OMW983070 OWS983064:OWS983070 PGO983064:PGO983070 PQK983064:PQK983070 QAG983064:QAG983070 QKC983064:QKC983070 QTY983064:QTY983070 RDU983064:RDU983070 RNQ983064:RNQ983070 RXM983064:RXM983070 SHI983064:SHI983070 SRE983064:SRE983070 TBA983064:TBA983070 TKW983064:TKW983070 TUS983064:TUS983070 UEO983064:UEO983070 UOK983064:UOK983070 UYG983064:UYG983070 VIC983064:VIC983070 VRY983064:VRY983070 WBU983064:WBU983070 WLQ983064:WLQ983070 WVM983064:WVM983070 JA14:JA21 SW14:SW21 ACS14:ACS21 AMO14:AMO21 AWK14:AWK21 BGG14:BGG21 BQC14:BQC21 BZY14:BZY21 CJU14:CJU21 CTQ14:CTQ21 DDM14:DDM21 DNI14:DNI21 DXE14:DXE21 EHA14:EHA21 EQW14:EQW21 FAS14:FAS21 FKO14:FKO21 FUK14:FUK21 GEG14:GEG21 GOC14:GOC21 GXY14:GXY21 HHU14:HHU21 HRQ14:HRQ21 IBM14:IBM21 ILI14:ILI21 IVE14:IVE21 JFA14:JFA21 JOW14:JOW21 JYS14:JYS21 KIO14:KIO21 KSK14:KSK21 LCG14:LCG21 LMC14:LMC21 LVY14:LVY21 MFU14:MFU21 MPQ14:MPQ21 MZM14:MZM21 NJI14:NJI21 NTE14:NTE21 ODA14:ODA21 OMW14:OMW21 OWS14:OWS21 PGO14:PGO21 PQK14:PQK21 QAG14:QAG21 QKC14:QKC21 QTY14:QTY21 RDU14:RDU21 RNQ14:RNQ21 RXM14:RXM21 SHI14:SHI21 SRE14:SRE21 TBA14:TBA21 TKW14:TKW21 TUS14:TUS21 UEO14:UEO21 UOK14:UOK21 UYG14:UYG21 VIC14:VIC21 VRY14:VRY21 WBU14:WBU21 WLQ14:WLQ21 WVM14:WVM21 WVM983056:WVM983062 E65552:E65558 JA65552:JA65558 SW65552:SW65558 ACS65552:ACS65558 AMO65552:AMO65558 AWK65552:AWK65558 BGG65552:BGG65558 BQC65552:BQC65558 BZY65552:BZY65558 CJU65552:CJU65558 CTQ65552:CTQ65558 DDM65552:DDM65558 DNI65552:DNI65558 DXE65552:DXE65558 EHA65552:EHA65558 EQW65552:EQW65558 FAS65552:FAS65558 FKO65552:FKO65558 FUK65552:FUK65558 GEG65552:GEG65558 GOC65552:GOC65558 GXY65552:GXY65558 HHU65552:HHU65558 HRQ65552:HRQ65558 IBM65552:IBM65558 ILI65552:ILI65558 IVE65552:IVE65558 JFA65552:JFA65558 JOW65552:JOW65558 JYS65552:JYS65558 KIO65552:KIO65558 KSK65552:KSK65558 LCG65552:LCG65558 LMC65552:LMC65558 LVY65552:LVY65558 MFU65552:MFU65558 MPQ65552:MPQ65558 MZM65552:MZM65558 NJI65552:NJI65558 NTE65552:NTE65558 ODA65552:ODA65558 OMW65552:OMW65558 OWS65552:OWS65558 PGO65552:PGO65558 PQK65552:PQK65558 QAG65552:QAG65558 QKC65552:QKC65558 QTY65552:QTY65558 RDU65552:RDU65558 RNQ65552:RNQ65558 RXM65552:RXM65558 SHI65552:SHI65558 SRE65552:SRE65558 TBA65552:TBA65558 TKW65552:TKW65558 TUS65552:TUS65558 UEO65552:UEO65558 UOK65552:UOK65558 UYG65552:UYG65558 VIC65552:VIC65558 VRY65552:VRY65558 WBU65552:WBU65558 WLQ65552:WLQ65558 WVM65552:WVM65558 E131088:E131094 JA131088:JA131094 SW131088:SW131094 ACS131088:ACS131094 AMO131088:AMO131094 AWK131088:AWK131094 BGG131088:BGG131094 BQC131088:BQC131094 BZY131088:BZY131094 CJU131088:CJU131094 CTQ131088:CTQ131094 DDM131088:DDM131094 DNI131088:DNI131094 DXE131088:DXE131094 EHA131088:EHA131094 EQW131088:EQW131094 FAS131088:FAS131094 FKO131088:FKO131094 FUK131088:FUK131094 GEG131088:GEG131094 GOC131088:GOC131094 GXY131088:GXY131094 HHU131088:HHU131094 HRQ131088:HRQ131094 IBM131088:IBM131094 ILI131088:ILI131094 IVE131088:IVE131094 JFA131088:JFA131094 JOW131088:JOW131094 JYS131088:JYS131094 KIO131088:KIO131094 KSK131088:KSK131094 LCG131088:LCG131094 LMC131088:LMC131094 LVY131088:LVY131094 MFU131088:MFU131094 MPQ131088:MPQ131094 MZM131088:MZM131094 NJI131088:NJI131094 NTE131088:NTE131094 ODA131088:ODA131094 OMW131088:OMW131094 OWS131088:OWS131094 PGO131088:PGO131094 PQK131088:PQK131094 QAG131088:QAG131094 QKC131088:QKC131094 QTY131088:QTY131094 RDU131088:RDU131094 RNQ131088:RNQ131094 RXM131088:RXM131094 SHI131088:SHI131094 SRE131088:SRE131094 TBA131088:TBA131094 TKW131088:TKW131094 TUS131088:TUS131094 UEO131088:UEO131094 UOK131088:UOK131094 UYG131088:UYG131094 VIC131088:VIC131094 VRY131088:VRY131094 WBU131088:WBU131094 WLQ131088:WLQ131094 WVM131088:WVM131094 E196624:E196630 JA196624:JA196630 SW196624:SW196630 ACS196624:ACS196630 AMO196624:AMO196630 AWK196624:AWK196630 BGG196624:BGG196630 BQC196624:BQC196630 BZY196624:BZY196630 CJU196624:CJU196630 CTQ196624:CTQ196630 DDM196624:DDM196630 DNI196624:DNI196630 DXE196624:DXE196630 EHA196624:EHA196630 EQW196624:EQW196630 FAS196624:FAS196630 FKO196624:FKO196630 FUK196624:FUK196630 GEG196624:GEG196630 GOC196624:GOC196630 GXY196624:GXY196630 HHU196624:HHU196630 HRQ196624:HRQ196630 IBM196624:IBM196630 ILI196624:ILI196630 IVE196624:IVE196630 JFA196624:JFA196630 JOW196624:JOW196630 JYS196624:JYS196630 KIO196624:KIO196630 KSK196624:KSK196630 LCG196624:LCG196630 LMC196624:LMC196630 LVY196624:LVY196630 MFU196624:MFU196630 MPQ196624:MPQ196630 MZM196624:MZM196630 NJI196624:NJI196630 NTE196624:NTE196630 ODA196624:ODA196630 OMW196624:OMW196630 OWS196624:OWS196630 PGO196624:PGO196630 PQK196624:PQK196630 QAG196624:QAG196630 QKC196624:QKC196630 QTY196624:QTY196630 RDU196624:RDU196630 RNQ196624:RNQ196630 RXM196624:RXM196630 SHI196624:SHI196630 SRE196624:SRE196630 TBA196624:TBA196630 TKW196624:TKW196630 TUS196624:TUS196630 UEO196624:UEO196630 UOK196624:UOK196630 UYG196624:UYG196630 VIC196624:VIC196630 VRY196624:VRY196630 WBU196624:WBU196630 WLQ196624:WLQ196630 WVM196624:WVM196630 E262160:E262166 JA262160:JA262166 SW262160:SW262166 ACS262160:ACS262166 AMO262160:AMO262166 AWK262160:AWK262166 BGG262160:BGG262166 BQC262160:BQC262166 BZY262160:BZY262166 CJU262160:CJU262166 CTQ262160:CTQ262166 DDM262160:DDM262166 DNI262160:DNI262166 DXE262160:DXE262166 EHA262160:EHA262166 EQW262160:EQW262166 FAS262160:FAS262166 FKO262160:FKO262166 FUK262160:FUK262166 GEG262160:GEG262166 GOC262160:GOC262166 GXY262160:GXY262166 HHU262160:HHU262166 HRQ262160:HRQ262166 IBM262160:IBM262166 ILI262160:ILI262166 IVE262160:IVE262166 JFA262160:JFA262166 JOW262160:JOW262166 JYS262160:JYS262166 KIO262160:KIO262166 KSK262160:KSK262166 LCG262160:LCG262166 LMC262160:LMC262166 LVY262160:LVY262166 MFU262160:MFU262166 MPQ262160:MPQ262166 MZM262160:MZM262166 NJI262160:NJI262166 NTE262160:NTE262166 ODA262160:ODA262166 OMW262160:OMW262166 OWS262160:OWS262166 PGO262160:PGO262166 PQK262160:PQK262166 QAG262160:QAG262166 QKC262160:QKC262166 QTY262160:QTY262166 RDU262160:RDU262166 RNQ262160:RNQ262166 RXM262160:RXM262166 SHI262160:SHI262166 SRE262160:SRE262166 TBA262160:TBA262166 TKW262160:TKW262166 TUS262160:TUS262166 UEO262160:UEO262166 UOK262160:UOK262166 UYG262160:UYG262166 VIC262160:VIC262166 VRY262160:VRY262166 WBU262160:WBU262166 WLQ262160:WLQ262166 WVM262160:WVM262166 E327696:E327702 JA327696:JA327702 SW327696:SW327702 ACS327696:ACS327702 AMO327696:AMO327702 AWK327696:AWK327702 BGG327696:BGG327702 BQC327696:BQC327702 BZY327696:BZY327702 CJU327696:CJU327702 CTQ327696:CTQ327702 DDM327696:DDM327702 DNI327696:DNI327702 DXE327696:DXE327702 EHA327696:EHA327702 EQW327696:EQW327702 FAS327696:FAS327702 FKO327696:FKO327702 FUK327696:FUK327702 GEG327696:GEG327702 GOC327696:GOC327702 GXY327696:GXY327702 HHU327696:HHU327702 HRQ327696:HRQ327702 IBM327696:IBM327702 ILI327696:ILI327702 IVE327696:IVE327702 JFA327696:JFA327702 JOW327696:JOW327702 JYS327696:JYS327702 KIO327696:KIO327702 KSK327696:KSK327702 LCG327696:LCG327702 LMC327696:LMC327702 LVY327696:LVY327702 MFU327696:MFU327702 MPQ327696:MPQ327702 MZM327696:MZM327702 NJI327696:NJI327702 NTE327696:NTE327702 ODA327696:ODA327702 OMW327696:OMW327702 OWS327696:OWS327702 PGO327696:PGO327702 PQK327696:PQK327702 QAG327696:QAG327702 QKC327696:QKC327702 QTY327696:QTY327702 RDU327696:RDU327702 RNQ327696:RNQ327702 RXM327696:RXM327702 SHI327696:SHI327702 SRE327696:SRE327702 TBA327696:TBA327702 TKW327696:TKW327702 TUS327696:TUS327702 UEO327696:UEO327702 UOK327696:UOK327702 UYG327696:UYG327702 VIC327696:VIC327702 VRY327696:VRY327702 WBU327696:WBU327702 WLQ327696:WLQ327702 WVM327696:WVM327702 E393232:E393238 JA393232:JA393238 SW393232:SW393238 ACS393232:ACS393238 AMO393232:AMO393238 AWK393232:AWK393238 BGG393232:BGG393238 BQC393232:BQC393238 BZY393232:BZY393238 CJU393232:CJU393238 CTQ393232:CTQ393238 DDM393232:DDM393238 DNI393232:DNI393238 DXE393232:DXE393238 EHA393232:EHA393238 EQW393232:EQW393238 FAS393232:FAS393238 FKO393232:FKO393238 FUK393232:FUK393238 GEG393232:GEG393238 GOC393232:GOC393238 GXY393232:GXY393238 HHU393232:HHU393238 HRQ393232:HRQ393238 IBM393232:IBM393238 ILI393232:ILI393238 IVE393232:IVE393238 JFA393232:JFA393238 JOW393232:JOW393238 JYS393232:JYS393238 KIO393232:KIO393238 KSK393232:KSK393238 LCG393232:LCG393238 LMC393232:LMC393238 LVY393232:LVY393238 MFU393232:MFU393238 MPQ393232:MPQ393238 MZM393232:MZM393238 NJI393232:NJI393238 NTE393232:NTE393238 ODA393232:ODA393238 OMW393232:OMW393238 OWS393232:OWS393238 PGO393232:PGO393238 PQK393232:PQK393238 QAG393232:QAG393238 QKC393232:QKC393238 QTY393232:QTY393238 RDU393232:RDU393238 RNQ393232:RNQ393238 RXM393232:RXM393238 SHI393232:SHI393238 SRE393232:SRE393238 TBA393232:TBA393238 TKW393232:TKW393238 TUS393232:TUS393238 UEO393232:UEO393238 UOK393232:UOK393238 UYG393232:UYG393238 VIC393232:VIC393238 VRY393232:VRY393238 WBU393232:WBU393238 WLQ393232:WLQ393238 WVM393232:WVM393238 E458768:E458774 JA458768:JA458774 SW458768:SW458774 ACS458768:ACS458774 AMO458768:AMO458774 AWK458768:AWK458774 BGG458768:BGG458774 BQC458768:BQC458774 BZY458768:BZY458774 CJU458768:CJU458774 CTQ458768:CTQ458774 DDM458768:DDM458774 DNI458768:DNI458774 DXE458768:DXE458774 EHA458768:EHA458774 EQW458768:EQW458774 FAS458768:FAS458774 FKO458768:FKO458774 FUK458768:FUK458774 GEG458768:GEG458774 GOC458768:GOC458774 GXY458768:GXY458774 HHU458768:HHU458774 HRQ458768:HRQ458774 IBM458768:IBM458774 ILI458768:ILI458774 IVE458768:IVE458774 JFA458768:JFA458774 JOW458768:JOW458774 JYS458768:JYS458774 KIO458768:KIO458774 KSK458768:KSK458774 LCG458768:LCG458774 LMC458768:LMC458774 LVY458768:LVY458774 MFU458768:MFU458774 MPQ458768:MPQ458774 MZM458768:MZM458774 NJI458768:NJI458774 NTE458768:NTE458774 ODA458768:ODA458774 OMW458768:OMW458774 OWS458768:OWS458774 PGO458768:PGO458774 PQK458768:PQK458774 QAG458768:QAG458774 QKC458768:QKC458774 QTY458768:QTY458774 RDU458768:RDU458774 RNQ458768:RNQ458774 RXM458768:RXM458774 SHI458768:SHI458774 SRE458768:SRE458774 TBA458768:TBA458774 TKW458768:TKW458774 TUS458768:TUS458774 UEO458768:UEO458774 UOK458768:UOK458774 UYG458768:UYG458774 VIC458768:VIC458774 VRY458768:VRY458774 WBU458768:WBU458774 WLQ458768:WLQ458774 WVM458768:WVM458774 E524304:E524310 JA524304:JA524310 SW524304:SW524310 ACS524304:ACS524310 AMO524304:AMO524310 AWK524304:AWK524310 BGG524304:BGG524310 BQC524304:BQC524310 BZY524304:BZY524310 CJU524304:CJU524310 CTQ524304:CTQ524310 DDM524304:DDM524310 DNI524304:DNI524310 DXE524304:DXE524310 EHA524304:EHA524310 EQW524304:EQW524310 FAS524304:FAS524310 FKO524304:FKO524310 FUK524304:FUK524310 GEG524304:GEG524310 GOC524304:GOC524310 GXY524304:GXY524310 HHU524304:HHU524310 HRQ524304:HRQ524310 IBM524304:IBM524310 ILI524304:ILI524310 IVE524304:IVE524310 JFA524304:JFA524310 JOW524304:JOW524310 JYS524304:JYS524310 KIO524304:KIO524310 KSK524304:KSK524310 LCG524304:LCG524310 LMC524304:LMC524310 LVY524304:LVY524310 MFU524304:MFU524310 MPQ524304:MPQ524310 MZM524304:MZM524310 NJI524304:NJI524310 NTE524304:NTE524310 ODA524304:ODA524310 OMW524304:OMW524310 OWS524304:OWS524310 PGO524304:PGO524310 PQK524304:PQK524310 QAG524304:QAG524310 QKC524304:QKC524310 QTY524304:QTY524310 RDU524304:RDU524310 RNQ524304:RNQ524310 RXM524304:RXM524310 SHI524304:SHI524310 SRE524304:SRE524310 TBA524304:TBA524310 TKW524304:TKW524310 TUS524304:TUS524310 UEO524304:UEO524310 UOK524304:UOK524310 UYG524304:UYG524310 VIC524304:VIC524310 VRY524304:VRY524310 WBU524304:WBU524310 WLQ524304:WLQ524310 WVM524304:WVM524310 E589840:E589846 JA589840:JA589846 SW589840:SW589846 ACS589840:ACS589846 AMO589840:AMO589846 AWK589840:AWK589846 BGG589840:BGG589846 BQC589840:BQC589846 BZY589840:BZY589846 CJU589840:CJU589846 CTQ589840:CTQ589846 DDM589840:DDM589846 DNI589840:DNI589846 DXE589840:DXE589846 EHA589840:EHA589846 EQW589840:EQW589846 FAS589840:FAS589846 FKO589840:FKO589846 FUK589840:FUK589846 GEG589840:GEG589846 GOC589840:GOC589846 GXY589840:GXY589846 HHU589840:HHU589846 HRQ589840:HRQ589846 IBM589840:IBM589846 ILI589840:ILI589846 IVE589840:IVE589846 JFA589840:JFA589846 JOW589840:JOW589846 JYS589840:JYS589846 KIO589840:KIO589846 KSK589840:KSK589846 LCG589840:LCG589846 LMC589840:LMC589846 LVY589840:LVY589846 MFU589840:MFU589846 MPQ589840:MPQ589846 MZM589840:MZM589846 NJI589840:NJI589846 NTE589840:NTE589846 ODA589840:ODA589846 OMW589840:OMW589846 OWS589840:OWS589846 PGO589840:PGO589846 PQK589840:PQK589846 QAG589840:QAG589846 QKC589840:QKC589846 QTY589840:QTY589846 RDU589840:RDU589846 RNQ589840:RNQ589846 RXM589840:RXM589846 SHI589840:SHI589846 SRE589840:SRE589846 TBA589840:TBA589846 TKW589840:TKW589846 TUS589840:TUS589846 UEO589840:UEO589846 UOK589840:UOK589846 UYG589840:UYG589846 VIC589840:VIC589846 VRY589840:VRY589846 WBU589840:WBU589846 WLQ589840:WLQ589846 WVM589840:WVM589846 E655376:E655382 JA655376:JA655382 SW655376:SW655382 ACS655376:ACS655382 AMO655376:AMO655382 AWK655376:AWK655382 BGG655376:BGG655382 BQC655376:BQC655382 BZY655376:BZY655382 CJU655376:CJU655382 CTQ655376:CTQ655382 DDM655376:DDM655382 DNI655376:DNI655382 DXE655376:DXE655382 EHA655376:EHA655382 EQW655376:EQW655382 FAS655376:FAS655382 FKO655376:FKO655382 FUK655376:FUK655382 GEG655376:GEG655382 GOC655376:GOC655382 GXY655376:GXY655382 HHU655376:HHU655382 HRQ655376:HRQ655382 IBM655376:IBM655382 ILI655376:ILI655382 IVE655376:IVE655382 JFA655376:JFA655382 JOW655376:JOW655382 JYS655376:JYS655382 KIO655376:KIO655382 KSK655376:KSK655382 LCG655376:LCG655382 LMC655376:LMC655382 LVY655376:LVY655382 MFU655376:MFU655382 MPQ655376:MPQ655382 MZM655376:MZM655382 NJI655376:NJI655382 NTE655376:NTE655382 ODA655376:ODA655382 OMW655376:OMW655382 OWS655376:OWS655382 PGO655376:PGO655382 PQK655376:PQK655382 QAG655376:QAG655382 QKC655376:QKC655382 QTY655376:QTY655382 RDU655376:RDU655382 RNQ655376:RNQ655382 RXM655376:RXM655382 SHI655376:SHI655382 SRE655376:SRE655382 TBA655376:TBA655382 TKW655376:TKW655382 TUS655376:TUS655382 UEO655376:UEO655382 UOK655376:UOK655382 UYG655376:UYG655382 VIC655376:VIC655382 VRY655376:VRY655382 WBU655376:WBU655382 WLQ655376:WLQ655382 WVM655376:WVM655382 E720912:E720918 JA720912:JA720918 SW720912:SW720918 ACS720912:ACS720918 AMO720912:AMO720918 AWK720912:AWK720918 BGG720912:BGG720918 BQC720912:BQC720918 BZY720912:BZY720918 CJU720912:CJU720918 CTQ720912:CTQ720918 DDM720912:DDM720918 DNI720912:DNI720918 DXE720912:DXE720918 EHA720912:EHA720918 EQW720912:EQW720918 FAS720912:FAS720918 FKO720912:FKO720918 FUK720912:FUK720918 GEG720912:GEG720918 GOC720912:GOC720918 GXY720912:GXY720918 HHU720912:HHU720918 HRQ720912:HRQ720918 IBM720912:IBM720918 ILI720912:ILI720918 IVE720912:IVE720918 JFA720912:JFA720918 JOW720912:JOW720918 JYS720912:JYS720918 KIO720912:KIO720918 KSK720912:KSK720918 LCG720912:LCG720918 LMC720912:LMC720918 LVY720912:LVY720918 MFU720912:MFU720918 MPQ720912:MPQ720918 MZM720912:MZM720918 NJI720912:NJI720918 NTE720912:NTE720918 ODA720912:ODA720918 OMW720912:OMW720918 OWS720912:OWS720918 PGO720912:PGO720918 PQK720912:PQK720918 QAG720912:QAG720918 QKC720912:QKC720918 QTY720912:QTY720918 RDU720912:RDU720918 RNQ720912:RNQ720918 RXM720912:RXM720918 SHI720912:SHI720918 SRE720912:SRE720918 TBA720912:TBA720918 TKW720912:TKW720918 TUS720912:TUS720918 UEO720912:UEO720918 UOK720912:UOK720918 UYG720912:UYG720918 VIC720912:VIC720918 VRY720912:VRY720918 WBU720912:WBU720918 WLQ720912:WLQ720918 WVM720912:WVM720918 E786448:E786454 JA786448:JA786454 SW786448:SW786454 ACS786448:ACS786454 AMO786448:AMO786454 AWK786448:AWK786454 BGG786448:BGG786454 BQC786448:BQC786454 BZY786448:BZY786454 CJU786448:CJU786454 CTQ786448:CTQ786454 DDM786448:DDM786454 DNI786448:DNI786454 DXE786448:DXE786454 EHA786448:EHA786454 EQW786448:EQW786454 FAS786448:FAS786454 FKO786448:FKO786454 FUK786448:FUK786454 GEG786448:GEG786454 GOC786448:GOC786454 GXY786448:GXY786454 HHU786448:HHU786454 HRQ786448:HRQ786454 IBM786448:IBM786454 ILI786448:ILI786454 IVE786448:IVE786454 JFA786448:JFA786454 JOW786448:JOW786454 JYS786448:JYS786454 KIO786448:KIO786454 KSK786448:KSK786454 LCG786448:LCG786454 LMC786448:LMC786454 LVY786448:LVY786454 MFU786448:MFU786454 MPQ786448:MPQ786454 MZM786448:MZM786454 NJI786448:NJI786454 NTE786448:NTE786454 ODA786448:ODA786454 OMW786448:OMW786454 OWS786448:OWS786454 PGO786448:PGO786454 PQK786448:PQK786454 QAG786448:QAG786454 QKC786448:QKC786454 QTY786448:QTY786454 RDU786448:RDU786454 RNQ786448:RNQ786454 RXM786448:RXM786454 SHI786448:SHI786454 SRE786448:SRE786454 TBA786448:TBA786454 TKW786448:TKW786454 TUS786448:TUS786454 UEO786448:UEO786454 UOK786448:UOK786454 UYG786448:UYG786454 VIC786448:VIC786454 VRY786448:VRY786454 WBU786448:WBU786454 WLQ786448:WLQ786454 WVM786448:WVM786454 E851984:E851990 JA851984:JA851990 SW851984:SW851990 ACS851984:ACS851990 AMO851984:AMO851990 AWK851984:AWK851990 BGG851984:BGG851990 BQC851984:BQC851990 BZY851984:BZY851990 CJU851984:CJU851990 CTQ851984:CTQ851990 DDM851984:DDM851990 DNI851984:DNI851990 DXE851984:DXE851990 EHA851984:EHA851990 EQW851984:EQW851990 FAS851984:FAS851990 FKO851984:FKO851990 FUK851984:FUK851990 GEG851984:GEG851990 GOC851984:GOC851990 GXY851984:GXY851990 HHU851984:HHU851990 HRQ851984:HRQ851990 IBM851984:IBM851990 ILI851984:ILI851990 IVE851984:IVE851990 JFA851984:JFA851990 JOW851984:JOW851990 JYS851984:JYS851990 KIO851984:KIO851990 KSK851984:KSK851990 LCG851984:LCG851990 LMC851984:LMC851990 LVY851984:LVY851990 MFU851984:MFU851990 MPQ851984:MPQ851990 MZM851984:MZM851990 NJI851984:NJI851990 NTE851984:NTE851990 ODA851984:ODA851990 OMW851984:OMW851990 OWS851984:OWS851990 PGO851984:PGO851990 PQK851984:PQK851990 QAG851984:QAG851990 QKC851984:QKC851990 QTY851984:QTY851990 RDU851984:RDU851990 RNQ851984:RNQ851990 RXM851984:RXM851990 SHI851984:SHI851990 SRE851984:SRE851990 TBA851984:TBA851990 TKW851984:TKW851990 TUS851984:TUS851990 UEO851984:UEO851990 UOK851984:UOK851990 UYG851984:UYG851990 VIC851984:VIC851990 VRY851984:VRY851990 WBU851984:WBU851990 WLQ851984:WLQ851990 WVM851984:WVM851990 E917520:E917526 JA917520:JA917526 SW917520:SW917526 ACS917520:ACS917526 AMO917520:AMO917526 AWK917520:AWK917526 BGG917520:BGG917526 BQC917520:BQC917526 BZY917520:BZY917526 CJU917520:CJU917526 CTQ917520:CTQ917526 DDM917520:DDM917526 DNI917520:DNI917526 DXE917520:DXE917526 EHA917520:EHA917526 EQW917520:EQW917526 FAS917520:FAS917526 FKO917520:FKO917526 FUK917520:FUK917526 GEG917520:GEG917526 GOC917520:GOC917526 GXY917520:GXY917526 HHU917520:HHU917526 HRQ917520:HRQ917526 IBM917520:IBM917526 ILI917520:ILI917526 IVE917520:IVE917526 JFA917520:JFA917526 JOW917520:JOW917526 JYS917520:JYS917526 KIO917520:KIO917526 KSK917520:KSK917526 LCG917520:LCG917526 LMC917520:LMC917526 LVY917520:LVY917526 MFU917520:MFU917526 MPQ917520:MPQ917526 MZM917520:MZM917526 NJI917520:NJI917526 NTE917520:NTE917526 ODA917520:ODA917526 OMW917520:OMW917526 OWS917520:OWS917526 PGO917520:PGO917526 PQK917520:PQK917526 QAG917520:QAG917526 QKC917520:QKC917526 QTY917520:QTY917526 RDU917520:RDU917526 RNQ917520:RNQ917526 RXM917520:RXM917526 SHI917520:SHI917526 SRE917520:SRE917526 TBA917520:TBA917526 TKW917520:TKW917526 TUS917520:TUS917526 UEO917520:UEO917526 UOK917520:UOK917526 UYG917520:UYG917526 VIC917520:VIC917526 VRY917520:VRY917526 WBU917520:WBU917526 WLQ917520:WLQ917526 WVM917520:WVM917526 E983056:E983062 JA983056:JA983062 SW983056:SW983062 ACS983056:ACS983062 AMO983056:AMO983062 AWK983056:AWK983062 BGG983056:BGG983062 BQC983056:BQC983062 BZY983056:BZY983062 CJU983056:CJU983062 CTQ983056:CTQ983062 DDM983056:DDM983062 DNI983056:DNI983062 DXE983056:DXE983062 EHA983056:EHA983062 EQW983056:EQW983062 FAS983056:FAS983062 FKO983056:FKO983062 FUK983056:FUK983062 GEG983056:GEG983062 GOC983056:GOC983062 GXY983056:GXY983062 HHU983056:HHU983062 HRQ983056:HRQ983062 IBM983056:IBM983062 ILI983056:ILI983062 IVE983056:IVE983062 JFA983056:JFA983062 JOW983056:JOW983062 JYS983056:JYS983062 KIO983056:KIO983062 KSK983056:KSK983062 LCG983056:LCG983062 LMC983056:LMC983062 LVY983056:LVY983062 MFU983056:MFU983062 MPQ983056:MPQ983062 MZM983056:MZM983062 NJI983056:NJI983062 NTE983056:NTE983062 ODA983056:ODA983062 OMW983056:OMW983062 OWS983056:OWS983062 PGO983056:PGO983062 PQK983056:PQK983062 QAG983056:QAG983062 QKC983056:QKC983062 QTY983056:QTY983062 RDU983056:RDU983062 RNQ983056:RNQ983062 RXM983056:RXM983062 SHI983056:SHI983062 SRE983056:SRE983062 TBA983056:TBA983062 TKW983056:TKW983062 TUS983056:TUS983062 UEO983056:UEO983062 UOK983056:UOK983062 UYG983056:UYG983062 VIC983056:VIC983062 VRY983056:VRY983062 WBU983056:WBU983062 WLQ983056:WLQ983062 JA23:JA30" xr:uid="{00000000-0002-0000-0100-000000000000}">
      <formula1>"Low, Medium, High"</formula1>
    </dataValidation>
    <dataValidation type="list" showInputMessage="1" showErrorMessage="1" sqref="VSC983056:VSC983062 SX14:SX21 ACT14:ACT21 AMP14:AMP21 AWL14:AWL21 BGH14:BGH21 BQD14:BQD21 BZZ14:BZZ21 CJV14:CJV21 CTR14:CTR21 DDN14:DDN21 DNJ14:DNJ21 DXF14:DXF21 EHB14:EHB21 EQX14:EQX21 FAT14:FAT21 FKP14:FKP21 FUL14:FUL21 GEH14:GEH21 GOD14:GOD21 GXZ14:GXZ21 HHV14:HHV21 HRR14:HRR21 IBN14:IBN21 ILJ14:ILJ21 IVF14:IVF21 JFB14:JFB21 JOX14:JOX21 JYT14:JYT21 KIP14:KIP21 KSL14:KSL21 LCH14:LCH21 LMD14:LMD21 LVZ14:LVZ21 MFV14:MFV21 MPR14:MPR21 MZN14:MZN21 NJJ14:NJJ21 NTF14:NTF21 ODB14:ODB21 OMX14:OMX21 OWT14:OWT21 PGP14:PGP21 PQL14:PQL21 QAH14:QAH21 QKD14:QKD21 QTZ14:QTZ21 RDV14:RDV21 RNR14:RNR21 RXN14:RXN21 SHJ14:SHJ21 SRF14:SRF21 TBB14:TBB21 TKX14:TKX21 TUT14:TUT21 UEP14:UEP21 UOL14:UOL21 UYH14:UYH21 VID14:VID21 VRZ14:VRZ21 WBV14:WBV21 WLR14:WLR21 WVN14:WVN21 JE14:JE21 F65552:F65558 JB65552:JB65558 SX65552:SX65558 ACT65552:ACT65558 AMP65552:AMP65558 AWL65552:AWL65558 BGH65552:BGH65558 BQD65552:BQD65558 BZZ65552:BZZ65558 CJV65552:CJV65558 CTR65552:CTR65558 DDN65552:DDN65558 DNJ65552:DNJ65558 DXF65552:DXF65558 EHB65552:EHB65558 EQX65552:EQX65558 FAT65552:FAT65558 FKP65552:FKP65558 FUL65552:FUL65558 GEH65552:GEH65558 GOD65552:GOD65558 GXZ65552:GXZ65558 HHV65552:HHV65558 HRR65552:HRR65558 IBN65552:IBN65558 ILJ65552:ILJ65558 IVF65552:IVF65558 JFB65552:JFB65558 JOX65552:JOX65558 JYT65552:JYT65558 KIP65552:KIP65558 KSL65552:KSL65558 LCH65552:LCH65558 LMD65552:LMD65558 LVZ65552:LVZ65558 MFV65552:MFV65558 MPR65552:MPR65558 MZN65552:MZN65558 NJJ65552:NJJ65558 NTF65552:NTF65558 ODB65552:ODB65558 OMX65552:OMX65558 OWT65552:OWT65558 PGP65552:PGP65558 PQL65552:PQL65558 QAH65552:QAH65558 QKD65552:QKD65558 QTZ65552:QTZ65558 RDV65552:RDV65558 RNR65552:RNR65558 RXN65552:RXN65558 SHJ65552:SHJ65558 SRF65552:SRF65558 TBB65552:TBB65558 TKX65552:TKX65558 TUT65552:TUT65558 UEP65552:UEP65558 UOL65552:UOL65558 UYH65552:UYH65558 VID65552:VID65558 VRZ65552:VRZ65558 WBV65552:WBV65558 WLR65552:WLR65558 WVN65552:WVN65558 F131088:F131094 JB131088:JB131094 SX131088:SX131094 ACT131088:ACT131094 AMP131088:AMP131094 AWL131088:AWL131094 BGH131088:BGH131094 BQD131088:BQD131094 BZZ131088:BZZ131094 CJV131088:CJV131094 CTR131088:CTR131094 DDN131088:DDN131094 DNJ131088:DNJ131094 DXF131088:DXF131094 EHB131088:EHB131094 EQX131088:EQX131094 FAT131088:FAT131094 FKP131088:FKP131094 FUL131088:FUL131094 GEH131088:GEH131094 GOD131088:GOD131094 GXZ131088:GXZ131094 HHV131088:HHV131094 HRR131088:HRR131094 IBN131088:IBN131094 ILJ131088:ILJ131094 IVF131088:IVF131094 JFB131088:JFB131094 JOX131088:JOX131094 JYT131088:JYT131094 KIP131088:KIP131094 KSL131088:KSL131094 LCH131088:LCH131094 LMD131088:LMD131094 LVZ131088:LVZ131094 MFV131088:MFV131094 MPR131088:MPR131094 MZN131088:MZN131094 NJJ131088:NJJ131094 NTF131088:NTF131094 ODB131088:ODB131094 OMX131088:OMX131094 OWT131088:OWT131094 PGP131088:PGP131094 PQL131088:PQL131094 QAH131088:QAH131094 QKD131088:QKD131094 QTZ131088:QTZ131094 RDV131088:RDV131094 RNR131088:RNR131094 RXN131088:RXN131094 SHJ131088:SHJ131094 SRF131088:SRF131094 TBB131088:TBB131094 TKX131088:TKX131094 TUT131088:TUT131094 UEP131088:UEP131094 UOL131088:UOL131094 UYH131088:UYH131094 VID131088:VID131094 VRZ131088:VRZ131094 WBV131088:WBV131094 WLR131088:WLR131094 WVN131088:WVN131094 F196624:F196630 JB196624:JB196630 SX196624:SX196630 ACT196624:ACT196630 AMP196624:AMP196630 AWL196624:AWL196630 BGH196624:BGH196630 BQD196624:BQD196630 BZZ196624:BZZ196630 CJV196624:CJV196630 CTR196624:CTR196630 DDN196624:DDN196630 DNJ196624:DNJ196630 DXF196624:DXF196630 EHB196624:EHB196630 EQX196624:EQX196630 FAT196624:FAT196630 FKP196624:FKP196630 FUL196624:FUL196630 GEH196624:GEH196630 GOD196624:GOD196630 GXZ196624:GXZ196630 HHV196624:HHV196630 HRR196624:HRR196630 IBN196624:IBN196630 ILJ196624:ILJ196630 IVF196624:IVF196630 JFB196624:JFB196630 JOX196624:JOX196630 JYT196624:JYT196630 KIP196624:KIP196630 KSL196624:KSL196630 LCH196624:LCH196630 LMD196624:LMD196630 LVZ196624:LVZ196630 MFV196624:MFV196630 MPR196624:MPR196630 MZN196624:MZN196630 NJJ196624:NJJ196630 NTF196624:NTF196630 ODB196624:ODB196630 OMX196624:OMX196630 OWT196624:OWT196630 PGP196624:PGP196630 PQL196624:PQL196630 QAH196624:QAH196630 QKD196624:QKD196630 QTZ196624:QTZ196630 RDV196624:RDV196630 RNR196624:RNR196630 RXN196624:RXN196630 SHJ196624:SHJ196630 SRF196624:SRF196630 TBB196624:TBB196630 TKX196624:TKX196630 TUT196624:TUT196630 UEP196624:UEP196630 UOL196624:UOL196630 UYH196624:UYH196630 VID196624:VID196630 VRZ196624:VRZ196630 WBV196624:WBV196630 WLR196624:WLR196630 WVN196624:WVN196630 F262160:F262166 JB262160:JB262166 SX262160:SX262166 ACT262160:ACT262166 AMP262160:AMP262166 AWL262160:AWL262166 BGH262160:BGH262166 BQD262160:BQD262166 BZZ262160:BZZ262166 CJV262160:CJV262166 CTR262160:CTR262166 DDN262160:DDN262166 DNJ262160:DNJ262166 DXF262160:DXF262166 EHB262160:EHB262166 EQX262160:EQX262166 FAT262160:FAT262166 FKP262160:FKP262166 FUL262160:FUL262166 GEH262160:GEH262166 GOD262160:GOD262166 GXZ262160:GXZ262166 HHV262160:HHV262166 HRR262160:HRR262166 IBN262160:IBN262166 ILJ262160:ILJ262166 IVF262160:IVF262166 JFB262160:JFB262166 JOX262160:JOX262166 JYT262160:JYT262166 KIP262160:KIP262166 KSL262160:KSL262166 LCH262160:LCH262166 LMD262160:LMD262166 LVZ262160:LVZ262166 MFV262160:MFV262166 MPR262160:MPR262166 MZN262160:MZN262166 NJJ262160:NJJ262166 NTF262160:NTF262166 ODB262160:ODB262166 OMX262160:OMX262166 OWT262160:OWT262166 PGP262160:PGP262166 PQL262160:PQL262166 QAH262160:QAH262166 QKD262160:QKD262166 QTZ262160:QTZ262166 RDV262160:RDV262166 RNR262160:RNR262166 RXN262160:RXN262166 SHJ262160:SHJ262166 SRF262160:SRF262166 TBB262160:TBB262166 TKX262160:TKX262166 TUT262160:TUT262166 UEP262160:UEP262166 UOL262160:UOL262166 UYH262160:UYH262166 VID262160:VID262166 VRZ262160:VRZ262166 WBV262160:WBV262166 WLR262160:WLR262166 WVN262160:WVN262166 F327696:F327702 JB327696:JB327702 SX327696:SX327702 ACT327696:ACT327702 AMP327696:AMP327702 AWL327696:AWL327702 BGH327696:BGH327702 BQD327696:BQD327702 BZZ327696:BZZ327702 CJV327696:CJV327702 CTR327696:CTR327702 DDN327696:DDN327702 DNJ327696:DNJ327702 DXF327696:DXF327702 EHB327696:EHB327702 EQX327696:EQX327702 FAT327696:FAT327702 FKP327696:FKP327702 FUL327696:FUL327702 GEH327696:GEH327702 GOD327696:GOD327702 GXZ327696:GXZ327702 HHV327696:HHV327702 HRR327696:HRR327702 IBN327696:IBN327702 ILJ327696:ILJ327702 IVF327696:IVF327702 JFB327696:JFB327702 JOX327696:JOX327702 JYT327696:JYT327702 KIP327696:KIP327702 KSL327696:KSL327702 LCH327696:LCH327702 LMD327696:LMD327702 LVZ327696:LVZ327702 MFV327696:MFV327702 MPR327696:MPR327702 MZN327696:MZN327702 NJJ327696:NJJ327702 NTF327696:NTF327702 ODB327696:ODB327702 OMX327696:OMX327702 OWT327696:OWT327702 PGP327696:PGP327702 PQL327696:PQL327702 QAH327696:QAH327702 QKD327696:QKD327702 QTZ327696:QTZ327702 RDV327696:RDV327702 RNR327696:RNR327702 RXN327696:RXN327702 SHJ327696:SHJ327702 SRF327696:SRF327702 TBB327696:TBB327702 TKX327696:TKX327702 TUT327696:TUT327702 UEP327696:UEP327702 UOL327696:UOL327702 UYH327696:UYH327702 VID327696:VID327702 VRZ327696:VRZ327702 WBV327696:WBV327702 WLR327696:WLR327702 WVN327696:WVN327702 F393232:F393238 JB393232:JB393238 SX393232:SX393238 ACT393232:ACT393238 AMP393232:AMP393238 AWL393232:AWL393238 BGH393232:BGH393238 BQD393232:BQD393238 BZZ393232:BZZ393238 CJV393232:CJV393238 CTR393232:CTR393238 DDN393232:DDN393238 DNJ393232:DNJ393238 DXF393232:DXF393238 EHB393232:EHB393238 EQX393232:EQX393238 FAT393232:FAT393238 FKP393232:FKP393238 FUL393232:FUL393238 GEH393232:GEH393238 GOD393232:GOD393238 GXZ393232:GXZ393238 HHV393232:HHV393238 HRR393232:HRR393238 IBN393232:IBN393238 ILJ393232:ILJ393238 IVF393232:IVF393238 JFB393232:JFB393238 JOX393232:JOX393238 JYT393232:JYT393238 KIP393232:KIP393238 KSL393232:KSL393238 LCH393232:LCH393238 LMD393232:LMD393238 LVZ393232:LVZ393238 MFV393232:MFV393238 MPR393232:MPR393238 MZN393232:MZN393238 NJJ393232:NJJ393238 NTF393232:NTF393238 ODB393232:ODB393238 OMX393232:OMX393238 OWT393232:OWT393238 PGP393232:PGP393238 PQL393232:PQL393238 QAH393232:QAH393238 QKD393232:QKD393238 QTZ393232:QTZ393238 RDV393232:RDV393238 RNR393232:RNR393238 RXN393232:RXN393238 SHJ393232:SHJ393238 SRF393232:SRF393238 TBB393232:TBB393238 TKX393232:TKX393238 TUT393232:TUT393238 UEP393232:UEP393238 UOL393232:UOL393238 UYH393232:UYH393238 VID393232:VID393238 VRZ393232:VRZ393238 WBV393232:WBV393238 WLR393232:WLR393238 WVN393232:WVN393238 F458768:F458774 JB458768:JB458774 SX458768:SX458774 ACT458768:ACT458774 AMP458768:AMP458774 AWL458768:AWL458774 BGH458768:BGH458774 BQD458768:BQD458774 BZZ458768:BZZ458774 CJV458768:CJV458774 CTR458768:CTR458774 DDN458768:DDN458774 DNJ458768:DNJ458774 DXF458768:DXF458774 EHB458768:EHB458774 EQX458768:EQX458774 FAT458768:FAT458774 FKP458768:FKP458774 FUL458768:FUL458774 GEH458768:GEH458774 GOD458768:GOD458774 GXZ458768:GXZ458774 HHV458768:HHV458774 HRR458768:HRR458774 IBN458768:IBN458774 ILJ458768:ILJ458774 IVF458768:IVF458774 JFB458768:JFB458774 JOX458768:JOX458774 JYT458768:JYT458774 KIP458768:KIP458774 KSL458768:KSL458774 LCH458768:LCH458774 LMD458768:LMD458774 LVZ458768:LVZ458774 MFV458768:MFV458774 MPR458768:MPR458774 MZN458768:MZN458774 NJJ458768:NJJ458774 NTF458768:NTF458774 ODB458768:ODB458774 OMX458768:OMX458774 OWT458768:OWT458774 PGP458768:PGP458774 PQL458768:PQL458774 QAH458768:QAH458774 QKD458768:QKD458774 QTZ458768:QTZ458774 RDV458768:RDV458774 RNR458768:RNR458774 RXN458768:RXN458774 SHJ458768:SHJ458774 SRF458768:SRF458774 TBB458768:TBB458774 TKX458768:TKX458774 TUT458768:TUT458774 UEP458768:UEP458774 UOL458768:UOL458774 UYH458768:UYH458774 VID458768:VID458774 VRZ458768:VRZ458774 WBV458768:WBV458774 WLR458768:WLR458774 WVN458768:WVN458774 F524304:F524310 JB524304:JB524310 SX524304:SX524310 ACT524304:ACT524310 AMP524304:AMP524310 AWL524304:AWL524310 BGH524304:BGH524310 BQD524304:BQD524310 BZZ524304:BZZ524310 CJV524304:CJV524310 CTR524304:CTR524310 DDN524304:DDN524310 DNJ524304:DNJ524310 DXF524304:DXF524310 EHB524304:EHB524310 EQX524304:EQX524310 FAT524304:FAT524310 FKP524304:FKP524310 FUL524304:FUL524310 GEH524304:GEH524310 GOD524304:GOD524310 GXZ524304:GXZ524310 HHV524304:HHV524310 HRR524304:HRR524310 IBN524304:IBN524310 ILJ524304:ILJ524310 IVF524304:IVF524310 JFB524304:JFB524310 JOX524304:JOX524310 JYT524304:JYT524310 KIP524304:KIP524310 KSL524304:KSL524310 LCH524304:LCH524310 LMD524304:LMD524310 LVZ524304:LVZ524310 MFV524304:MFV524310 MPR524304:MPR524310 MZN524304:MZN524310 NJJ524304:NJJ524310 NTF524304:NTF524310 ODB524304:ODB524310 OMX524304:OMX524310 OWT524304:OWT524310 PGP524304:PGP524310 PQL524304:PQL524310 QAH524304:QAH524310 QKD524304:QKD524310 QTZ524304:QTZ524310 RDV524304:RDV524310 RNR524304:RNR524310 RXN524304:RXN524310 SHJ524304:SHJ524310 SRF524304:SRF524310 TBB524304:TBB524310 TKX524304:TKX524310 TUT524304:TUT524310 UEP524304:UEP524310 UOL524304:UOL524310 UYH524304:UYH524310 VID524304:VID524310 VRZ524304:VRZ524310 WBV524304:WBV524310 WLR524304:WLR524310 WVN524304:WVN524310 F589840:F589846 JB589840:JB589846 SX589840:SX589846 ACT589840:ACT589846 AMP589840:AMP589846 AWL589840:AWL589846 BGH589840:BGH589846 BQD589840:BQD589846 BZZ589840:BZZ589846 CJV589840:CJV589846 CTR589840:CTR589846 DDN589840:DDN589846 DNJ589840:DNJ589846 DXF589840:DXF589846 EHB589840:EHB589846 EQX589840:EQX589846 FAT589840:FAT589846 FKP589840:FKP589846 FUL589840:FUL589846 GEH589840:GEH589846 GOD589840:GOD589846 GXZ589840:GXZ589846 HHV589840:HHV589846 HRR589840:HRR589846 IBN589840:IBN589846 ILJ589840:ILJ589846 IVF589840:IVF589846 JFB589840:JFB589846 JOX589840:JOX589846 JYT589840:JYT589846 KIP589840:KIP589846 KSL589840:KSL589846 LCH589840:LCH589846 LMD589840:LMD589846 LVZ589840:LVZ589846 MFV589840:MFV589846 MPR589840:MPR589846 MZN589840:MZN589846 NJJ589840:NJJ589846 NTF589840:NTF589846 ODB589840:ODB589846 OMX589840:OMX589846 OWT589840:OWT589846 PGP589840:PGP589846 PQL589840:PQL589846 QAH589840:QAH589846 QKD589840:QKD589846 QTZ589840:QTZ589846 RDV589840:RDV589846 RNR589840:RNR589846 RXN589840:RXN589846 SHJ589840:SHJ589846 SRF589840:SRF589846 TBB589840:TBB589846 TKX589840:TKX589846 TUT589840:TUT589846 UEP589840:UEP589846 UOL589840:UOL589846 UYH589840:UYH589846 VID589840:VID589846 VRZ589840:VRZ589846 WBV589840:WBV589846 WLR589840:WLR589846 WVN589840:WVN589846 F655376:F655382 JB655376:JB655382 SX655376:SX655382 ACT655376:ACT655382 AMP655376:AMP655382 AWL655376:AWL655382 BGH655376:BGH655382 BQD655376:BQD655382 BZZ655376:BZZ655382 CJV655376:CJV655382 CTR655376:CTR655382 DDN655376:DDN655382 DNJ655376:DNJ655382 DXF655376:DXF655382 EHB655376:EHB655382 EQX655376:EQX655382 FAT655376:FAT655382 FKP655376:FKP655382 FUL655376:FUL655382 GEH655376:GEH655382 GOD655376:GOD655382 GXZ655376:GXZ655382 HHV655376:HHV655382 HRR655376:HRR655382 IBN655376:IBN655382 ILJ655376:ILJ655382 IVF655376:IVF655382 JFB655376:JFB655382 JOX655376:JOX655382 JYT655376:JYT655382 KIP655376:KIP655382 KSL655376:KSL655382 LCH655376:LCH655382 LMD655376:LMD655382 LVZ655376:LVZ655382 MFV655376:MFV655382 MPR655376:MPR655382 MZN655376:MZN655382 NJJ655376:NJJ655382 NTF655376:NTF655382 ODB655376:ODB655382 OMX655376:OMX655382 OWT655376:OWT655382 PGP655376:PGP655382 PQL655376:PQL655382 QAH655376:QAH655382 QKD655376:QKD655382 QTZ655376:QTZ655382 RDV655376:RDV655382 RNR655376:RNR655382 RXN655376:RXN655382 SHJ655376:SHJ655382 SRF655376:SRF655382 TBB655376:TBB655382 TKX655376:TKX655382 TUT655376:TUT655382 UEP655376:UEP655382 UOL655376:UOL655382 UYH655376:UYH655382 VID655376:VID655382 VRZ655376:VRZ655382 WBV655376:WBV655382 WLR655376:WLR655382 WVN655376:WVN655382 F720912:F720918 JB720912:JB720918 SX720912:SX720918 ACT720912:ACT720918 AMP720912:AMP720918 AWL720912:AWL720918 BGH720912:BGH720918 BQD720912:BQD720918 BZZ720912:BZZ720918 CJV720912:CJV720918 CTR720912:CTR720918 DDN720912:DDN720918 DNJ720912:DNJ720918 DXF720912:DXF720918 EHB720912:EHB720918 EQX720912:EQX720918 FAT720912:FAT720918 FKP720912:FKP720918 FUL720912:FUL720918 GEH720912:GEH720918 GOD720912:GOD720918 GXZ720912:GXZ720918 HHV720912:HHV720918 HRR720912:HRR720918 IBN720912:IBN720918 ILJ720912:ILJ720918 IVF720912:IVF720918 JFB720912:JFB720918 JOX720912:JOX720918 JYT720912:JYT720918 KIP720912:KIP720918 KSL720912:KSL720918 LCH720912:LCH720918 LMD720912:LMD720918 LVZ720912:LVZ720918 MFV720912:MFV720918 MPR720912:MPR720918 MZN720912:MZN720918 NJJ720912:NJJ720918 NTF720912:NTF720918 ODB720912:ODB720918 OMX720912:OMX720918 OWT720912:OWT720918 PGP720912:PGP720918 PQL720912:PQL720918 QAH720912:QAH720918 QKD720912:QKD720918 QTZ720912:QTZ720918 RDV720912:RDV720918 RNR720912:RNR720918 RXN720912:RXN720918 SHJ720912:SHJ720918 SRF720912:SRF720918 TBB720912:TBB720918 TKX720912:TKX720918 TUT720912:TUT720918 UEP720912:UEP720918 UOL720912:UOL720918 UYH720912:UYH720918 VID720912:VID720918 VRZ720912:VRZ720918 WBV720912:WBV720918 WLR720912:WLR720918 WVN720912:WVN720918 F786448:F786454 JB786448:JB786454 SX786448:SX786454 ACT786448:ACT786454 AMP786448:AMP786454 AWL786448:AWL786454 BGH786448:BGH786454 BQD786448:BQD786454 BZZ786448:BZZ786454 CJV786448:CJV786454 CTR786448:CTR786454 DDN786448:DDN786454 DNJ786448:DNJ786454 DXF786448:DXF786454 EHB786448:EHB786454 EQX786448:EQX786454 FAT786448:FAT786454 FKP786448:FKP786454 FUL786448:FUL786454 GEH786448:GEH786454 GOD786448:GOD786454 GXZ786448:GXZ786454 HHV786448:HHV786454 HRR786448:HRR786454 IBN786448:IBN786454 ILJ786448:ILJ786454 IVF786448:IVF786454 JFB786448:JFB786454 JOX786448:JOX786454 JYT786448:JYT786454 KIP786448:KIP786454 KSL786448:KSL786454 LCH786448:LCH786454 LMD786448:LMD786454 LVZ786448:LVZ786454 MFV786448:MFV786454 MPR786448:MPR786454 MZN786448:MZN786454 NJJ786448:NJJ786454 NTF786448:NTF786454 ODB786448:ODB786454 OMX786448:OMX786454 OWT786448:OWT786454 PGP786448:PGP786454 PQL786448:PQL786454 QAH786448:QAH786454 QKD786448:QKD786454 QTZ786448:QTZ786454 RDV786448:RDV786454 RNR786448:RNR786454 RXN786448:RXN786454 SHJ786448:SHJ786454 SRF786448:SRF786454 TBB786448:TBB786454 TKX786448:TKX786454 TUT786448:TUT786454 UEP786448:UEP786454 UOL786448:UOL786454 UYH786448:UYH786454 VID786448:VID786454 VRZ786448:VRZ786454 WBV786448:WBV786454 WLR786448:WLR786454 WVN786448:WVN786454 F851984:F851990 JB851984:JB851990 SX851984:SX851990 ACT851984:ACT851990 AMP851984:AMP851990 AWL851984:AWL851990 BGH851984:BGH851990 BQD851984:BQD851990 BZZ851984:BZZ851990 CJV851984:CJV851990 CTR851984:CTR851990 DDN851984:DDN851990 DNJ851984:DNJ851990 DXF851984:DXF851990 EHB851984:EHB851990 EQX851984:EQX851990 FAT851984:FAT851990 FKP851984:FKP851990 FUL851984:FUL851990 GEH851984:GEH851990 GOD851984:GOD851990 GXZ851984:GXZ851990 HHV851984:HHV851990 HRR851984:HRR851990 IBN851984:IBN851990 ILJ851984:ILJ851990 IVF851984:IVF851990 JFB851984:JFB851990 JOX851984:JOX851990 JYT851984:JYT851990 KIP851984:KIP851990 KSL851984:KSL851990 LCH851984:LCH851990 LMD851984:LMD851990 LVZ851984:LVZ851990 MFV851984:MFV851990 MPR851984:MPR851990 MZN851984:MZN851990 NJJ851984:NJJ851990 NTF851984:NTF851990 ODB851984:ODB851990 OMX851984:OMX851990 OWT851984:OWT851990 PGP851984:PGP851990 PQL851984:PQL851990 QAH851984:QAH851990 QKD851984:QKD851990 QTZ851984:QTZ851990 RDV851984:RDV851990 RNR851984:RNR851990 RXN851984:RXN851990 SHJ851984:SHJ851990 SRF851984:SRF851990 TBB851984:TBB851990 TKX851984:TKX851990 TUT851984:TUT851990 UEP851984:UEP851990 UOL851984:UOL851990 UYH851984:UYH851990 VID851984:VID851990 VRZ851984:VRZ851990 WBV851984:WBV851990 WLR851984:WLR851990 WVN851984:WVN851990 F917520:F917526 JB917520:JB917526 SX917520:SX917526 ACT917520:ACT917526 AMP917520:AMP917526 AWL917520:AWL917526 BGH917520:BGH917526 BQD917520:BQD917526 BZZ917520:BZZ917526 CJV917520:CJV917526 CTR917520:CTR917526 DDN917520:DDN917526 DNJ917520:DNJ917526 DXF917520:DXF917526 EHB917520:EHB917526 EQX917520:EQX917526 FAT917520:FAT917526 FKP917520:FKP917526 FUL917520:FUL917526 GEH917520:GEH917526 GOD917520:GOD917526 GXZ917520:GXZ917526 HHV917520:HHV917526 HRR917520:HRR917526 IBN917520:IBN917526 ILJ917520:ILJ917526 IVF917520:IVF917526 JFB917520:JFB917526 JOX917520:JOX917526 JYT917520:JYT917526 KIP917520:KIP917526 KSL917520:KSL917526 LCH917520:LCH917526 LMD917520:LMD917526 LVZ917520:LVZ917526 MFV917520:MFV917526 MPR917520:MPR917526 MZN917520:MZN917526 NJJ917520:NJJ917526 NTF917520:NTF917526 ODB917520:ODB917526 OMX917520:OMX917526 OWT917520:OWT917526 PGP917520:PGP917526 PQL917520:PQL917526 QAH917520:QAH917526 QKD917520:QKD917526 QTZ917520:QTZ917526 RDV917520:RDV917526 RNR917520:RNR917526 RXN917520:RXN917526 SHJ917520:SHJ917526 SRF917520:SRF917526 TBB917520:TBB917526 TKX917520:TKX917526 TUT917520:TUT917526 UEP917520:UEP917526 UOL917520:UOL917526 UYH917520:UYH917526 VID917520:VID917526 VRZ917520:VRZ917526 WBV917520:WBV917526 WLR917520:WLR917526 WVN917520:WVN917526 F983056:F983062 JB983056:JB983062 SX983056:SX983062 ACT983056:ACT983062 AMP983056:AMP983062 AWL983056:AWL983062 BGH983056:BGH983062 BQD983056:BQD983062 BZZ983056:BZZ983062 CJV983056:CJV983062 CTR983056:CTR983062 DDN983056:DDN983062 DNJ983056:DNJ983062 DXF983056:DXF983062 EHB983056:EHB983062 EQX983056:EQX983062 FAT983056:FAT983062 FKP983056:FKP983062 FUL983056:FUL983062 GEH983056:GEH983062 GOD983056:GOD983062 GXZ983056:GXZ983062 HHV983056:HHV983062 HRR983056:HRR983062 IBN983056:IBN983062 ILJ983056:ILJ983062 IVF983056:IVF983062 JFB983056:JFB983062 JOX983056:JOX983062 JYT983056:JYT983062 KIP983056:KIP983062 KSL983056:KSL983062 LCH983056:LCH983062 LMD983056:LMD983062 LVZ983056:LVZ983062 MFV983056:MFV983062 MPR983056:MPR983062 MZN983056:MZN983062 NJJ983056:NJJ983062 NTF983056:NTF983062 ODB983056:ODB983062 OMX983056:OMX983062 OWT983056:OWT983062 PGP983056:PGP983062 PQL983056:PQL983062 QAH983056:QAH983062 QKD983056:QKD983062 QTZ983056:QTZ983062 RDV983056:RDV983062 RNR983056:RNR983062 RXN983056:RXN983062 SHJ983056:SHJ983062 SRF983056:SRF983062 TBB983056:TBB983062 TKX983056:TKX983062 TUT983056:TUT983062 UEP983056:UEP983062 UOL983056:UOL983062 UYH983056:UYH983062 VID983056:VID983062 VRZ983056:VRZ983062 WBV983056:WBV983062 WLR983056:WLR983062 WVN983056:WVN983062 WBY983056:WBY983062 ACW23:ACW30 AMS23:AMS30 AWO23:AWO30 BGK23:BGK30 BQG23:BQG30 CAC23:CAC30 CJY23:CJY30 CTU23:CTU30 DDQ23:DDQ30 DNM23:DNM30 DXI23:DXI30 EHE23:EHE30 ERA23:ERA30 FAW23:FAW30 FKS23:FKS30 FUO23:FUO30 GEK23:GEK30 GOG23:GOG30 GYC23:GYC30 HHY23:HHY30 HRU23:HRU30 IBQ23:IBQ30 ILM23:ILM30 IVI23:IVI30 JFE23:JFE30 JPA23:JPA30 JYW23:JYW30 KIS23:KIS30 KSO23:KSO30 LCK23:LCK30 LMG23:LMG30 LWC23:LWC30 MFY23:MFY30 MPU23:MPU30 MZQ23:MZQ30 NJM23:NJM30 NTI23:NTI30 ODE23:ODE30 ONA23:ONA30 OWW23:OWW30 PGS23:PGS30 PQO23:PQO30 QAK23:QAK30 QKG23:QKG30 QUC23:QUC30 RDY23:RDY30 RNU23:RNU30 RXQ23:RXQ30 SHM23:SHM30 SRI23:SRI30 TBE23:TBE30 TLA23:TLA30 TUW23:TUW30 UES23:UES30 UOO23:UOO30 UYK23:UYK30 VIG23:VIG30 VSC23:VSC30 WBY23:WBY30 WLU23:WLU30 WVQ23:WVQ30 JB23:JB30 SX23:SX30 I65560:I65566 JE65560:JE65566 TA65560:TA65566 ACW65560:ACW65566 AMS65560:AMS65566 AWO65560:AWO65566 BGK65560:BGK65566 BQG65560:BQG65566 CAC65560:CAC65566 CJY65560:CJY65566 CTU65560:CTU65566 DDQ65560:DDQ65566 DNM65560:DNM65566 DXI65560:DXI65566 EHE65560:EHE65566 ERA65560:ERA65566 FAW65560:FAW65566 FKS65560:FKS65566 FUO65560:FUO65566 GEK65560:GEK65566 GOG65560:GOG65566 GYC65560:GYC65566 HHY65560:HHY65566 HRU65560:HRU65566 IBQ65560:IBQ65566 ILM65560:ILM65566 IVI65560:IVI65566 JFE65560:JFE65566 JPA65560:JPA65566 JYW65560:JYW65566 KIS65560:KIS65566 KSO65560:KSO65566 LCK65560:LCK65566 LMG65560:LMG65566 LWC65560:LWC65566 MFY65560:MFY65566 MPU65560:MPU65566 MZQ65560:MZQ65566 NJM65560:NJM65566 NTI65560:NTI65566 ODE65560:ODE65566 ONA65560:ONA65566 OWW65560:OWW65566 PGS65560:PGS65566 PQO65560:PQO65566 QAK65560:QAK65566 QKG65560:QKG65566 QUC65560:QUC65566 RDY65560:RDY65566 RNU65560:RNU65566 RXQ65560:RXQ65566 SHM65560:SHM65566 SRI65560:SRI65566 TBE65560:TBE65566 TLA65560:TLA65566 TUW65560:TUW65566 UES65560:UES65566 UOO65560:UOO65566 UYK65560:UYK65566 VIG65560:VIG65566 VSC65560:VSC65566 WBY65560:WBY65566 WLU65560:WLU65566 WVQ65560:WVQ65566 I131096:I131102 JE131096:JE131102 TA131096:TA131102 ACW131096:ACW131102 AMS131096:AMS131102 AWO131096:AWO131102 BGK131096:BGK131102 BQG131096:BQG131102 CAC131096:CAC131102 CJY131096:CJY131102 CTU131096:CTU131102 DDQ131096:DDQ131102 DNM131096:DNM131102 DXI131096:DXI131102 EHE131096:EHE131102 ERA131096:ERA131102 FAW131096:FAW131102 FKS131096:FKS131102 FUO131096:FUO131102 GEK131096:GEK131102 GOG131096:GOG131102 GYC131096:GYC131102 HHY131096:HHY131102 HRU131096:HRU131102 IBQ131096:IBQ131102 ILM131096:ILM131102 IVI131096:IVI131102 JFE131096:JFE131102 JPA131096:JPA131102 JYW131096:JYW131102 KIS131096:KIS131102 KSO131096:KSO131102 LCK131096:LCK131102 LMG131096:LMG131102 LWC131096:LWC131102 MFY131096:MFY131102 MPU131096:MPU131102 MZQ131096:MZQ131102 NJM131096:NJM131102 NTI131096:NTI131102 ODE131096:ODE131102 ONA131096:ONA131102 OWW131096:OWW131102 PGS131096:PGS131102 PQO131096:PQO131102 QAK131096:QAK131102 QKG131096:QKG131102 QUC131096:QUC131102 RDY131096:RDY131102 RNU131096:RNU131102 RXQ131096:RXQ131102 SHM131096:SHM131102 SRI131096:SRI131102 TBE131096:TBE131102 TLA131096:TLA131102 TUW131096:TUW131102 UES131096:UES131102 UOO131096:UOO131102 UYK131096:UYK131102 VIG131096:VIG131102 VSC131096:VSC131102 WBY131096:WBY131102 WLU131096:WLU131102 WVQ131096:WVQ131102 I196632:I196638 JE196632:JE196638 TA196632:TA196638 ACW196632:ACW196638 AMS196632:AMS196638 AWO196632:AWO196638 BGK196632:BGK196638 BQG196632:BQG196638 CAC196632:CAC196638 CJY196632:CJY196638 CTU196632:CTU196638 DDQ196632:DDQ196638 DNM196632:DNM196638 DXI196632:DXI196638 EHE196632:EHE196638 ERA196632:ERA196638 FAW196632:FAW196638 FKS196632:FKS196638 FUO196632:FUO196638 GEK196632:GEK196638 GOG196632:GOG196638 GYC196632:GYC196638 HHY196632:HHY196638 HRU196632:HRU196638 IBQ196632:IBQ196638 ILM196632:ILM196638 IVI196632:IVI196638 JFE196632:JFE196638 JPA196632:JPA196638 JYW196632:JYW196638 KIS196632:KIS196638 KSO196632:KSO196638 LCK196632:LCK196638 LMG196632:LMG196638 LWC196632:LWC196638 MFY196632:MFY196638 MPU196632:MPU196638 MZQ196632:MZQ196638 NJM196632:NJM196638 NTI196632:NTI196638 ODE196632:ODE196638 ONA196632:ONA196638 OWW196632:OWW196638 PGS196632:PGS196638 PQO196632:PQO196638 QAK196632:QAK196638 QKG196632:QKG196638 QUC196632:QUC196638 RDY196632:RDY196638 RNU196632:RNU196638 RXQ196632:RXQ196638 SHM196632:SHM196638 SRI196632:SRI196638 TBE196632:TBE196638 TLA196632:TLA196638 TUW196632:TUW196638 UES196632:UES196638 UOO196632:UOO196638 UYK196632:UYK196638 VIG196632:VIG196638 VSC196632:VSC196638 WBY196632:WBY196638 WLU196632:WLU196638 WVQ196632:WVQ196638 I262168:I262174 JE262168:JE262174 TA262168:TA262174 ACW262168:ACW262174 AMS262168:AMS262174 AWO262168:AWO262174 BGK262168:BGK262174 BQG262168:BQG262174 CAC262168:CAC262174 CJY262168:CJY262174 CTU262168:CTU262174 DDQ262168:DDQ262174 DNM262168:DNM262174 DXI262168:DXI262174 EHE262168:EHE262174 ERA262168:ERA262174 FAW262168:FAW262174 FKS262168:FKS262174 FUO262168:FUO262174 GEK262168:GEK262174 GOG262168:GOG262174 GYC262168:GYC262174 HHY262168:HHY262174 HRU262168:HRU262174 IBQ262168:IBQ262174 ILM262168:ILM262174 IVI262168:IVI262174 JFE262168:JFE262174 JPA262168:JPA262174 JYW262168:JYW262174 KIS262168:KIS262174 KSO262168:KSO262174 LCK262168:LCK262174 LMG262168:LMG262174 LWC262168:LWC262174 MFY262168:MFY262174 MPU262168:MPU262174 MZQ262168:MZQ262174 NJM262168:NJM262174 NTI262168:NTI262174 ODE262168:ODE262174 ONA262168:ONA262174 OWW262168:OWW262174 PGS262168:PGS262174 PQO262168:PQO262174 QAK262168:QAK262174 QKG262168:QKG262174 QUC262168:QUC262174 RDY262168:RDY262174 RNU262168:RNU262174 RXQ262168:RXQ262174 SHM262168:SHM262174 SRI262168:SRI262174 TBE262168:TBE262174 TLA262168:TLA262174 TUW262168:TUW262174 UES262168:UES262174 UOO262168:UOO262174 UYK262168:UYK262174 VIG262168:VIG262174 VSC262168:VSC262174 WBY262168:WBY262174 WLU262168:WLU262174 WVQ262168:WVQ262174 I327704:I327710 JE327704:JE327710 TA327704:TA327710 ACW327704:ACW327710 AMS327704:AMS327710 AWO327704:AWO327710 BGK327704:BGK327710 BQG327704:BQG327710 CAC327704:CAC327710 CJY327704:CJY327710 CTU327704:CTU327710 DDQ327704:DDQ327710 DNM327704:DNM327710 DXI327704:DXI327710 EHE327704:EHE327710 ERA327704:ERA327710 FAW327704:FAW327710 FKS327704:FKS327710 FUO327704:FUO327710 GEK327704:GEK327710 GOG327704:GOG327710 GYC327704:GYC327710 HHY327704:HHY327710 HRU327704:HRU327710 IBQ327704:IBQ327710 ILM327704:ILM327710 IVI327704:IVI327710 JFE327704:JFE327710 JPA327704:JPA327710 JYW327704:JYW327710 KIS327704:KIS327710 KSO327704:KSO327710 LCK327704:LCK327710 LMG327704:LMG327710 LWC327704:LWC327710 MFY327704:MFY327710 MPU327704:MPU327710 MZQ327704:MZQ327710 NJM327704:NJM327710 NTI327704:NTI327710 ODE327704:ODE327710 ONA327704:ONA327710 OWW327704:OWW327710 PGS327704:PGS327710 PQO327704:PQO327710 QAK327704:QAK327710 QKG327704:QKG327710 QUC327704:QUC327710 RDY327704:RDY327710 RNU327704:RNU327710 RXQ327704:RXQ327710 SHM327704:SHM327710 SRI327704:SRI327710 TBE327704:TBE327710 TLA327704:TLA327710 TUW327704:TUW327710 UES327704:UES327710 UOO327704:UOO327710 UYK327704:UYK327710 VIG327704:VIG327710 VSC327704:VSC327710 WBY327704:WBY327710 WLU327704:WLU327710 WVQ327704:WVQ327710 I393240:I393246 JE393240:JE393246 TA393240:TA393246 ACW393240:ACW393246 AMS393240:AMS393246 AWO393240:AWO393246 BGK393240:BGK393246 BQG393240:BQG393246 CAC393240:CAC393246 CJY393240:CJY393246 CTU393240:CTU393246 DDQ393240:DDQ393246 DNM393240:DNM393246 DXI393240:DXI393246 EHE393240:EHE393246 ERA393240:ERA393246 FAW393240:FAW393246 FKS393240:FKS393246 FUO393240:FUO393246 GEK393240:GEK393246 GOG393240:GOG393246 GYC393240:GYC393246 HHY393240:HHY393246 HRU393240:HRU393246 IBQ393240:IBQ393246 ILM393240:ILM393246 IVI393240:IVI393246 JFE393240:JFE393246 JPA393240:JPA393246 JYW393240:JYW393246 KIS393240:KIS393246 KSO393240:KSO393246 LCK393240:LCK393246 LMG393240:LMG393246 LWC393240:LWC393246 MFY393240:MFY393246 MPU393240:MPU393246 MZQ393240:MZQ393246 NJM393240:NJM393246 NTI393240:NTI393246 ODE393240:ODE393246 ONA393240:ONA393246 OWW393240:OWW393246 PGS393240:PGS393246 PQO393240:PQO393246 QAK393240:QAK393246 QKG393240:QKG393246 QUC393240:QUC393246 RDY393240:RDY393246 RNU393240:RNU393246 RXQ393240:RXQ393246 SHM393240:SHM393246 SRI393240:SRI393246 TBE393240:TBE393246 TLA393240:TLA393246 TUW393240:TUW393246 UES393240:UES393246 UOO393240:UOO393246 UYK393240:UYK393246 VIG393240:VIG393246 VSC393240:VSC393246 WBY393240:WBY393246 WLU393240:WLU393246 WVQ393240:WVQ393246 I458776:I458782 JE458776:JE458782 TA458776:TA458782 ACW458776:ACW458782 AMS458776:AMS458782 AWO458776:AWO458782 BGK458776:BGK458782 BQG458776:BQG458782 CAC458776:CAC458782 CJY458776:CJY458782 CTU458776:CTU458782 DDQ458776:DDQ458782 DNM458776:DNM458782 DXI458776:DXI458782 EHE458776:EHE458782 ERA458776:ERA458782 FAW458776:FAW458782 FKS458776:FKS458782 FUO458776:FUO458782 GEK458776:GEK458782 GOG458776:GOG458782 GYC458776:GYC458782 HHY458776:HHY458782 HRU458776:HRU458782 IBQ458776:IBQ458782 ILM458776:ILM458782 IVI458776:IVI458782 JFE458776:JFE458782 JPA458776:JPA458782 JYW458776:JYW458782 KIS458776:KIS458782 KSO458776:KSO458782 LCK458776:LCK458782 LMG458776:LMG458782 LWC458776:LWC458782 MFY458776:MFY458782 MPU458776:MPU458782 MZQ458776:MZQ458782 NJM458776:NJM458782 NTI458776:NTI458782 ODE458776:ODE458782 ONA458776:ONA458782 OWW458776:OWW458782 PGS458776:PGS458782 PQO458776:PQO458782 QAK458776:QAK458782 QKG458776:QKG458782 QUC458776:QUC458782 RDY458776:RDY458782 RNU458776:RNU458782 RXQ458776:RXQ458782 SHM458776:SHM458782 SRI458776:SRI458782 TBE458776:TBE458782 TLA458776:TLA458782 TUW458776:TUW458782 UES458776:UES458782 UOO458776:UOO458782 UYK458776:UYK458782 VIG458776:VIG458782 VSC458776:VSC458782 WBY458776:WBY458782 WLU458776:WLU458782 WVQ458776:WVQ458782 I524312:I524318 JE524312:JE524318 TA524312:TA524318 ACW524312:ACW524318 AMS524312:AMS524318 AWO524312:AWO524318 BGK524312:BGK524318 BQG524312:BQG524318 CAC524312:CAC524318 CJY524312:CJY524318 CTU524312:CTU524318 DDQ524312:DDQ524318 DNM524312:DNM524318 DXI524312:DXI524318 EHE524312:EHE524318 ERA524312:ERA524318 FAW524312:FAW524318 FKS524312:FKS524318 FUO524312:FUO524318 GEK524312:GEK524318 GOG524312:GOG524318 GYC524312:GYC524318 HHY524312:HHY524318 HRU524312:HRU524318 IBQ524312:IBQ524318 ILM524312:ILM524318 IVI524312:IVI524318 JFE524312:JFE524318 JPA524312:JPA524318 JYW524312:JYW524318 KIS524312:KIS524318 KSO524312:KSO524318 LCK524312:LCK524318 LMG524312:LMG524318 LWC524312:LWC524318 MFY524312:MFY524318 MPU524312:MPU524318 MZQ524312:MZQ524318 NJM524312:NJM524318 NTI524312:NTI524318 ODE524312:ODE524318 ONA524312:ONA524318 OWW524312:OWW524318 PGS524312:PGS524318 PQO524312:PQO524318 QAK524312:QAK524318 QKG524312:QKG524318 QUC524312:QUC524318 RDY524312:RDY524318 RNU524312:RNU524318 RXQ524312:RXQ524318 SHM524312:SHM524318 SRI524312:SRI524318 TBE524312:TBE524318 TLA524312:TLA524318 TUW524312:TUW524318 UES524312:UES524318 UOO524312:UOO524318 UYK524312:UYK524318 VIG524312:VIG524318 VSC524312:VSC524318 WBY524312:WBY524318 WLU524312:WLU524318 WVQ524312:WVQ524318 I589848:I589854 JE589848:JE589854 TA589848:TA589854 ACW589848:ACW589854 AMS589848:AMS589854 AWO589848:AWO589854 BGK589848:BGK589854 BQG589848:BQG589854 CAC589848:CAC589854 CJY589848:CJY589854 CTU589848:CTU589854 DDQ589848:DDQ589854 DNM589848:DNM589854 DXI589848:DXI589854 EHE589848:EHE589854 ERA589848:ERA589854 FAW589848:FAW589854 FKS589848:FKS589854 FUO589848:FUO589854 GEK589848:GEK589854 GOG589848:GOG589854 GYC589848:GYC589854 HHY589848:HHY589854 HRU589848:HRU589854 IBQ589848:IBQ589854 ILM589848:ILM589854 IVI589848:IVI589854 JFE589848:JFE589854 JPA589848:JPA589854 JYW589848:JYW589854 KIS589848:KIS589854 KSO589848:KSO589854 LCK589848:LCK589854 LMG589848:LMG589854 LWC589848:LWC589854 MFY589848:MFY589854 MPU589848:MPU589854 MZQ589848:MZQ589854 NJM589848:NJM589854 NTI589848:NTI589854 ODE589848:ODE589854 ONA589848:ONA589854 OWW589848:OWW589854 PGS589848:PGS589854 PQO589848:PQO589854 QAK589848:QAK589854 QKG589848:QKG589854 QUC589848:QUC589854 RDY589848:RDY589854 RNU589848:RNU589854 RXQ589848:RXQ589854 SHM589848:SHM589854 SRI589848:SRI589854 TBE589848:TBE589854 TLA589848:TLA589854 TUW589848:TUW589854 UES589848:UES589854 UOO589848:UOO589854 UYK589848:UYK589854 VIG589848:VIG589854 VSC589848:VSC589854 WBY589848:WBY589854 WLU589848:WLU589854 WVQ589848:WVQ589854 I655384:I655390 JE655384:JE655390 TA655384:TA655390 ACW655384:ACW655390 AMS655384:AMS655390 AWO655384:AWO655390 BGK655384:BGK655390 BQG655384:BQG655390 CAC655384:CAC655390 CJY655384:CJY655390 CTU655384:CTU655390 DDQ655384:DDQ655390 DNM655384:DNM655390 DXI655384:DXI655390 EHE655384:EHE655390 ERA655384:ERA655390 FAW655384:FAW655390 FKS655384:FKS655390 FUO655384:FUO655390 GEK655384:GEK655390 GOG655384:GOG655390 GYC655384:GYC655390 HHY655384:HHY655390 HRU655384:HRU655390 IBQ655384:IBQ655390 ILM655384:ILM655390 IVI655384:IVI655390 JFE655384:JFE655390 JPA655384:JPA655390 JYW655384:JYW655390 KIS655384:KIS655390 KSO655384:KSO655390 LCK655384:LCK655390 LMG655384:LMG655390 LWC655384:LWC655390 MFY655384:MFY655390 MPU655384:MPU655390 MZQ655384:MZQ655390 NJM655384:NJM655390 NTI655384:NTI655390 ODE655384:ODE655390 ONA655384:ONA655390 OWW655384:OWW655390 PGS655384:PGS655390 PQO655384:PQO655390 QAK655384:QAK655390 QKG655384:QKG655390 QUC655384:QUC655390 RDY655384:RDY655390 RNU655384:RNU655390 RXQ655384:RXQ655390 SHM655384:SHM655390 SRI655384:SRI655390 TBE655384:TBE655390 TLA655384:TLA655390 TUW655384:TUW655390 UES655384:UES655390 UOO655384:UOO655390 UYK655384:UYK655390 VIG655384:VIG655390 VSC655384:VSC655390 WBY655384:WBY655390 WLU655384:WLU655390 WVQ655384:WVQ655390 I720920:I720926 JE720920:JE720926 TA720920:TA720926 ACW720920:ACW720926 AMS720920:AMS720926 AWO720920:AWO720926 BGK720920:BGK720926 BQG720920:BQG720926 CAC720920:CAC720926 CJY720920:CJY720926 CTU720920:CTU720926 DDQ720920:DDQ720926 DNM720920:DNM720926 DXI720920:DXI720926 EHE720920:EHE720926 ERA720920:ERA720926 FAW720920:FAW720926 FKS720920:FKS720926 FUO720920:FUO720926 GEK720920:GEK720926 GOG720920:GOG720926 GYC720920:GYC720926 HHY720920:HHY720926 HRU720920:HRU720926 IBQ720920:IBQ720926 ILM720920:ILM720926 IVI720920:IVI720926 JFE720920:JFE720926 JPA720920:JPA720926 JYW720920:JYW720926 KIS720920:KIS720926 KSO720920:KSO720926 LCK720920:LCK720926 LMG720920:LMG720926 LWC720920:LWC720926 MFY720920:MFY720926 MPU720920:MPU720926 MZQ720920:MZQ720926 NJM720920:NJM720926 NTI720920:NTI720926 ODE720920:ODE720926 ONA720920:ONA720926 OWW720920:OWW720926 PGS720920:PGS720926 PQO720920:PQO720926 QAK720920:QAK720926 QKG720920:QKG720926 QUC720920:QUC720926 RDY720920:RDY720926 RNU720920:RNU720926 RXQ720920:RXQ720926 SHM720920:SHM720926 SRI720920:SRI720926 TBE720920:TBE720926 TLA720920:TLA720926 TUW720920:TUW720926 UES720920:UES720926 UOO720920:UOO720926 UYK720920:UYK720926 VIG720920:VIG720926 VSC720920:VSC720926 WBY720920:WBY720926 WLU720920:WLU720926 WVQ720920:WVQ720926 I786456:I786462 JE786456:JE786462 TA786456:TA786462 ACW786456:ACW786462 AMS786456:AMS786462 AWO786456:AWO786462 BGK786456:BGK786462 BQG786456:BQG786462 CAC786456:CAC786462 CJY786456:CJY786462 CTU786456:CTU786462 DDQ786456:DDQ786462 DNM786456:DNM786462 DXI786456:DXI786462 EHE786456:EHE786462 ERA786456:ERA786462 FAW786456:FAW786462 FKS786456:FKS786462 FUO786456:FUO786462 GEK786456:GEK786462 GOG786456:GOG786462 GYC786456:GYC786462 HHY786456:HHY786462 HRU786456:HRU786462 IBQ786456:IBQ786462 ILM786456:ILM786462 IVI786456:IVI786462 JFE786456:JFE786462 JPA786456:JPA786462 JYW786456:JYW786462 KIS786456:KIS786462 KSO786456:KSO786462 LCK786456:LCK786462 LMG786456:LMG786462 LWC786456:LWC786462 MFY786456:MFY786462 MPU786456:MPU786462 MZQ786456:MZQ786462 NJM786456:NJM786462 NTI786456:NTI786462 ODE786456:ODE786462 ONA786456:ONA786462 OWW786456:OWW786462 PGS786456:PGS786462 PQO786456:PQO786462 QAK786456:QAK786462 QKG786456:QKG786462 QUC786456:QUC786462 RDY786456:RDY786462 RNU786456:RNU786462 RXQ786456:RXQ786462 SHM786456:SHM786462 SRI786456:SRI786462 TBE786456:TBE786462 TLA786456:TLA786462 TUW786456:TUW786462 UES786456:UES786462 UOO786456:UOO786462 UYK786456:UYK786462 VIG786456:VIG786462 VSC786456:VSC786462 WBY786456:WBY786462 WLU786456:WLU786462 WVQ786456:WVQ786462 I851992:I851998 JE851992:JE851998 TA851992:TA851998 ACW851992:ACW851998 AMS851992:AMS851998 AWO851992:AWO851998 BGK851992:BGK851998 BQG851992:BQG851998 CAC851992:CAC851998 CJY851992:CJY851998 CTU851992:CTU851998 DDQ851992:DDQ851998 DNM851992:DNM851998 DXI851992:DXI851998 EHE851992:EHE851998 ERA851992:ERA851998 FAW851992:FAW851998 FKS851992:FKS851998 FUO851992:FUO851998 GEK851992:GEK851998 GOG851992:GOG851998 GYC851992:GYC851998 HHY851992:HHY851998 HRU851992:HRU851998 IBQ851992:IBQ851998 ILM851992:ILM851998 IVI851992:IVI851998 JFE851992:JFE851998 JPA851992:JPA851998 JYW851992:JYW851998 KIS851992:KIS851998 KSO851992:KSO851998 LCK851992:LCK851998 LMG851992:LMG851998 LWC851992:LWC851998 MFY851992:MFY851998 MPU851992:MPU851998 MZQ851992:MZQ851998 NJM851992:NJM851998 NTI851992:NTI851998 ODE851992:ODE851998 ONA851992:ONA851998 OWW851992:OWW851998 PGS851992:PGS851998 PQO851992:PQO851998 QAK851992:QAK851998 QKG851992:QKG851998 QUC851992:QUC851998 RDY851992:RDY851998 RNU851992:RNU851998 RXQ851992:RXQ851998 SHM851992:SHM851998 SRI851992:SRI851998 TBE851992:TBE851998 TLA851992:TLA851998 TUW851992:TUW851998 UES851992:UES851998 UOO851992:UOO851998 UYK851992:UYK851998 VIG851992:VIG851998 VSC851992:VSC851998 WBY851992:WBY851998 WLU851992:WLU851998 WVQ851992:WVQ851998 I917528:I917534 JE917528:JE917534 TA917528:TA917534 ACW917528:ACW917534 AMS917528:AMS917534 AWO917528:AWO917534 BGK917528:BGK917534 BQG917528:BQG917534 CAC917528:CAC917534 CJY917528:CJY917534 CTU917528:CTU917534 DDQ917528:DDQ917534 DNM917528:DNM917534 DXI917528:DXI917534 EHE917528:EHE917534 ERA917528:ERA917534 FAW917528:FAW917534 FKS917528:FKS917534 FUO917528:FUO917534 GEK917528:GEK917534 GOG917528:GOG917534 GYC917528:GYC917534 HHY917528:HHY917534 HRU917528:HRU917534 IBQ917528:IBQ917534 ILM917528:ILM917534 IVI917528:IVI917534 JFE917528:JFE917534 JPA917528:JPA917534 JYW917528:JYW917534 KIS917528:KIS917534 KSO917528:KSO917534 LCK917528:LCK917534 LMG917528:LMG917534 LWC917528:LWC917534 MFY917528:MFY917534 MPU917528:MPU917534 MZQ917528:MZQ917534 NJM917528:NJM917534 NTI917528:NTI917534 ODE917528:ODE917534 ONA917528:ONA917534 OWW917528:OWW917534 PGS917528:PGS917534 PQO917528:PQO917534 QAK917528:QAK917534 QKG917528:QKG917534 QUC917528:QUC917534 RDY917528:RDY917534 RNU917528:RNU917534 RXQ917528:RXQ917534 SHM917528:SHM917534 SRI917528:SRI917534 TBE917528:TBE917534 TLA917528:TLA917534 TUW917528:TUW917534 UES917528:UES917534 UOO917528:UOO917534 UYK917528:UYK917534 VIG917528:VIG917534 VSC917528:VSC917534 WBY917528:WBY917534 WLU917528:WLU917534 WVQ917528:WVQ917534 I983064:I983070 JE983064:JE983070 TA983064:TA983070 ACW983064:ACW983070 AMS983064:AMS983070 AWO983064:AWO983070 BGK983064:BGK983070 BQG983064:BQG983070 CAC983064:CAC983070 CJY983064:CJY983070 CTU983064:CTU983070 DDQ983064:DDQ983070 DNM983064:DNM983070 DXI983064:DXI983070 EHE983064:EHE983070 ERA983064:ERA983070 FAW983064:FAW983070 FKS983064:FKS983070 FUO983064:FUO983070 GEK983064:GEK983070 GOG983064:GOG983070 GYC983064:GYC983070 HHY983064:HHY983070 HRU983064:HRU983070 IBQ983064:IBQ983070 ILM983064:ILM983070 IVI983064:IVI983070 JFE983064:JFE983070 JPA983064:JPA983070 JYW983064:JYW983070 KIS983064:KIS983070 KSO983064:KSO983070 LCK983064:LCK983070 LMG983064:LMG983070 LWC983064:LWC983070 MFY983064:MFY983070 MPU983064:MPU983070 MZQ983064:MZQ983070 NJM983064:NJM983070 NTI983064:NTI983070 ODE983064:ODE983070 ONA983064:ONA983070 OWW983064:OWW983070 PGS983064:PGS983070 PQO983064:PQO983070 QAK983064:QAK983070 QKG983064:QKG983070 QUC983064:QUC983070 RDY983064:RDY983070 RNU983064:RNU983070 RXQ983064:RXQ983070 SHM983064:SHM983070 SRI983064:SRI983070 TBE983064:TBE983070 TLA983064:TLA983070 TUW983064:TUW983070 UES983064:UES983070 UOO983064:UOO983070 UYK983064:UYK983070 VIG983064:VIG983070 VSC983064:VSC983070 WBY983064:WBY983070 WLU983064:WLU983070 WVQ983064:WVQ983070 WLU983056:WLU983062 ACT23:ACT30 AMP23:AMP30 AWL23:AWL30 BGH23:BGH30 BQD23:BQD30 BZZ23:BZZ30 CJV23:CJV30 CTR23:CTR30 DDN23:DDN30 DNJ23:DNJ30 DXF23:DXF30 EHB23:EHB30 EQX23:EQX30 FAT23:FAT30 FKP23:FKP30 FUL23:FUL30 GEH23:GEH30 GOD23:GOD30 GXZ23:GXZ30 HHV23:HHV30 HRR23:HRR30 IBN23:IBN30 ILJ23:ILJ30 IVF23:IVF30 JFB23:JFB30 JOX23:JOX30 JYT23:JYT30 KIP23:KIP30 KSL23:KSL30 LCH23:LCH30 LMD23:LMD30 LVZ23:LVZ30 MFV23:MFV30 MPR23:MPR30 MZN23:MZN30 NJJ23:NJJ30 NTF23:NTF30 ODB23:ODB30 OMX23:OMX30 OWT23:OWT30 PGP23:PGP30 PQL23:PQL30 QAH23:QAH30 QKD23:QKD30 QTZ23:QTZ30 RDV23:RDV30 RNR23:RNR30 RXN23:RXN30 SHJ23:SHJ30 SRF23:SRF30 TBB23:TBB30 TKX23:TKX30 TUT23:TUT30 UEP23:UEP30 UOL23:UOL30 UYH23:UYH30 VID23:VID30 VRZ23:VRZ30 WBV23:WBV30 WLR23:WLR30 WVN23:WVN30 F23:F30 F14:F21 F65560:F65566 JB65560:JB65566 SX65560:SX65566 ACT65560:ACT65566 AMP65560:AMP65566 AWL65560:AWL65566 BGH65560:BGH65566 BQD65560:BQD65566 BZZ65560:BZZ65566 CJV65560:CJV65566 CTR65560:CTR65566 DDN65560:DDN65566 DNJ65560:DNJ65566 DXF65560:DXF65566 EHB65560:EHB65566 EQX65560:EQX65566 FAT65560:FAT65566 FKP65560:FKP65566 FUL65560:FUL65566 GEH65560:GEH65566 GOD65560:GOD65566 GXZ65560:GXZ65566 HHV65560:HHV65566 HRR65560:HRR65566 IBN65560:IBN65566 ILJ65560:ILJ65566 IVF65560:IVF65566 JFB65560:JFB65566 JOX65560:JOX65566 JYT65560:JYT65566 KIP65560:KIP65566 KSL65560:KSL65566 LCH65560:LCH65566 LMD65560:LMD65566 LVZ65560:LVZ65566 MFV65560:MFV65566 MPR65560:MPR65566 MZN65560:MZN65566 NJJ65560:NJJ65566 NTF65560:NTF65566 ODB65560:ODB65566 OMX65560:OMX65566 OWT65560:OWT65566 PGP65560:PGP65566 PQL65560:PQL65566 QAH65560:QAH65566 QKD65560:QKD65566 QTZ65560:QTZ65566 RDV65560:RDV65566 RNR65560:RNR65566 RXN65560:RXN65566 SHJ65560:SHJ65566 SRF65560:SRF65566 TBB65560:TBB65566 TKX65560:TKX65566 TUT65560:TUT65566 UEP65560:UEP65566 UOL65560:UOL65566 UYH65560:UYH65566 VID65560:VID65566 VRZ65560:VRZ65566 WBV65560:WBV65566 WLR65560:WLR65566 WVN65560:WVN65566 F131096:F131102 JB131096:JB131102 SX131096:SX131102 ACT131096:ACT131102 AMP131096:AMP131102 AWL131096:AWL131102 BGH131096:BGH131102 BQD131096:BQD131102 BZZ131096:BZZ131102 CJV131096:CJV131102 CTR131096:CTR131102 DDN131096:DDN131102 DNJ131096:DNJ131102 DXF131096:DXF131102 EHB131096:EHB131102 EQX131096:EQX131102 FAT131096:FAT131102 FKP131096:FKP131102 FUL131096:FUL131102 GEH131096:GEH131102 GOD131096:GOD131102 GXZ131096:GXZ131102 HHV131096:HHV131102 HRR131096:HRR131102 IBN131096:IBN131102 ILJ131096:ILJ131102 IVF131096:IVF131102 JFB131096:JFB131102 JOX131096:JOX131102 JYT131096:JYT131102 KIP131096:KIP131102 KSL131096:KSL131102 LCH131096:LCH131102 LMD131096:LMD131102 LVZ131096:LVZ131102 MFV131096:MFV131102 MPR131096:MPR131102 MZN131096:MZN131102 NJJ131096:NJJ131102 NTF131096:NTF131102 ODB131096:ODB131102 OMX131096:OMX131102 OWT131096:OWT131102 PGP131096:PGP131102 PQL131096:PQL131102 QAH131096:QAH131102 QKD131096:QKD131102 QTZ131096:QTZ131102 RDV131096:RDV131102 RNR131096:RNR131102 RXN131096:RXN131102 SHJ131096:SHJ131102 SRF131096:SRF131102 TBB131096:TBB131102 TKX131096:TKX131102 TUT131096:TUT131102 UEP131096:UEP131102 UOL131096:UOL131102 UYH131096:UYH131102 VID131096:VID131102 VRZ131096:VRZ131102 WBV131096:WBV131102 WLR131096:WLR131102 WVN131096:WVN131102 F196632:F196638 JB196632:JB196638 SX196632:SX196638 ACT196632:ACT196638 AMP196632:AMP196638 AWL196632:AWL196638 BGH196632:BGH196638 BQD196632:BQD196638 BZZ196632:BZZ196638 CJV196632:CJV196638 CTR196632:CTR196638 DDN196632:DDN196638 DNJ196632:DNJ196638 DXF196632:DXF196638 EHB196632:EHB196638 EQX196632:EQX196638 FAT196632:FAT196638 FKP196632:FKP196638 FUL196632:FUL196638 GEH196632:GEH196638 GOD196632:GOD196638 GXZ196632:GXZ196638 HHV196632:HHV196638 HRR196632:HRR196638 IBN196632:IBN196638 ILJ196632:ILJ196638 IVF196632:IVF196638 JFB196632:JFB196638 JOX196632:JOX196638 JYT196632:JYT196638 KIP196632:KIP196638 KSL196632:KSL196638 LCH196632:LCH196638 LMD196632:LMD196638 LVZ196632:LVZ196638 MFV196632:MFV196638 MPR196632:MPR196638 MZN196632:MZN196638 NJJ196632:NJJ196638 NTF196632:NTF196638 ODB196632:ODB196638 OMX196632:OMX196638 OWT196632:OWT196638 PGP196632:PGP196638 PQL196632:PQL196638 QAH196632:QAH196638 QKD196632:QKD196638 QTZ196632:QTZ196638 RDV196632:RDV196638 RNR196632:RNR196638 RXN196632:RXN196638 SHJ196632:SHJ196638 SRF196632:SRF196638 TBB196632:TBB196638 TKX196632:TKX196638 TUT196632:TUT196638 UEP196632:UEP196638 UOL196632:UOL196638 UYH196632:UYH196638 VID196632:VID196638 VRZ196632:VRZ196638 WBV196632:WBV196638 WLR196632:WLR196638 WVN196632:WVN196638 F262168:F262174 JB262168:JB262174 SX262168:SX262174 ACT262168:ACT262174 AMP262168:AMP262174 AWL262168:AWL262174 BGH262168:BGH262174 BQD262168:BQD262174 BZZ262168:BZZ262174 CJV262168:CJV262174 CTR262168:CTR262174 DDN262168:DDN262174 DNJ262168:DNJ262174 DXF262168:DXF262174 EHB262168:EHB262174 EQX262168:EQX262174 FAT262168:FAT262174 FKP262168:FKP262174 FUL262168:FUL262174 GEH262168:GEH262174 GOD262168:GOD262174 GXZ262168:GXZ262174 HHV262168:HHV262174 HRR262168:HRR262174 IBN262168:IBN262174 ILJ262168:ILJ262174 IVF262168:IVF262174 JFB262168:JFB262174 JOX262168:JOX262174 JYT262168:JYT262174 KIP262168:KIP262174 KSL262168:KSL262174 LCH262168:LCH262174 LMD262168:LMD262174 LVZ262168:LVZ262174 MFV262168:MFV262174 MPR262168:MPR262174 MZN262168:MZN262174 NJJ262168:NJJ262174 NTF262168:NTF262174 ODB262168:ODB262174 OMX262168:OMX262174 OWT262168:OWT262174 PGP262168:PGP262174 PQL262168:PQL262174 QAH262168:QAH262174 QKD262168:QKD262174 QTZ262168:QTZ262174 RDV262168:RDV262174 RNR262168:RNR262174 RXN262168:RXN262174 SHJ262168:SHJ262174 SRF262168:SRF262174 TBB262168:TBB262174 TKX262168:TKX262174 TUT262168:TUT262174 UEP262168:UEP262174 UOL262168:UOL262174 UYH262168:UYH262174 VID262168:VID262174 VRZ262168:VRZ262174 WBV262168:WBV262174 WLR262168:WLR262174 WVN262168:WVN262174 F327704:F327710 JB327704:JB327710 SX327704:SX327710 ACT327704:ACT327710 AMP327704:AMP327710 AWL327704:AWL327710 BGH327704:BGH327710 BQD327704:BQD327710 BZZ327704:BZZ327710 CJV327704:CJV327710 CTR327704:CTR327710 DDN327704:DDN327710 DNJ327704:DNJ327710 DXF327704:DXF327710 EHB327704:EHB327710 EQX327704:EQX327710 FAT327704:FAT327710 FKP327704:FKP327710 FUL327704:FUL327710 GEH327704:GEH327710 GOD327704:GOD327710 GXZ327704:GXZ327710 HHV327704:HHV327710 HRR327704:HRR327710 IBN327704:IBN327710 ILJ327704:ILJ327710 IVF327704:IVF327710 JFB327704:JFB327710 JOX327704:JOX327710 JYT327704:JYT327710 KIP327704:KIP327710 KSL327704:KSL327710 LCH327704:LCH327710 LMD327704:LMD327710 LVZ327704:LVZ327710 MFV327704:MFV327710 MPR327704:MPR327710 MZN327704:MZN327710 NJJ327704:NJJ327710 NTF327704:NTF327710 ODB327704:ODB327710 OMX327704:OMX327710 OWT327704:OWT327710 PGP327704:PGP327710 PQL327704:PQL327710 QAH327704:QAH327710 QKD327704:QKD327710 QTZ327704:QTZ327710 RDV327704:RDV327710 RNR327704:RNR327710 RXN327704:RXN327710 SHJ327704:SHJ327710 SRF327704:SRF327710 TBB327704:TBB327710 TKX327704:TKX327710 TUT327704:TUT327710 UEP327704:UEP327710 UOL327704:UOL327710 UYH327704:UYH327710 VID327704:VID327710 VRZ327704:VRZ327710 WBV327704:WBV327710 WLR327704:WLR327710 WVN327704:WVN327710 F393240:F393246 JB393240:JB393246 SX393240:SX393246 ACT393240:ACT393246 AMP393240:AMP393246 AWL393240:AWL393246 BGH393240:BGH393246 BQD393240:BQD393246 BZZ393240:BZZ393246 CJV393240:CJV393246 CTR393240:CTR393246 DDN393240:DDN393246 DNJ393240:DNJ393246 DXF393240:DXF393246 EHB393240:EHB393246 EQX393240:EQX393246 FAT393240:FAT393246 FKP393240:FKP393246 FUL393240:FUL393246 GEH393240:GEH393246 GOD393240:GOD393246 GXZ393240:GXZ393246 HHV393240:HHV393246 HRR393240:HRR393246 IBN393240:IBN393246 ILJ393240:ILJ393246 IVF393240:IVF393246 JFB393240:JFB393246 JOX393240:JOX393246 JYT393240:JYT393246 KIP393240:KIP393246 KSL393240:KSL393246 LCH393240:LCH393246 LMD393240:LMD393246 LVZ393240:LVZ393246 MFV393240:MFV393246 MPR393240:MPR393246 MZN393240:MZN393246 NJJ393240:NJJ393246 NTF393240:NTF393246 ODB393240:ODB393246 OMX393240:OMX393246 OWT393240:OWT393246 PGP393240:PGP393246 PQL393240:PQL393246 QAH393240:QAH393246 QKD393240:QKD393246 QTZ393240:QTZ393246 RDV393240:RDV393246 RNR393240:RNR393246 RXN393240:RXN393246 SHJ393240:SHJ393246 SRF393240:SRF393246 TBB393240:TBB393246 TKX393240:TKX393246 TUT393240:TUT393246 UEP393240:UEP393246 UOL393240:UOL393246 UYH393240:UYH393246 VID393240:VID393246 VRZ393240:VRZ393246 WBV393240:WBV393246 WLR393240:WLR393246 WVN393240:WVN393246 F458776:F458782 JB458776:JB458782 SX458776:SX458782 ACT458776:ACT458782 AMP458776:AMP458782 AWL458776:AWL458782 BGH458776:BGH458782 BQD458776:BQD458782 BZZ458776:BZZ458782 CJV458776:CJV458782 CTR458776:CTR458782 DDN458776:DDN458782 DNJ458776:DNJ458782 DXF458776:DXF458782 EHB458776:EHB458782 EQX458776:EQX458782 FAT458776:FAT458782 FKP458776:FKP458782 FUL458776:FUL458782 GEH458776:GEH458782 GOD458776:GOD458782 GXZ458776:GXZ458782 HHV458776:HHV458782 HRR458776:HRR458782 IBN458776:IBN458782 ILJ458776:ILJ458782 IVF458776:IVF458782 JFB458776:JFB458782 JOX458776:JOX458782 JYT458776:JYT458782 KIP458776:KIP458782 KSL458776:KSL458782 LCH458776:LCH458782 LMD458776:LMD458782 LVZ458776:LVZ458782 MFV458776:MFV458782 MPR458776:MPR458782 MZN458776:MZN458782 NJJ458776:NJJ458782 NTF458776:NTF458782 ODB458776:ODB458782 OMX458776:OMX458782 OWT458776:OWT458782 PGP458776:PGP458782 PQL458776:PQL458782 QAH458776:QAH458782 QKD458776:QKD458782 QTZ458776:QTZ458782 RDV458776:RDV458782 RNR458776:RNR458782 RXN458776:RXN458782 SHJ458776:SHJ458782 SRF458776:SRF458782 TBB458776:TBB458782 TKX458776:TKX458782 TUT458776:TUT458782 UEP458776:UEP458782 UOL458776:UOL458782 UYH458776:UYH458782 VID458776:VID458782 VRZ458776:VRZ458782 WBV458776:WBV458782 WLR458776:WLR458782 WVN458776:WVN458782 F524312:F524318 JB524312:JB524318 SX524312:SX524318 ACT524312:ACT524318 AMP524312:AMP524318 AWL524312:AWL524318 BGH524312:BGH524318 BQD524312:BQD524318 BZZ524312:BZZ524318 CJV524312:CJV524318 CTR524312:CTR524318 DDN524312:DDN524318 DNJ524312:DNJ524318 DXF524312:DXF524318 EHB524312:EHB524318 EQX524312:EQX524318 FAT524312:FAT524318 FKP524312:FKP524318 FUL524312:FUL524318 GEH524312:GEH524318 GOD524312:GOD524318 GXZ524312:GXZ524318 HHV524312:HHV524318 HRR524312:HRR524318 IBN524312:IBN524318 ILJ524312:ILJ524318 IVF524312:IVF524318 JFB524312:JFB524318 JOX524312:JOX524318 JYT524312:JYT524318 KIP524312:KIP524318 KSL524312:KSL524318 LCH524312:LCH524318 LMD524312:LMD524318 LVZ524312:LVZ524318 MFV524312:MFV524318 MPR524312:MPR524318 MZN524312:MZN524318 NJJ524312:NJJ524318 NTF524312:NTF524318 ODB524312:ODB524318 OMX524312:OMX524318 OWT524312:OWT524318 PGP524312:PGP524318 PQL524312:PQL524318 QAH524312:QAH524318 QKD524312:QKD524318 QTZ524312:QTZ524318 RDV524312:RDV524318 RNR524312:RNR524318 RXN524312:RXN524318 SHJ524312:SHJ524318 SRF524312:SRF524318 TBB524312:TBB524318 TKX524312:TKX524318 TUT524312:TUT524318 UEP524312:UEP524318 UOL524312:UOL524318 UYH524312:UYH524318 VID524312:VID524318 VRZ524312:VRZ524318 WBV524312:WBV524318 WLR524312:WLR524318 WVN524312:WVN524318 F589848:F589854 JB589848:JB589854 SX589848:SX589854 ACT589848:ACT589854 AMP589848:AMP589854 AWL589848:AWL589854 BGH589848:BGH589854 BQD589848:BQD589854 BZZ589848:BZZ589854 CJV589848:CJV589854 CTR589848:CTR589854 DDN589848:DDN589854 DNJ589848:DNJ589854 DXF589848:DXF589854 EHB589848:EHB589854 EQX589848:EQX589854 FAT589848:FAT589854 FKP589848:FKP589854 FUL589848:FUL589854 GEH589848:GEH589854 GOD589848:GOD589854 GXZ589848:GXZ589854 HHV589848:HHV589854 HRR589848:HRR589854 IBN589848:IBN589854 ILJ589848:ILJ589854 IVF589848:IVF589854 JFB589848:JFB589854 JOX589848:JOX589854 JYT589848:JYT589854 KIP589848:KIP589854 KSL589848:KSL589854 LCH589848:LCH589854 LMD589848:LMD589854 LVZ589848:LVZ589854 MFV589848:MFV589854 MPR589848:MPR589854 MZN589848:MZN589854 NJJ589848:NJJ589854 NTF589848:NTF589854 ODB589848:ODB589854 OMX589848:OMX589854 OWT589848:OWT589854 PGP589848:PGP589854 PQL589848:PQL589854 QAH589848:QAH589854 QKD589848:QKD589854 QTZ589848:QTZ589854 RDV589848:RDV589854 RNR589848:RNR589854 RXN589848:RXN589854 SHJ589848:SHJ589854 SRF589848:SRF589854 TBB589848:TBB589854 TKX589848:TKX589854 TUT589848:TUT589854 UEP589848:UEP589854 UOL589848:UOL589854 UYH589848:UYH589854 VID589848:VID589854 VRZ589848:VRZ589854 WBV589848:WBV589854 WLR589848:WLR589854 WVN589848:WVN589854 F655384:F655390 JB655384:JB655390 SX655384:SX655390 ACT655384:ACT655390 AMP655384:AMP655390 AWL655384:AWL655390 BGH655384:BGH655390 BQD655384:BQD655390 BZZ655384:BZZ655390 CJV655384:CJV655390 CTR655384:CTR655390 DDN655384:DDN655390 DNJ655384:DNJ655390 DXF655384:DXF655390 EHB655384:EHB655390 EQX655384:EQX655390 FAT655384:FAT655390 FKP655384:FKP655390 FUL655384:FUL655390 GEH655384:GEH655390 GOD655384:GOD655390 GXZ655384:GXZ655390 HHV655384:HHV655390 HRR655384:HRR655390 IBN655384:IBN655390 ILJ655384:ILJ655390 IVF655384:IVF655390 JFB655384:JFB655390 JOX655384:JOX655390 JYT655384:JYT655390 KIP655384:KIP655390 KSL655384:KSL655390 LCH655384:LCH655390 LMD655384:LMD655390 LVZ655384:LVZ655390 MFV655384:MFV655390 MPR655384:MPR655390 MZN655384:MZN655390 NJJ655384:NJJ655390 NTF655384:NTF655390 ODB655384:ODB655390 OMX655384:OMX655390 OWT655384:OWT655390 PGP655384:PGP655390 PQL655384:PQL655390 QAH655384:QAH655390 QKD655384:QKD655390 QTZ655384:QTZ655390 RDV655384:RDV655390 RNR655384:RNR655390 RXN655384:RXN655390 SHJ655384:SHJ655390 SRF655384:SRF655390 TBB655384:TBB655390 TKX655384:TKX655390 TUT655384:TUT655390 UEP655384:UEP655390 UOL655384:UOL655390 UYH655384:UYH655390 VID655384:VID655390 VRZ655384:VRZ655390 WBV655384:WBV655390 WLR655384:WLR655390 WVN655384:WVN655390 F720920:F720926 JB720920:JB720926 SX720920:SX720926 ACT720920:ACT720926 AMP720920:AMP720926 AWL720920:AWL720926 BGH720920:BGH720926 BQD720920:BQD720926 BZZ720920:BZZ720926 CJV720920:CJV720926 CTR720920:CTR720926 DDN720920:DDN720926 DNJ720920:DNJ720926 DXF720920:DXF720926 EHB720920:EHB720926 EQX720920:EQX720926 FAT720920:FAT720926 FKP720920:FKP720926 FUL720920:FUL720926 GEH720920:GEH720926 GOD720920:GOD720926 GXZ720920:GXZ720926 HHV720920:HHV720926 HRR720920:HRR720926 IBN720920:IBN720926 ILJ720920:ILJ720926 IVF720920:IVF720926 JFB720920:JFB720926 JOX720920:JOX720926 JYT720920:JYT720926 KIP720920:KIP720926 KSL720920:KSL720926 LCH720920:LCH720926 LMD720920:LMD720926 LVZ720920:LVZ720926 MFV720920:MFV720926 MPR720920:MPR720926 MZN720920:MZN720926 NJJ720920:NJJ720926 NTF720920:NTF720926 ODB720920:ODB720926 OMX720920:OMX720926 OWT720920:OWT720926 PGP720920:PGP720926 PQL720920:PQL720926 QAH720920:QAH720926 QKD720920:QKD720926 QTZ720920:QTZ720926 RDV720920:RDV720926 RNR720920:RNR720926 RXN720920:RXN720926 SHJ720920:SHJ720926 SRF720920:SRF720926 TBB720920:TBB720926 TKX720920:TKX720926 TUT720920:TUT720926 UEP720920:UEP720926 UOL720920:UOL720926 UYH720920:UYH720926 VID720920:VID720926 VRZ720920:VRZ720926 WBV720920:WBV720926 WLR720920:WLR720926 WVN720920:WVN720926 F786456:F786462 JB786456:JB786462 SX786456:SX786462 ACT786456:ACT786462 AMP786456:AMP786462 AWL786456:AWL786462 BGH786456:BGH786462 BQD786456:BQD786462 BZZ786456:BZZ786462 CJV786456:CJV786462 CTR786456:CTR786462 DDN786456:DDN786462 DNJ786456:DNJ786462 DXF786456:DXF786462 EHB786456:EHB786462 EQX786456:EQX786462 FAT786456:FAT786462 FKP786456:FKP786462 FUL786456:FUL786462 GEH786456:GEH786462 GOD786456:GOD786462 GXZ786456:GXZ786462 HHV786456:HHV786462 HRR786456:HRR786462 IBN786456:IBN786462 ILJ786456:ILJ786462 IVF786456:IVF786462 JFB786456:JFB786462 JOX786456:JOX786462 JYT786456:JYT786462 KIP786456:KIP786462 KSL786456:KSL786462 LCH786456:LCH786462 LMD786456:LMD786462 LVZ786456:LVZ786462 MFV786456:MFV786462 MPR786456:MPR786462 MZN786456:MZN786462 NJJ786456:NJJ786462 NTF786456:NTF786462 ODB786456:ODB786462 OMX786456:OMX786462 OWT786456:OWT786462 PGP786456:PGP786462 PQL786456:PQL786462 QAH786456:QAH786462 QKD786456:QKD786462 QTZ786456:QTZ786462 RDV786456:RDV786462 RNR786456:RNR786462 RXN786456:RXN786462 SHJ786456:SHJ786462 SRF786456:SRF786462 TBB786456:TBB786462 TKX786456:TKX786462 TUT786456:TUT786462 UEP786456:UEP786462 UOL786456:UOL786462 UYH786456:UYH786462 VID786456:VID786462 VRZ786456:VRZ786462 WBV786456:WBV786462 WLR786456:WLR786462 WVN786456:WVN786462 F851992:F851998 JB851992:JB851998 SX851992:SX851998 ACT851992:ACT851998 AMP851992:AMP851998 AWL851992:AWL851998 BGH851992:BGH851998 BQD851992:BQD851998 BZZ851992:BZZ851998 CJV851992:CJV851998 CTR851992:CTR851998 DDN851992:DDN851998 DNJ851992:DNJ851998 DXF851992:DXF851998 EHB851992:EHB851998 EQX851992:EQX851998 FAT851992:FAT851998 FKP851992:FKP851998 FUL851992:FUL851998 GEH851992:GEH851998 GOD851992:GOD851998 GXZ851992:GXZ851998 HHV851992:HHV851998 HRR851992:HRR851998 IBN851992:IBN851998 ILJ851992:ILJ851998 IVF851992:IVF851998 JFB851992:JFB851998 JOX851992:JOX851998 JYT851992:JYT851998 KIP851992:KIP851998 KSL851992:KSL851998 LCH851992:LCH851998 LMD851992:LMD851998 LVZ851992:LVZ851998 MFV851992:MFV851998 MPR851992:MPR851998 MZN851992:MZN851998 NJJ851992:NJJ851998 NTF851992:NTF851998 ODB851992:ODB851998 OMX851992:OMX851998 OWT851992:OWT851998 PGP851992:PGP851998 PQL851992:PQL851998 QAH851992:QAH851998 QKD851992:QKD851998 QTZ851992:QTZ851998 RDV851992:RDV851998 RNR851992:RNR851998 RXN851992:RXN851998 SHJ851992:SHJ851998 SRF851992:SRF851998 TBB851992:TBB851998 TKX851992:TKX851998 TUT851992:TUT851998 UEP851992:UEP851998 UOL851992:UOL851998 UYH851992:UYH851998 VID851992:VID851998 VRZ851992:VRZ851998 WBV851992:WBV851998 WLR851992:WLR851998 WVN851992:WVN851998 F917528:F917534 JB917528:JB917534 SX917528:SX917534 ACT917528:ACT917534 AMP917528:AMP917534 AWL917528:AWL917534 BGH917528:BGH917534 BQD917528:BQD917534 BZZ917528:BZZ917534 CJV917528:CJV917534 CTR917528:CTR917534 DDN917528:DDN917534 DNJ917528:DNJ917534 DXF917528:DXF917534 EHB917528:EHB917534 EQX917528:EQX917534 FAT917528:FAT917534 FKP917528:FKP917534 FUL917528:FUL917534 GEH917528:GEH917534 GOD917528:GOD917534 GXZ917528:GXZ917534 HHV917528:HHV917534 HRR917528:HRR917534 IBN917528:IBN917534 ILJ917528:ILJ917534 IVF917528:IVF917534 JFB917528:JFB917534 JOX917528:JOX917534 JYT917528:JYT917534 KIP917528:KIP917534 KSL917528:KSL917534 LCH917528:LCH917534 LMD917528:LMD917534 LVZ917528:LVZ917534 MFV917528:MFV917534 MPR917528:MPR917534 MZN917528:MZN917534 NJJ917528:NJJ917534 NTF917528:NTF917534 ODB917528:ODB917534 OMX917528:OMX917534 OWT917528:OWT917534 PGP917528:PGP917534 PQL917528:PQL917534 QAH917528:QAH917534 QKD917528:QKD917534 QTZ917528:QTZ917534 RDV917528:RDV917534 RNR917528:RNR917534 RXN917528:RXN917534 SHJ917528:SHJ917534 SRF917528:SRF917534 TBB917528:TBB917534 TKX917528:TKX917534 TUT917528:TUT917534 UEP917528:UEP917534 UOL917528:UOL917534 UYH917528:UYH917534 VID917528:VID917534 VRZ917528:VRZ917534 WBV917528:WBV917534 WLR917528:WLR917534 WVN917528:WVN917534 F983064:F983070 JB983064:JB983070 SX983064:SX983070 ACT983064:ACT983070 AMP983064:AMP983070 AWL983064:AWL983070 BGH983064:BGH983070 BQD983064:BQD983070 BZZ983064:BZZ983070 CJV983064:CJV983070 CTR983064:CTR983070 DDN983064:DDN983070 DNJ983064:DNJ983070 DXF983064:DXF983070 EHB983064:EHB983070 EQX983064:EQX983070 FAT983064:FAT983070 FKP983064:FKP983070 FUL983064:FUL983070 GEH983064:GEH983070 GOD983064:GOD983070 GXZ983064:GXZ983070 HHV983064:HHV983070 HRR983064:HRR983070 IBN983064:IBN983070 ILJ983064:ILJ983070 IVF983064:IVF983070 JFB983064:JFB983070 JOX983064:JOX983070 JYT983064:JYT983070 KIP983064:KIP983070 KSL983064:KSL983070 LCH983064:LCH983070 LMD983064:LMD983070 LVZ983064:LVZ983070 MFV983064:MFV983070 MPR983064:MPR983070 MZN983064:MZN983070 NJJ983064:NJJ983070 NTF983064:NTF983070 ODB983064:ODB983070 OMX983064:OMX983070 OWT983064:OWT983070 PGP983064:PGP983070 PQL983064:PQL983070 QAH983064:QAH983070 QKD983064:QKD983070 QTZ983064:QTZ983070 RDV983064:RDV983070 RNR983064:RNR983070 RXN983064:RXN983070 SHJ983064:SHJ983070 SRF983064:SRF983070 TBB983064:TBB983070 TKX983064:TKX983070 TUT983064:TUT983070 UEP983064:UEP983070 UOL983064:UOL983070 UYH983064:UYH983070 VID983064:VID983070 VRZ983064:VRZ983070 WBV983064:WBV983070 WLR983064:WLR983070 WVN983064:WVN983070 WVQ983056:WVQ983062 TA14:TA21 ACW14:ACW21 AMS14:AMS21 AWO14:AWO21 BGK14:BGK21 BQG14:BQG21 CAC14:CAC21 CJY14:CJY21 CTU14:CTU21 DDQ14:DDQ21 DNM14:DNM21 DXI14:DXI21 EHE14:EHE21 ERA14:ERA21 FAW14:FAW21 FKS14:FKS21 FUO14:FUO21 GEK14:GEK21 GOG14:GOG21 GYC14:GYC21 HHY14:HHY21 HRU14:HRU21 IBQ14:IBQ21 ILM14:ILM21 IVI14:IVI21 JFE14:JFE21 JPA14:JPA21 JYW14:JYW21 KIS14:KIS21 KSO14:KSO21 LCK14:LCK21 LMG14:LMG21 LWC14:LWC21 MFY14:MFY21 MPU14:MPU21 MZQ14:MZQ21 NJM14:NJM21 NTI14:NTI21 ODE14:ODE21 ONA14:ONA21 OWW14:OWW21 PGS14:PGS21 PQO14:PQO21 QAK14:QAK21 QKG14:QKG21 QUC14:QUC21 RDY14:RDY21 RNU14:RNU21 RXQ14:RXQ21 SHM14:SHM21 SRI14:SRI21 TBE14:TBE21 TLA14:TLA21 TUW14:TUW21 UES14:UES21 UOO14:UOO21 UYK14:UYK21 VIG14:VIG21 VSC14:VSC21 WBY14:WBY21 WLU14:WLU21 WVQ14:WVQ21 JB14:JB21 I65552:I65558 JE65552:JE65558 TA65552:TA65558 ACW65552:ACW65558 AMS65552:AMS65558 AWO65552:AWO65558 BGK65552:BGK65558 BQG65552:BQG65558 CAC65552:CAC65558 CJY65552:CJY65558 CTU65552:CTU65558 DDQ65552:DDQ65558 DNM65552:DNM65558 DXI65552:DXI65558 EHE65552:EHE65558 ERA65552:ERA65558 FAW65552:FAW65558 FKS65552:FKS65558 FUO65552:FUO65558 GEK65552:GEK65558 GOG65552:GOG65558 GYC65552:GYC65558 HHY65552:HHY65558 HRU65552:HRU65558 IBQ65552:IBQ65558 ILM65552:ILM65558 IVI65552:IVI65558 JFE65552:JFE65558 JPA65552:JPA65558 JYW65552:JYW65558 KIS65552:KIS65558 KSO65552:KSO65558 LCK65552:LCK65558 LMG65552:LMG65558 LWC65552:LWC65558 MFY65552:MFY65558 MPU65552:MPU65558 MZQ65552:MZQ65558 NJM65552:NJM65558 NTI65552:NTI65558 ODE65552:ODE65558 ONA65552:ONA65558 OWW65552:OWW65558 PGS65552:PGS65558 PQO65552:PQO65558 QAK65552:QAK65558 QKG65552:QKG65558 QUC65552:QUC65558 RDY65552:RDY65558 RNU65552:RNU65558 RXQ65552:RXQ65558 SHM65552:SHM65558 SRI65552:SRI65558 TBE65552:TBE65558 TLA65552:TLA65558 TUW65552:TUW65558 UES65552:UES65558 UOO65552:UOO65558 UYK65552:UYK65558 VIG65552:VIG65558 VSC65552:VSC65558 WBY65552:WBY65558 WLU65552:WLU65558 WVQ65552:WVQ65558 I131088:I131094 JE131088:JE131094 TA131088:TA131094 ACW131088:ACW131094 AMS131088:AMS131094 AWO131088:AWO131094 BGK131088:BGK131094 BQG131088:BQG131094 CAC131088:CAC131094 CJY131088:CJY131094 CTU131088:CTU131094 DDQ131088:DDQ131094 DNM131088:DNM131094 DXI131088:DXI131094 EHE131088:EHE131094 ERA131088:ERA131094 FAW131088:FAW131094 FKS131088:FKS131094 FUO131088:FUO131094 GEK131088:GEK131094 GOG131088:GOG131094 GYC131088:GYC131094 HHY131088:HHY131094 HRU131088:HRU131094 IBQ131088:IBQ131094 ILM131088:ILM131094 IVI131088:IVI131094 JFE131088:JFE131094 JPA131088:JPA131094 JYW131088:JYW131094 KIS131088:KIS131094 KSO131088:KSO131094 LCK131088:LCK131094 LMG131088:LMG131094 LWC131088:LWC131094 MFY131088:MFY131094 MPU131088:MPU131094 MZQ131088:MZQ131094 NJM131088:NJM131094 NTI131088:NTI131094 ODE131088:ODE131094 ONA131088:ONA131094 OWW131088:OWW131094 PGS131088:PGS131094 PQO131088:PQO131094 QAK131088:QAK131094 QKG131088:QKG131094 QUC131088:QUC131094 RDY131088:RDY131094 RNU131088:RNU131094 RXQ131088:RXQ131094 SHM131088:SHM131094 SRI131088:SRI131094 TBE131088:TBE131094 TLA131088:TLA131094 TUW131088:TUW131094 UES131088:UES131094 UOO131088:UOO131094 UYK131088:UYK131094 VIG131088:VIG131094 VSC131088:VSC131094 WBY131088:WBY131094 WLU131088:WLU131094 WVQ131088:WVQ131094 I196624:I196630 JE196624:JE196630 TA196624:TA196630 ACW196624:ACW196630 AMS196624:AMS196630 AWO196624:AWO196630 BGK196624:BGK196630 BQG196624:BQG196630 CAC196624:CAC196630 CJY196624:CJY196630 CTU196624:CTU196630 DDQ196624:DDQ196630 DNM196624:DNM196630 DXI196624:DXI196630 EHE196624:EHE196630 ERA196624:ERA196630 FAW196624:FAW196630 FKS196624:FKS196630 FUO196624:FUO196630 GEK196624:GEK196630 GOG196624:GOG196630 GYC196624:GYC196630 HHY196624:HHY196630 HRU196624:HRU196630 IBQ196624:IBQ196630 ILM196624:ILM196630 IVI196624:IVI196630 JFE196624:JFE196630 JPA196624:JPA196630 JYW196624:JYW196630 KIS196624:KIS196630 KSO196624:KSO196630 LCK196624:LCK196630 LMG196624:LMG196630 LWC196624:LWC196630 MFY196624:MFY196630 MPU196624:MPU196630 MZQ196624:MZQ196630 NJM196624:NJM196630 NTI196624:NTI196630 ODE196624:ODE196630 ONA196624:ONA196630 OWW196624:OWW196630 PGS196624:PGS196630 PQO196624:PQO196630 QAK196624:QAK196630 QKG196624:QKG196630 QUC196624:QUC196630 RDY196624:RDY196630 RNU196624:RNU196630 RXQ196624:RXQ196630 SHM196624:SHM196630 SRI196624:SRI196630 TBE196624:TBE196630 TLA196624:TLA196630 TUW196624:TUW196630 UES196624:UES196630 UOO196624:UOO196630 UYK196624:UYK196630 VIG196624:VIG196630 VSC196624:VSC196630 WBY196624:WBY196630 WLU196624:WLU196630 WVQ196624:WVQ196630 I262160:I262166 JE262160:JE262166 TA262160:TA262166 ACW262160:ACW262166 AMS262160:AMS262166 AWO262160:AWO262166 BGK262160:BGK262166 BQG262160:BQG262166 CAC262160:CAC262166 CJY262160:CJY262166 CTU262160:CTU262166 DDQ262160:DDQ262166 DNM262160:DNM262166 DXI262160:DXI262166 EHE262160:EHE262166 ERA262160:ERA262166 FAW262160:FAW262166 FKS262160:FKS262166 FUO262160:FUO262166 GEK262160:GEK262166 GOG262160:GOG262166 GYC262160:GYC262166 HHY262160:HHY262166 HRU262160:HRU262166 IBQ262160:IBQ262166 ILM262160:ILM262166 IVI262160:IVI262166 JFE262160:JFE262166 JPA262160:JPA262166 JYW262160:JYW262166 KIS262160:KIS262166 KSO262160:KSO262166 LCK262160:LCK262166 LMG262160:LMG262166 LWC262160:LWC262166 MFY262160:MFY262166 MPU262160:MPU262166 MZQ262160:MZQ262166 NJM262160:NJM262166 NTI262160:NTI262166 ODE262160:ODE262166 ONA262160:ONA262166 OWW262160:OWW262166 PGS262160:PGS262166 PQO262160:PQO262166 QAK262160:QAK262166 QKG262160:QKG262166 QUC262160:QUC262166 RDY262160:RDY262166 RNU262160:RNU262166 RXQ262160:RXQ262166 SHM262160:SHM262166 SRI262160:SRI262166 TBE262160:TBE262166 TLA262160:TLA262166 TUW262160:TUW262166 UES262160:UES262166 UOO262160:UOO262166 UYK262160:UYK262166 VIG262160:VIG262166 VSC262160:VSC262166 WBY262160:WBY262166 WLU262160:WLU262166 WVQ262160:WVQ262166 I327696:I327702 JE327696:JE327702 TA327696:TA327702 ACW327696:ACW327702 AMS327696:AMS327702 AWO327696:AWO327702 BGK327696:BGK327702 BQG327696:BQG327702 CAC327696:CAC327702 CJY327696:CJY327702 CTU327696:CTU327702 DDQ327696:DDQ327702 DNM327696:DNM327702 DXI327696:DXI327702 EHE327696:EHE327702 ERA327696:ERA327702 FAW327696:FAW327702 FKS327696:FKS327702 FUO327696:FUO327702 GEK327696:GEK327702 GOG327696:GOG327702 GYC327696:GYC327702 HHY327696:HHY327702 HRU327696:HRU327702 IBQ327696:IBQ327702 ILM327696:ILM327702 IVI327696:IVI327702 JFE327696:JFE327702 JPA327696:JPA327702 JYW327696:JYW327702 KIS327696:KIS327702 KSO327696:KSO327702 LCK327696:LCK327702 LMG327696:LMG327702 LWC327696:LWC327702 MFY327696:MFY327702 MPU327696:MPU327702 MZQ327696:MZQ327702 NJM327696:NJM327702 NTI327696:NTI327702 ODE327696:ODE327702 ONA327696:ONA327702 OWW327696:OWW327702 PGS327696:PGS327702 PQO327696:PQO327702 QAK327696:QAK327702 QKG327696:QKG327702 QUC327696:QUC327702 RDY327696:RDY327702 RNU327696:RNU327702 RXQ327696:RXQ327702 SHM327696:SHM327702 SRI327696:SRI327702 TBE327696:TBE327702 TLA327696:TLA327702 TUW327696:TUW327702 UES327696:UES327702 UOO327696:UOO327702 UYK327696:UYK327702 VIG327696:VIG327702 VSC327696:VSC327702 WBY327696:WBY327702 WLU327696:WLU327702 WVQ327696:WVQ327702 I393232:I393238 JE393232:JE393238 TA393232:TA393238 ACW393232:ACW393238 AMS393232:AMS393238 AWO393232:AWO393238 BGK393232:BGK393238 BQG393232:BQG393238 CAC393232:CAC393238 CJY393232:CJY393238 CTU393232:CTU393238 DDQ393232:DDQ393238 DNM393232:DNM393238 DXI393232:DXI393238 EHE393232:EHE393238 ERA393232:ERA393238 FAW393232:FAW393238 FKS393232:FKS393238 FUO393232:FUO393238 GEK393232:GEK393238 GOG393232:GOG393238 GYC393232:GYC393238 HHY393232:HHY393238 HRU393232:HRU393238 IBQ393232:IBQ393238 ILM393232:ILM393238 IVI393232:IVI393238 JFE393232:JFE393238 JPA393232:JPA393238 JYW393232:JYW393238 KIS393232:KIS393238 KSO393232:KSO393238 LCK393232:LCK393238 LMG393232:LMG393238 LWC393232:LWC393238 MFY393232:MFY393238 MPU393232:MPU393238 MZQ393232:MZQ393238 NJM393232:NJM393238 NTI393232:NTI393238 ODE393232:ODE393238 ONA393232:ONA393238 OWW393232:OWW393238 PGS393232:PGS393238 PQO393232:PQO393238 QAK393232:QAK393238 QKG393232:QKG393238 QUC393232:QUC393238 RDY393232:RDY393238 RNU393232:RNU393238 RXQ393232:RXQ393238 SHM393232:SHM393238 SRI393232:SRI393238 TBE393232:TBE393238 TLA393232:TLA393238 TUW393232:TUW393238 UES393232:UES393238 UOO393232:UOO393238 UYK393232:UYK393238 VIG393232:VIG393238 VSC393232:VSC393238 WBY393232:WBY393238 WLU393232:WLU393238 WVQ393232:WVQ393238 I458768:I458774 JE458768:JE458774 TA458768:TA458774 ACW458768:ACW458774 AMS458768:AMS458774 AWO458768:AWO458774 BGK458768:BGK458774 BQG458768:BQG458774 CAC458768:CAC458774 CJY458768:CJY458774 CTU458768:CTU458774 DDQ458768:DDQ458774 DNM458768:DNM458774 DXI458768:DXI458774 EHE458768:EHE458774 ERA458768:ERA458774 FAW458768:FAW458774 FKS458768:FKS458774 FUO458768:FUO458774 GEK458768:GEK458774 GOG458768:GOG458774 GYC458768:GYC458774 HHY458768:HHY458774 HRU458768:HRU458774 IBQ458768:IBQ458774 ILM458768:ILM458774 IVI458768:IVI458774 JFE458768:JFE458774 JPA458768:JPA458774 JYW458768:JYW458774 KIS458768:KIS458774 KSO458768:KSO458774 LCK458768:LCK458774 LMG458768:LMG458774 LWC458768:LWC458774 MFY458768:MFY458774 MPU458768:MPU458774 MZQ458768:MZQ458774 NJM458768:NJM458774 NTI458768:NTI458774 ODE458768:ODE458774 ONA458768:ONA458774 OWW458768:OWW458774 PGS458768:PGS458774 PQO458768:PQO458774 QAK458768:QAK458774 QKG458768:QKG458774 QUC458768:QUC458774 RDY458768:RDY458774 RNU458768:RNU458774 RXQ458768:RXQ458774 SHM458768:SHM458774 SRI458768:SRI458774 TBE458768:TBE458774 TLA458768:TLA458774 TUW458768:TUW458774 UES458768:UES458774 UOO458768:UOO458774 UYK458768:UYK458774 VIG458768:VIG458774 VSC458768:VSC458774 WBY458768:WBY458774 WLU458768:WLU458774 WVQ458768:WVQ458774 I524304:I524310 JE524304:JE524310 TA524304:TA524310 ACW524304:ACW524310 AMS524304:AMS524310 AWO524304:AWO524310 BGK524304:BGK524310 BQG524304:BQG524310 CAC524304:CAC524310 CJY524304:CJY524310 CTU524304:CTU524310 DDQ524304:DDQ524310 DNM524304:DNM524310 DXI524304:DXI524310 EHE524304:EHE524310 ERA524304:ERA524310 FAW524304:FAW524310 FKS524304:FKS524310 FUO524304:FUO524310 GEK524304:GEK524310 GOG524304:GOG524310 GYC524304:GYC524310 HHY524304:HHY524310 HRU524304:HRU524310 IBQ524304:IBQ524310 ILM524304:ILM524310 IVI524304:IVI524310 JFE524304:JFE524310 JPA524304:JPA524310 JYW524304:JYW524310 KIS524304:KIS524310 KSO524304:KSO524310 LCK524304:LCK524310 LMG524304:LMG524310 LWC524304:LWC524310 MFY524304:MFY524310 MPU524304:MPU524310 MZQ524304:MZQ524310 NJM524304:NJM524310 NTI524304:NTI524310 ODE524304:ODE524310 ONA524304:ONA524310 OWW524304:OWW524310 PGS524304:PGS524310 PQO524304:PQO524310 QAK524304:QAK524310 QKG524304:QKG524310 QUC524304:QUC524310 RDY524304:RDY524310 RNU524304:RNU524310 RXQ524304:RXQ524310 SHM524304:SHM524310 SRI524304:SRI524310 TBE524304:TBE524310 TLA524304:TLA524310 TUW524304:TUW524310 UES524304:UES524310 UOO524304:UOO524310 UYK524304:UYK524310 VIG524304:VIG524310 VSC524304:VSC524310 WBY524304:WBY524310 WLU524304:WLU524310 WVQ524304:WVQ524310 I589840:I589846 JE589840:JE589846 TA589840:TA589846 ACW589840:ACW589846 AMS589840:AMS589846 AWO589840:AWO589846 BGK589840:BGK589846 BQG589840:BQG589846 CAC589840:CAC589846 CJY589840:CJY589846 CTU589840:CTU589846 DDQ589840:DDQ589846 DNM589840:DNM589846 DXI589840:DXI589846 EHE589840:EHE589846 ERA589840:ERA589846 FAW589840:FAW589846 FKS589840:FKS589846 FUO589840:FUO589846 GEK589840:GEK589846 GOG589840:GOG589846 GYC589840:GYC589846 HHY589840:HHY589846 HRU589840:HRU589846 IBQ589840:IBQ589846 ILM589840:ILM589846 IVI589840:IVI589846 JFE589840:JFE589846 JPA589840:JPA589846 JYW589840:JYW589846 KIS589840:KIS589846 KSO589840:KSO589846 LCK589840:LCK589846 LMG589840:LMG589846 LWC589840:LWC589846 MFY589840:MFY589846 MPU589840:MPU589846 MZQ589840:MZQ589846 NJM589840:NJM589846 NTI589840:NTI589846 ODE589840:ODE589846 ONA589840:ONA589846 OWW589840:OWW589846 PGS589840:PGS589846 PQO589840:PQO589846 QAK589840:QAK589846 QKG589840:QKG589846 QUC589840:QUC589846 RDY589840:RDY589846 RNU589840:RNU589846 RXQ589840:RXQ589846 SHM589840:SHM589846 SRI589840:SRI589846 TBE589840:TBE589846 TLA589840:TLA589846 TUW589840:TUW589846 UES589840:UES589846 UOO589840:UOO589846 UYK589840:UYK589846 VIG589840:VIG589846 VSC589840:VSC589846 WBY589840:WBY589846 WLU589840:WLU589846 WVQ589840:WVQ589846 I655376:I655382 JE655376:JE655382 TA655376:TA655382 ACW655376:ACW655382 AMS655376:AMS655382 AWO655376:AWO655382 BGK655376:BGK655382 BQG655376:BQG655382 CAC655376:CAC655382 CJY655376:CJY655382 CTU655376:CTU655382 DDQ655376:DDQ655382 DNM655376:DNM655382 DXI655376:DXI655382 EHE655376:EHE655382 ERA655376:ERA655382 FAW655376:FAW655382 FKS655376:FKS655382 FUO655376:FUO655382 GEK655376:GEK655382 GOG655376:GOG655382 GYC655376:GYC655382 HHY655376:HHY655382 HRU655376:HRU655382 IBQ655376:IBQ655382 ILM655376:ILM655382 IVI655376:IVI655382 JFE655376:JFE655382 JPA655376:JPA655382 JYW655376:JYW655382 KIS655376:KIS655382 KSO655376:KSO655382 LCK655376:LCK655382 LMG655376:LMG655382 LWC655376:LWC655382 MFY655376:MFY655382 MPU655376:MPU655382 MZQ655376:MZQ655382 NJM655376:NJM655382 NTI655376:NTI655382 ODE655376:ODE655382 ONA655376:ONA655382 OWW655376:OWW655382 PGS655376:PGS655382 PQO655376:PQO655382 QAK655376:QAK655382 QKG655376:QKG655382 QUC655376:QUC655382 RDY655376:RDY655382 RNU655376:RNU655382 RXQ655376:RXQ655382 SHM655376:SHM655382 SRI655376:SRI655382 TBE655376:TBE655382 TLA655376:TLA655382 TUW655376:TUW655382 UES655376:UES655382 UOO655376:UOO655382 UYK655376:UYK655382 VIG655376:VIG655382 VSC655376:VSC655382 WBY655376:WBY655382 WLU655376:WLU655382 WVQ655376:WVQ655382 I720912:I720918 JE720912:JE720918 TA720912:TA720918 ACW720912:ACW720918 AMS720912:AMS720918 AWO720912:AWO720918 BGK720912:BGK720918 BQG720912:BQG720918 CAC720912:CAC720918 CJY720912:CJY720918 CTU720912:CTU720918 DDQ720912:DDQ720918 DNM720912:DNM720918 DXI720912:DXI720918 EHE720912:EHE720918 ERA720912:ERA720918 FAW720912:FAW720918 FKS720912:FKS720918 FUO720912:FUO720918 GEK720912:GEK720918 GOG720912:GOG720918 GYC720912:GYC720918 HHY720912:HHY720918 HRU720912:HRU720918 IBQ720912:IBQ720918 ILM720912:ILM720918 IVI720912:IVI720918 JFE720912:JFE720918 JPA720912:JPA720918 JYW720912:JYW720918 KIS720912:KIS720918 KSO720912:KSO720918 LCK720912:LCK720918 LMG720912:LMG720918 LWC720912:LWC720918 MFY720912:MFY720918 MPU720912:MPU720918 MZQ720912:MZQ720918 NJM720912:NJM720918 NTI720912:NTI720918 ODE720912:ODE720918 ONA720912:ONA720918 OWW720912:OWW720918 PGS720912:PGS720918 PQO720912:PQO720918 QAK720912:QAK720918 QKG720912:QKG720918 QUC720912:QUC720918 RDY720912:RDY720918 RNU720912:RNU720918 RXQ720912:RXQ720918 SHM720912:SHM720918 SRI720912:SRI720918 TBE720912:TBE720918 TLA720912:TLA720918 TUW720912:TUW720918 UES720912:UES720918 UOO720912:UOO720918 UYK720912:UYK720918 VIG720912:VIG720918 VSC720912:VSC720918 WBY720912:WBY720918 WLU720912:WLU720918 WVQ720912:WVQ720918 I786448:I786454 JE786448:JE786454 TA786448:TA786454 ACW786448:ACW786454 AMS786448:AMS786454 AWO786448:AWO786454 BGK786448:BGK786454 BQG786448:BQG786454 CAC786448:CAC786454 CJY786448:CJY786454 CTU786448:CTU786454 DDQ786448:DDQ786454 DNM786448:DNM786454 DXI786448:DXI786454 EHE786448:EHE786454 ERA786448:ERA786454 FAW786448:FAW786454 FKS786448:FKS786454 FUO786448:FUO786454 GEK786448:GEK786454 GOG786448:GOG786454 GYC786448:GYC786454 HHY786448:HHY786454 HRU786448:HRU786454 IBQ786448:IBQ786454 ILM786448:ILM786454 IVI786448:IVI786454 JFE786448:JFE786454 JPA786448:JPA786454 JYW786448:JYW786454 KIS786448:KIS786454 KSO786448:KSO786454 LCK786448:LCK786454 LMG786448:LMG786454 LWC786448:LWC786454 MFY786448:MFY786454 MPU786448:MPU786454 MZQ786448:MZQ786454 NJM786448:NJM786454 NTI786448:NTI786454 ODE786448:ODE786454 ONA786448:ONA786454 OWW786448:OWW786454 PGS786448:PGS786454 PQO786448:PQO786454 QAK786448:QAK786454 QKG786448:QKG786454 QUC786448:QUC786454 RDY786448:RDY786454 RNU786448:RNU786454 RXQ786448:RXQ786454 SHM786448:SHM786454 SRI786448:SRI786454 TBE786448:TBE786454 TLA786448:TLA786454 TUW786448:TUW786454 UES786448:UES786454 UOO786448:UOO786454 UYK786448:UYK786454 VIG786448:VIG786454 VSC786448:VSC786454 WBY786448:WBY786454 WLU786448:WLU786454 WVQ786448:WVQ786454 I851984:I851990 JE851984:JE851990 TA851984:TA851990 ACW851984:ACW851990 AMS851984:AMS851990 AWO851984:AWO851990 BGK851984:BGK851990 BQG851984:BQG851990 CAC851984:CAC851990 CJY851984:CJY851990 CTU851984:CTU851990 DDQ851984:DDQ851990 DNM851984:DNM851990 DXI851984:DXI851990 EHE851984:EHE851990 ERA851984:ERA851990 FAW851984:FAW851990 FKS851984:FKS851990 FUO851984:FUO851990 GEK851984:GEK851990 GOG851984:GOG851990 GYC851984:GYC851990 HHY851984:HHY851990 HRU851984:HRU851990 IBQ851984:IBQ851990 ILM851984:ILM851990 IVI851984:IVI851990 JFE851984:JFE851990 JPA851984:JPA851990 JYW851984:JYW851990 KIS851984:KIS851990 KSO851984:KSO851990 LCK851984:LCK851990 LMG851984:LMG851990 LWC851984:LWC851990 MFY851984:MFY851990 MPU851984:MPU851990 MZQ851984:MZQ851990 NJM851984:NJM851990 NTI851984:NTI851990 ODE851984:ODE851990 ONA851984:ONA851990 OWW851984:OWW851990 PGS851984:PGS851990 PQO851984:PQO851990 QAK851984:QAK851990 QKG851984:QKG851990 QUC851984:QUC851990 RDY851984:RDY851990 RNU851984:RNU851990 RXQ851984:RXQ851990 SHM851984:SHM851990 SRI851984:SRI851990 TBE851984:TBE851990 TLA851984:TLA851990 TUW851984:TUW851990 UES851984:UES851990 UOO851984:UOO851990 UYK851984:UYK851990 VIG851984:VIG851990 VSC851984:VSC851990 WBY851984:WBY851990 WLU851984:WLU851990 WVQ851984:WVQ851990 I917520:I917526 JE917520:JE917526 TA917520:TA917526 ACW917520:ACW917526 AMS917520:AMS917526 AWO917520:AWO917526 BGK917520:BGK917526 BQG917520:BQG917526 CAC917520:CAC917526 CJY917520:CJY917526 CTU917520:CTU917526 DDQ917520:DDQ917526 DNM917520:DNM917526 DXI917520:DXI917526 EHE917520:EHE917526 ERA917520:ERA917526 FAW917520:FAW917526 FKS917520:FKS917526 FUO917520:FUO917526 GEK917520:GEK917526 GOG917520:GOG917526 GYC917520:GYC917526 HHY917520:HHY917526 HRU917520:HRU917526 IBQ917520:IBQ917526 ILM917520:ILM917526 IVI917520:IVI917526 JFE917520:JFE917526 JPA917520:JPA917526 JYW917520:JYW917526 KIS917520:KIS917526 KSO917520:KSO917526 LCK917520:LCK917526 LMG917520:LMG917526 LWC917520:LWC917526 MFY917520:MFY917526 MPU917520:MPU917526 MZQ917520:MZQ917526 NJM917520:NJM917526 NTI917520:NTI917526 ODE917520:ODE917526 ONA917520:ONA917526 OWW917520:OWW917526 PGS917520:PGS917526 PQO917520:PQO917526 QAK917520:QAK917526 QKG917520:QKG917526 QUC917520:QUC917526 RDY917520:RDY917526 RNU917520:RNU917526 RXQ917520:RXQ917526 SHM917520:SHM917526 SRI917520:SRI917526 TBE917520:TBE917526 TLA917520:TLA917526 TUW917520:TUW917526 UES917520:UES917526 UOO917520:UOO917526 UYK917520:UYK917526 VIG917520:VIG917526 VSC917520:VSC917526 WBY917520:WBY917526 WLU917520:WLU917526 WVQ917520:WVQ917526 I983056:I983062 JE983056:JE983062 TA983056:TA983062 ACW983056:ACW983062 AMS983056:AMS983062 AWO983056:AWO983062 BGK983056:BGK983062 BQG983056:BQG983062 CAC983056:CAC983062 CJY983056:CJY983062 CTU983056:CTU983062 DDQ983056:DDQ983062 DNM983056:DNM983062 DXI983056:DXI983062 EHE983056:EHE983062 ERA983056:ERA983062 FAW983056:FAW983062 FKS983056:FKS983062 FUO983056:FUO983062 GEK983056:GEK983062 GOG983056:GOG983062 GYC983056:GYC983062 HHY983056:HHY983062 HRU983056:HRU983062 IBQ983056:IBQ983062 ILM983056:ILM983062 IVI983056:IVI983062 JFE983056:JFE983062 JPA983056:JPA983062 JYW983056:JYW983062 KIS983056:KIS983062 KSO983056:KSO983062 LCK983056:LCK983062 LMG983056:LMG983062 LWC983056:LWC983062 MFY983056:MFY983062 MPU983056:MPU983062 MZQ983056:MZQ983062 NJM983056:NJM983062 NTI983056:NTI983062 ODE983056:ODE983062 ONA983056:ONA983062 OWW983056:OWW983062 PGS983056:PGS983062 PQO983056:PQO983062 QAK983056:QAK983062 QKG983056:QKG983062 QUC983056:QUC983062 RDY983056:RDY983062 RNU983056:RNU983062 RXQ983056:RXQ983062 SHM983056:SHM983062 SRI983056:SRI983062 TBE983056:TBE983062 TLA983056:TLA983062 TUW983056:TUW983062 UES983056:UES983062 UOO983056:UOO983062 UYK983056:UYK983062 VIG983056:VIG983062 TA23:TA30 JE23:JE30 I23:I30 I14:I21" xr:uid="{00000000-0002-0000-0100-000001000000}">
      <formula1>"Accepted, Not accepted, N/A"</formula1>
    </dataValidation>
    <dataValidation type="list" allowBlank="1" showInputMessage="1" showErrorMessage="1" sqref="E34:E37 JA34:JA37 SW34:SW37 ACS34:ACS37 AMO34:AMO37 AWK34:AWK37 BGG34:BGG37 BQC34:BQC37 BZY34:BZY37 CJU34:CJU37 CTQ34:CTQ37 DDM34:DDM37 DNI34:DNI37 DXE34:DXE37 EHA34:EHA37 EQW34:EQW37 FAS34:FAS37 FKO34:FKO37 FUK34:FUK37 GEG34:GEG37 GOC34:GOC37 GXY34:GXY37 HHU34:HHU37 HRQ34:HRQ37 IBM34:IBM37 ILI34:ILI37 IVE34:IVE37 JFA34:JFA37 JOW34:JOW37 JYS34:JYS37 KIO34:KIO37 KSK34:KSK37 LCG34:LCG37 LMC34:LMC37 LVY34:LVY37 MFU34:MFU37 MPQ34:MPQ37 MZM34:MZM37 NJI34:NJI37 NTE34:NTE37 ODA34:ODA37 OMW34:OMW37 OWS34:OWS37 PGO34:PGO37 PQK34:PQK37 QAG34:QAG37 QKC34:QKC37 QTY34:QTY37 RDU34:RDU37 RNQ34:RNQ37 RXM34:RXM37 SHI34:SHI37 SRE34:SRE37 TBA34:TBA37 TKW34:TKW37 TUS34:TUS37 UEO34:UEO37 UOK34:UOK37 UYG34:UYG37 VIC34:VIC37 VRY34:VRY37 WBU34:WBU37 WLQ34:WLQ37 WVM34:WVM37 E65570:E65573 JA65570:JA65573 SW65570:SW65573 ACS65570:ACS65573 AMO65570:AMO65573 AWK65570:AWK65573 BGG65570:BGG65573 BQC65570:BQC65573 BZY65570:BZY65573 CJU65570:CJU65573 CTQ65570:CTQ65573 DDM65570:DDM65573 DNI65570:DNI65573 DXE65570:DXE65573 EHA65570:EHA65573 EQW65570:EQW65573 FAS65570:FAS65573 FKO65570:FKO65573 FUK65570:FUK65573 GEG65570:GEG65573 GOC65570:GOC65573 GXY65570:GXY65573 HHU65570:HHU65573 HRQ65570:HRQ65573 IBM65570:IBM65573 ILI65570:ILI65573 IVE65570:IVE65573 JFA65570:JFA65573 JOW65570:JOW65573 JYS65570:JYS65573 KIO65570:KIO65573 KSK65570:KSK65573 LCG65570:LCG65573 LMC65570:LMC65573 LVY65570:LVY65573 MFU65570:MFU65573 MPQ65570:MPQ65573 MZM65570:MZM65573 NJI65570:NJI65573 NTE65570:NTE65573 ODA65570:ODA65573 OMW65570:OMW65573 OWS65570:OWS65573 PGO65570:PGO65573 PQK65570:PQK65573 QAG65570:QAG65573 QKC65570:QKC65573 QTY65570:QTY65573 RDU65570:RDU65573 RNQ65570:RNQ65573 RXM65570:RXM65573 SHI65570:SHI65573 SRE65570:SRE65573 TBA65570:TBA65573 TKW65570:TKW65573 TUS65570:TUS65573 UEO65570:UEO65573 UOK65570:UOK65573 UYG65570:UYG65573 VIC65570:VIC65573 VRY65570:VRY65573 WBU65570:WBU65573 WLQ65570:WLQ65573 WVM65570:WVM65573 E131106:E131109 JA131106:JA131109 SW131106:SW131109 ACS131106:ACS131109 AMO131106:AMO131109 AWK131106:AWK131109 BGG131106:BGG131109 BQC131106:BQC131109 BZY131106:BZY131109 CJU131106:CJU131109 CTQ131106:CTQ131109 DDM131106:DDM131109 DNI131106:DNI131109 DXE131106:DXE131109 EHA131106:EHA131109 EQW131106:EQW131109 FAS131106:FAS131109 FKO131106:FKO131109 FUK131106:FUK131109 GEG131106:GEG131109 GOC131106:GOC131109 GXY131106:GXY131109 HHU131106:HHU131109 HRQ131106:HRQ131109 IBM131106:IBM131109 ILI131106:ILI131109 IVE131106:IVE131109 JFA131106:JFA131109 JOW131106:JOW131109 JYS131106:JYS131109 KIO131106:KIO131109 KSK131106:KSK131109 LCG131106:LCG131109 LMC131106:LMC131109 LVY131106:LVY131109 MFU131106:MFU131109 MPQ131106:MPQ131109 MZM131106:MZM131109 NJI131106:NJI131109 NTE131106:NTE131109 ODA131106:ODA131109 OMW131106:OMW131109 OWS131106:OWS131109 PGO131106:PGO131109 PQK131106:PQK131109 QAG131106:QAG131109 QKC131106:QKC131109 QTY131106:QTY131109 RDU131106:RDU131109 RNQ131106:RNQ131109 RXM131106:RXM131109 SHI131106:SHI131109 SRE131106:SRE131109 TBA131106:TBA131109 TKW131106:TKW131109 TUS131106:TUS131109 UEO131106:UEO131109 UOK131106:UOK131109 UYG131106:UYG131109 VIC131106:VIC131109 VRY131106:VRY131109 WBU131106:WBU131109 WLQ131106:WLQ131109 WVM131106:WVM131109 E196642:E196645 JA196642:JA196645 SW196642:SW196645 ACS196642:ACS196645 AMO196642:AMO196645 AWK196642:AWK196645 BGG196642:BGG196645 BQC196642:BQC196645 BZY196642:BZY196645 CJU196642:CJU196645 CTQ196642:CTQ196645 DDM196642:DDM196645 DNI196642:DNI196645 DXE196642:DXE196645 EHA196642:EHA196645 EQW196642:EQW196645 FAS196642:FAS196645 FKO196642:FKO196645 FUK196642:FUK196645 GEG196642:GEG196645 GOC196642:GOC196645 GXY196642:GXY196645 HHU196642:HHU196645 HRQ196642:HRQ196645 IBM196642:IBM196645 ILI196642:ILI196645 IVE196642:IVE196645 JFA196642:JFA196645 JOW196642:JOW196645 JYS196642:JYS196645 KIO196642:KIO196645 KSK196642:KSK196645 LCG196642:LCG196645 LMC196642:LMC196645 LVY196642:LVY196645 MFU196642:MFU196645 MPQ196642:MPQ196645 MZM196642:MZM196645 NJI196642:NJI196645 NTE196642:NTE196645 ODA196642:ODA196645 OMW196642:OMW196645 OWS196642:OWS196645 PGO196642:PGO196645 PQK196642:PQK196645 QAG196642:QAG196645 QKC196642:QKC196645 QTY196642:QTY196645 RDU196642:RDU196645 RNQ196642:RNQ196645 RXM196642:RXM196645 SHI196642:SHI196645 SRE196642:SRE196645 TBA196642:TBA196645 TKW196642:TKW196645 TUS196642:TUS196645 UEO196642:UEO196645 UOK196642:UOK196645 UYG196642:UYG196645 VIC196642:VIC196645 VRY196642:VRY196645 WBU196642:WBU196645 WLQ196642:WLQ196645 WVM196642:WVM196645 E262178:E262181 JA262178:JA262181 SW262178:SW262181 ACS262178:ACS262181 AMO262178:AMO262181 AWK262178:AWK262181 BGG262178:BGG262181 BQC262178:BQC262181 BZY262178:BZY262181 CJU262178:CJU262181 CTQ262178:CTQ262181 DDM262178:DDM262181 DNI262178:DNI262181 DXE262178:DXE262181 EHA262178:EHA262181 EQW262178:EQW262181 FAS262178:FAS262181 FKO262178:FKO262181 FUK262178:FUK262181 GEG262178:GEG262181 GOC262178:GOC262181 GXY262178:GXY262181 HHU262178:HHU262181 HRQ262178:HRQ262181 IBM262178:IBM262181 ILI262178:ILI262181 IVE262178:IVE262181 JFA262178:JFA262181 JOW262178:JOW262181 JYS262178:JYS262181 KIO262178:KIO262181 KSK262178:KSK262181 LCG262178:LCG262181 LMC262178:LMC262181 LVY262178:LVY262181 MFU262178:MFU262181 MPQ262178:MPQ262181 MZM262178:MZM262181 NJI262178:NJI262181 NTE262178:NTE262181 ODA262178:ODA262181 OMW262178:OMW262181 OWS262178:OWS262181 PGO262178:PGO262181 PQK262178:PQK262181 QAG262178:QAG262181 QKC262178:QKC262181 QTY262178:QTY262181 RDU262178:RDU262181 RNQ262178:RNQ262181 RXM262178:RXM262181 SHI262178:SHI262181 SRE262178:SRE262181 TBA262178:TBA262181 TKW262178:TKW262181 TUS262178:TUS262181 UEO262178:UEO262181 UOK262178:UOK262181 UYG262178:UYG262181 VIC262178:VIC262181 VRY262178:VRY262181 WBU262178:WBU262181 WLQ262178:WLQ262181 WVM262178:WVM262181 E327714:E327717 JA327714:JA327717 SW327714:SW327717 ACS327714:ACS327717 AMO327714:AMO327717 AWK327714:AWK327717 BGG327714:BGG327717 BQC327714:BQC327717 BZY327714:BZY327717 CJU327714:CJU327717 CTQ327714:CTQ327717 DDM327714:DDM327717 DNI327714:DNI327717 DXE327714:DXE327717 EHA327714:EHA327717 EQW327714:EQW327717 FAS327714:FAS327717 FKO327714:FKO327717 FUK327714:FUK327717 GEG327714:GEG327717 GOC327714:GOC327717 GXY327714:GXY327717 HHU327714:HHU327717 HRQ327714:HRQ327717 IBM327714:IBM327717 ILI327714:ILI327717 IVE327714:IVE327717 JFA327714:JFA327717 JOW327714:JOW327717 JYS327714:JYS327717 KIO327714:KIO327717 KSK327714:KSK327717 LCG327714:LCG327717 LMC327714:LMC327717 LVY327714:LVY327717 MFU327714:MFU327717 MPQ327714:MPQ327717 MZM327714:MZM327717 NJI327714:NJI327717 NTE327714:NTE327717 ODA327714:ODA327717 OMW327714:OMW327717 OWS327714:OWS327717 PGO327714:PGO327717 PQK327714:PQK327717 QAG327714:QAG327717 QKC327714:QKC327717 QTY327714:QTY327717 RDU327714:RDU327717 RNQ327714:RNQ327717 RXM327714:RXM327717 SHI327714:SHI327717 SRE327714:SRE327717 TBA327714:TBA327717 TKW327714:TKW327717 TUS327714:TUS327717 UEO327714:UEO327717 UOK327714:UOK327717 UYG327714:UYG327717 VIC327714:VIC327717 VRY327714:VRY327717 WBU327714:WBU327717 WLQ327714:WLQ327717 WVM327714:WVM327717 E393250:E393253 JA393250:JA393253 SW393250:SW393253 ACS393250:ACS393253 AMO393250:AMO393253 AWK393250:AWK393253 BGG393250:BGG393253 BQC393250:BQC393253 BZY393250:BZY393253 CJU393250:CJU393253 CTQ393250:CTQ393253 DDM393250:DDM393253 DNI393250:DNI393253 DXE393250:DXE393253 EHA393250:EHA393253 EQW393250:EQW393253 FAS393250:FAS393253 FKO393250:FKO393253 FUK393250:FUK393253 GEG393250:GEG393253 GOC393250:GOC393253 GXY393250:GXY393253 HHU393250:HHU393253 HRQ393250:HRQ393253 IBM393250:IBM393253 ILI393250:ILI393253 IVE393250:IVE393253 JFA393250:JFA393253 JOW393250:JOW393253 JYS393250:JYS393253 KIO393250:KIO393253 KSK393250:KSK393253 LCG393250:LCG393253 LMC393250:LMC393253 LVY393250:LVY393253 MFU393250:MFU393253 MPQ393250:MPQ393253 MZM393250:MZM393253 NJI393250:NJI393253 NTE393250:NTE393253 ODA393250:ODA393253 OMW393250:OMW393253 OWS393250:OWS393253 PGO393250:PGO393253 PQK393250:PQK393253 QAG393250:QAG393253 QKC393250:QKC393253 QTY393250:QTY393253 RDU393250:RDU393253 RNQ393250:RNQ393253 RXM393250:RXM393253 SHI393250:SHI393253 SRE393250:SRE393253 TBA393250:TBA393253 TKW393250:TKW393253 TUS393250:TUS393253 UEO393250:UEO393253 UOK393250:UOK393253 UYG393250:UYG393253 VIC393250:VIC393253 VRY393250:VRY393253 WBU393250:WBU393253 WLQ393250:WLQ393253 WVM393250:WVM393253 E458786:E458789 JA458786:JA458789 SW458786:SW458789 ACS458786:ACS458789 AMO458786:AMO458789 AWK458786:AWK458789 BGG458786:BGG458789 BQC458786:BQC458789 BZY458786:BZY458789 CJU458786:CJU458789 CTQ458786:CTQ458789 DDM458786:DDM458789 DNI458786:DNI458789 DXE458786:DXE458789 EHA458786:EHA458789 EQW458786:EQW458789 FAS458786:FAS458789 FKO458786:FKO458789 FUK458786:FUK458789 GEG458786:GEG458789 GOC458786:GOC458789 GXY458786:GXY458789 HHU458786:HHU458789 HRQ458786:HRQ458789 IBM458786:IBM458789 ILI458786:ILI458789 IVE458786:IVE458789 JFA458786:JFA458789 JOW458786:JOW458789 JYS458786:JYS458789 KIO458786:KIO458789 KSK458786:KSK458789 LCG458786:LCG458789 LMC458786:LMC458789 LVY458786:LVY458789 MFU458786:MFU458789 MPQ458786:MPQ458789 MZM458786:MZM458789 NJI458786:NJI458789 NTE458786:NTE458789 ODA458786:ODA458789 OMW458786:OMW458789 OWS458786:OWS458789 PGO458786:PGO458789 PQK458786:PQK458789 QAG458786:QAG458789 QKC458786:QKC458789 QTY458786:QTY458789 RDU458786:RDU458789 RNQ458786:RNQ458789 RXM458786:RXM458789 SHI458786:SHI458789 SRE458786:SRE458789 TBA458786:TBA458789 TKW458786:TKW458789 TUS458786:TUS458789 UEO458786:UEO458789 UOK458786:UOK458789 UYG458786:UYG458789 VIC458786:VIC458789 VRY458786:VRY458789 WBU458786:WBU458789 WLQ458786:WLQ458789 WVM458786:WVM458789 E524322:E524325 JA524322:JA524325 SW524322:SW524325 ACS524322:ACS524325 AMO524322:AMO524325 AWK524322:AWK524325 BGG524322:BGG524325 BQC524322:BQC524325 BZY524322:BZY524325 CJU524322:CJU524325 CTQ524322:CTQ524325 DDM524322:DDM524325 DNI524322:DNI524325 DXE524322:DXE524325 EHA524322:EHA524325 EQW524322:EQW524325 FAS524322:FAS524325 FKO524322:FKO524325 FUK524322:FUK524325 GEG524322:GEG524325 GOC524322:GOC524325 GXY524322:GXY524325 HHU524322:HHU524325 HRQ524322:HRQ524325 IBM524322:IBM524325 ILI524322:ILI524325 IVE524322:IVE524325 JFA524322:JFA524325 JOW524322:JOW524325 JYS524322:JYS524325 KIO524322:KIO524325 KSK524322:KSK524325 LCG524322:LCG524325 LMC524322:LMC524325 LVY524322:LVY524325 MFU524322:MFU524325 MPQ524322:MPQ524325 MZM524322:MZM524325 NJI524322:NJI524325 NTE524322:NTE524325 ODA524322:ODA524325 OMW524322:OMW524325 OWS524322:OWS524325 PGO524322:PGO524325 PQK524322:PQK524325 QAG524322:QAG524325 QKC524322:QKC524325 QTY524322:QTY524325 RDU524322:RDU524325 RNQ524322:RNQ524325 RXM524322:RXM524325 SHI524322:SHI524325 SRE524322:SRE524325 TBA524322:TBA524325 TKW524322:TKW524325 TUS524322:TUS524325 UEO524322:UEO524325 UOK524322:UOK524325 UYG524322:UYG524325 VIC524322:VIC524325 VRY524322:VRY524325 WBU524322:WBU524325 WLQ524322:WLQ524325 WVM524322:WVM524325 E589858:E589861 JA589858:JA589861 SW589858:SW589861 ACS589858:ACS589861 AMO589858:AMO589861 AWK589858:AWK589861 BGG589858:BGG589861 BQC589858:BQC589861 BZY589858:BZY589861 CJU589858:CJU589861 CTQ589858:CTQ589861 DDM589858:DDM589861 DNI589858:DNI589861 DXE589858:DXE589861 EHA589858:EHA589861 EQW589858:EQW589861 FAS589858:FAS589861 FKO589858:FKO589861 FUK589858:FUK589861 GEG589858:GEG589861 GOC589858:GOC589861 GXY589858:GXY589861 HHU589858:HHU589861 HRQ589858:HRQ589861 IBM589858:IBM589861 ILI589858:ILI589861 IVE589858:IVE589861 JFA589858:JFA589861 JOW589858:JOW589861 JYS589858:JYS589861 KIO589858:KIO589861 KSK589858:KSK589861 LCG589858:LCG589861 LMC589858:LMC589861 LVY589858:LVY589861 MFU589858:MFU589861 MPQ589858:MPQ589861 MZM589858:MZM589861 NJI589858:NJI589861 NTE589858:NTE589861 ODA589858:ODA589861 OMW589858:OMW589861 OWS589858:OWS589861 PGO589858:PGO589861 PQK589858:PQK589861 QAG589858:QAG589861 QKC589858:QKC589861 QTY589858:QTY589861 RDU589858:RDU589861 RNQ589858:RNQ589861 RXM589858:RXM589861 SHI589858:SHI589861 SRE589858:SRE589861 TBA589858:TBA589861 TKW589858:TKW589861 TUS589858:TUS589861 UEO589858:UEO589861 UOK589858:UOK589861 UYG589858:UYG589861 VIC589858:VIC589861 VRY589858:VRY589861 WBU589858:WBU589861 WLQ589858:WLQ589861 WVM589858:WVM589861 E655394:E655397 JA655394:JA655397 SW655394:SW655397 ACS655394:ACS655397 AMO655394:AMO655397 AWK655394:AWK655397 BGG655394:BGG655397 BQC655394:BQC655397 BZY655394:BZY655397 CJU655394:CJU655397 CTQ655394:CTQ655397 DDM655394:DDM655397 DNI655394:DNI655397 DXE655394:DXE655397 EHA655394:EHA655397 EQW655394:EQW655397 FAS655394:FAS655397 FKO655394:FKO655397 FUK655394:FUK655397 GEG655394:GEG655397 GOC655394:GOC655397 GXY655394:GXY655397 HHU655394:HHU655397 HRQ655394:HRQ655397 IBM655394:IBM655397 ILI655394:ILI655397 IVE655394:IVE655397 JFA655394:JFA655397 JOW655394:JOW655397 JYS655394:JYS655397 KIO655394:KIO655397 KSK655394:KSK655397 LCG655394:LCG655397 LMC655394:LMC655397 LVY655394:LVY655397 MFU655394:MFU655397 MPQ655394:MPQ655397 MZM655394:MZM655397 NJI655394:NJI655397 NTE655394:NTE655397 ODA655394:ODA655397 OMW655394:OMW655397 OWS655394:OWS655397 PGO655394:PGO655397 PQK655394:PQK655397 QAG655394:QAG655397 QKC655394:QKC655397 QTY655394:QTY655397 RDU655394:RDU655397 RNQ655394:RNQ655397 RXM655394:RXM655397 SHI655394:SHI655397 SRE655394:SRE655397 TBA655394:TBA655397 TKW655394:TKW655397 TUS655394:TUS655397 UEO655394:UEO655397 UOK655394:UOK655397 UYG655394:UYG655397 VIC655394:VIC655397 VRY655394:VRY655397 WBU655394:WBU655397 WLQ655394:WLQ655397 WVM655394:WVM655397 E720930:E720933 JA720930:JA720933 SW720930:SW720933 ACS720930:ACS720933 AMO720930:AMO720933 AWK720930:AWK720933 BGG720930:BGG720933 BQC720930:BQC720933 BZY720930:BZY720933 CJU720930:CJU720933 CTQ720930:CTQ720933 DDM720930:DDM720933 DNI720930:DNI720933 DXE720930:DXE720933 EHA720930:EHA720933 EQW720930:EQW720933 FAS720930:FAS720933 FKO720930:FKO720933 FUK720930:FUK720933 GEG720930:GEG720933 GOC720930:GOC720933 GXY720930:GXY720933 HHU720930:HHU720933 HRQ720930:HRQ720933 IBM720930:IBM720933 ILI720930:ILI720933 IVE720930:IVE720933 JFA720930:JFA720933 JOW720930:JOW720933 JYS720930:JYS720933 KIO720930:KIO720933 KSK720930:KSK720933 LCG720930:LCG720933 LMC720930:LMC720933 LVY720930:LVY720933 MFU720930:MFU720933 MPQ720930:MPQ720933 MZM720930:MZM720933 NJI720930:NJI720933 NTE720930:NTE720933 ODA720930:ODA720933 OMW720930:OMW720933 OWS720930:OWS720933 PGO720930:PGO720933 PQK720930:PQK720933 QAG720930:QAG720933 QKC720930:QKC720933 QTY720930:QTY720933 RDU720930:RDU720933 RNQ720930:RNQ720933 RXM720930:RXM720933 SHI720930:SHI720933 SRE720930:SRE720933 TBA720930:TBA720933 TKW720930:TKW720933 TUS720930:TUS720933 UEO720930:UEO720933 UOK720930:UOK720933 UYG720930:UYG720933 VIC720930:VIC720933 VRY720930:VRY720933 WBU720930:WBU720933 WLQ720930:WLQ720933 WVM720930:WVM720933 E786466:E786469 JA786466:JA786469 SW786466:SW786469 ACS786466:ACS786469 AMO786466:AMO786469 AWK786466:AWK786469 BGG786466:BGG786469 BQC786466:BQC786469 BZY786466:BZY786469 CJU786466:CJU786469 CTQ786466:CTQ786469 DDM786466:DDM786469 DNI786466:DNI786469 DXE786466:DXE786469 EHA786466:EHA786469 EQW786466:EQW786469 FAS786466:FAS786469 FKO786466:FKO786469 FUK786466:FUK786469 GEG786466:GEG786469 GOC786466:GOC786469 GXY786466:GXY786469 HHU786466:HHU786469 HRQ786466:HRQ786469 IBM786466:IBM786469 ILI786466:ILI786469 IVE786466:IVE786469 JFA786466:JFA786469 JOW786466:JOW786469 JYS786466:JYS786469 KIO786466:KIO786469 KSK786466:KSK786469 LCG786466:LCG786469 LMC786466:LMC786469 LVY786466:LVY786469 MFU786466:MFU786469 MPQ786466:MPQ786469 MZM786466:MZM786469 NJI786466:NJI786469 NTE786466:NTE786469 ODA786466:ODA786469 OMW786466:OMW786469 OWS786466:OWS786469 PGO786466:PGO786469 PQK786466:PQK786469 QAG786466:QAG786469 QKC786466:QKC786469 QTY786466:QTY786469 RDU786466:RDU786469 RNQ786466:RNQ786469 RXM786466:RXM786469 SHI786466:SHI786469 SRE786466:SRE786469 TBA786466:TBA786469 TKW786466:TKW786469 TUS786466:TUS786469 UEO786466:UEO786469 UOK786466:UOK786469 UYG786466:UYG786469 VIC786466:VIC786469 VRY786466:VRY786469 WBU786466:WBU786469 WLQ786466:WLQ786469 WVM786466:WVM786469 E852002:E852005 JA852002:JA852005 SW852002:SW852005 ACS852002:ACS852005 AMO852002:AMO852005 AWK852002:AWK852005 BGG852002:BGG852005 BQC852002:BQC852005 BZY852002:BZY852005 CJU852002:CJU852005 CTQ852002:CTQ852005 DDM852002:DDM852005 DNI852002:DNI852005 DXE852002:DXE852005 EHA852002:EHA852005 EQW852002:EQW852005 FAS852002:FAS852005 FKO852002:FKO852005 FUK852002:FUK852005 GEG852002:GEG852005 GOC852002:GOC852005 GXY852002:GXY852005 HHU852002:HHU852005 HRQ852002:HRQ852005 IBM852002:IBM852005 ILI852002:ILI852005 IVE852002:IVE852005 JFA852002:JFA852005 JOW852002:JOW852005 JYS852002:JYS852005 KIO852002:KIO852005 KSK852002:KSK852005 LCG852002:LCG852005 LMC852002:LMC852005 LVY852002:LVY852005 MFU852002:MFU852005 MPQ852002:MPQ852005 MZM852002:MZM852005 NJI852002:NJI852005 NTE852002:NTE852005 ODA852002:ODA852005 OMW852002:OMW852005 OWS852002:OWS852005 PGO852002:PGO852005 PQK852002:PQK852005 QAG852002:QAG852005 QKC852002:QKC852005 QTY852002:QTY852005 RDU852002:RDU852005 RNQ852002:RNQ852005 RXM852002:RXM852005 SHI852002:SHI852005 SRE852002:SRE852005 TBA852002:TBA852005 TKW852002:TKW852005 TUS852002:TUS852005 UEO852002:UEO852005 UOK852002:UOK852005 UYG852002:UYG852005 VIC852002:VIC852005 VRY852002:VRY852005 WBU852002:WBU852005 WLQ852002:WLQ852005 WVM852002:WVM852005 E917538:E917541 JA917538:JA917541 SW917538:SW917541 ACS917538:ACS917541 AMO917538:AMO917541 AWK917538:AWK917541 BGG917538:BGG917541 BQC917538:BQC917541 BZY917538:BZY917541 CJU917538:CJU917541 CTQ917538:CTQ917541 DDM917538:DDM917541 DNI917538:DNI917541 DXE917538:DXE917541 EHA917538:EHA917541 EQW917538:EQW917541 FAS917538:FAS917541 FKO917538:FKO917541 FUK917538:FUK917541 GEG917538:GEG917541 GOC917538:GOC917541 GXY917538:GXY917541 HHU917538:HHU917541 HRQ917538:HRQ917541 IBM917538:IBM917541 ILI917538:ILI917541 IVE917538:IVE917541 JFA917538:JFA917541 JOW917538:JOW917541 JYS917538:JYS917541 KIO917538:KIO917541 KSK917538:KSK917541 LCG917538:LCG917541 LMC917538:LMC917541 LVY917538:LVY917541 MFU917538:MFU917541 MPQ917538:MPQ917541 MZM917538:MZM917541 NJI917538:NJI917541 NTE917538:NTE917541 ODA917538:ODA917541 OMW917538:OMW917541 OWS917538:OWS917541 PGO917538:PGO917541 PQK917538:PQK917541 QAG917538:QAG917541 QKC917538:QKC917541 QTY917538:QTY917541 RDU917538:RDU917541 RNQ917538:RNQ917541 RXM917538:RXM917541 SHI917538:SHI917541 SRE917538:SRE917541 TBA917538:TBA917541 TKW917538:TKW917541 TUS917538:TUS917541 UEO917538:UEO917541 UOK917538:UOK917541 UYG917538:UYG917541 VIC917538:VIC917541 VRY917538:VRY917541 WBU917538:WBU917541 WLQ917538:WLQ917541 WVM917538:WVM917541 E983074:E983077 JA983074:JA983077 SW983074:SW983077 ACS983074:ACS983077 AMO983074:AMO983077 AWK983074:AWK983077 BGG983074:BGG983077 BQC983074:BQC983077 BZY983074:BZY983077 CJU983074:CJU983077 CTQ983074:CTQ983077 DDM983074:DDM983077 DNI983074:DNI983077 DXE983074:DXE983077 EHA983074:EHA983077 EQW983074:EQW983077 FAS983074:FAS983077 FKO983074:FKO983077 FUK983074:FUK983077 GEG983074:GEG983077 GOC983074:GOC983077 GXY983074:GXY983077 HHU983074:HHU983077 HRQ983074:HRQ983077 IBM983074:IBM983077 ILI983074:ILI983077 IVE983074:IVE983077 JFA983074:JFA983077 JOW983074:JOW983077 JYS983074:JYS983077 KIO983074:KIO983077 KSK983074:KSK983077 LCG983074:LCG983077 LMC983074:LMC983077 LVY983074:LVY983077 MFU983074:MFU983077 MPQ983074:MPQ983077 MZM983074:MZM983077 NJI983074:NJI983077 NTE983074:NTE983077 ODA983074:ODA983077 OMW983074:OMW983077 OWS983074:OWS983077 PGO983074:PGO983077 PQK983074:PQK983077 QAG983074:QAG983077 QKC983074:QKC983077 QTY983074:QTY983077 RDU983074:RDU983077 RNQ983074:RNQ983077 RXM983074:RXM983077 SHI983074:SHI983077 SRE983074:SRE983077 TBA983074:TBA983077 TKW983074:TKW983077 TUS983074:TUS983077 UEO983074:UEO983077 UOK983074:UOK983077 UYG983074:UYG983077 VIC983074:VIC983077 VRY983074:VRY983077 WBU983074:WBU983077 WLQ983074:WLQ983077 WVM983074:WVM983077" xr:uid="{00000000-0002-0000-0100-000002000000}">
      <formula1>"Available, Not available"</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E25"/>
  <sheetViews>
    <sheetView showGridLines="0" zoomScaleNormal="100" zoomScaleSheetLayoutView="100" workbookViewId="0">
      <pane ySplit="5" topLeftCell="A15" activePane="bottomLeft" state="frozen"/>
      <selection pane="bottomLeft" activeCell="C29" sqref="C29"/>
    </sheetView>
  </sheetViews>
  <sheetFormatPr defaultColWidth="8.44140625" defaultRowHeight="14.1" customHeight="1"/>
  <cols>
    <col min="1" max="1" width="2.109375" style="127" customWidth="1"/>
    <col min="2" max="2" width="20.77734375" style="127" customWidth="1"/>
    <col min="3" max="3" width="100.77734375" style="127" customWidth="1"/>
    <col min="4" max="4" width="11.21875" style="127" customWidth="1"/>
    <col min="5" max="5" width="14.33203125" style="127" customWidth="1"/>
    <col min="6" max="16384" width="8.44140625" style="127"/>
  </cols>
  <sheetData>
    <row r="1" spans="1:5" s="122" customFormat="1" ht="3" customHeight="1"/>
    <row r="2" spans="1:5" s="122" customFormat="1" ht="14.1" customHeight="1">
      <c r="B2" s="123" t="s">
        <v>454</v>
      </c>
      <c r="D2" s="129" t="s">
        <v>453</v>
      </c>
      <c r="E2" s="129" t="s">
        <v>452</v>
      </c>
    </row>
    <row r="3" spans="1:5" s="122" customFormat="1" ht="24.95" customHeight="1">
      <c r="B3" s="124" t="s">
        <v>413</v>
      </c>
      <c r="C3" s="125" t="s">
        <v>397</v>
      </c>
      <c r="D3" s="134" t="s">
        <v>451</v>
      </c>
      <c r="E3" s="134" t="s">
        <v>450</v>
      </c>
    </row>
    <row r="4" spans="1:5" s="122" customFormat="1" ht="14.1" customHeight="1">
      <c r="B4" s="126" t="s">
        <v>398</v>
      </c>
      <c r="C4" s="123" t="s">
        <v>449</v>
      </c>
    </row>
    <row r="5" spans="1:5" ht="27.95" customHeight="1">
      <c r="A5" s="127" t="s">
        <v>448</v>
      </c>
      <c r="B5" s="128" t="s">
        <v>447</v>
      </c>
      <c r="C5" s="129" t="s">
        <v>446</v>
      </c>
      <c r="D5" s="129" t="s">
        <v>445</v>
      </c>
      <c r="E5" s="129" t="s">
        <v>444</v>
      </c>
    </row>
    <row r="6" spans="1:5" ht="20.100000000000001" customHeight="1">
      <c r="B6" s="390" t="s">
        <v>443</v>
      </c>
      <c r="C6" s="130" t="s">
        <v>399</v>
      </c>
      <c r="D6" s="391" t="s">
        <v>442</v>
      </c>
      <c r="E6" s="391" t="s">
        <v>441</v>
      </c>
    </row>
    <row r="7" spans="1:5" ht="20.100000000000001" customHeight="1">
      <c r="B7" s="389"/>
      <c r="C7" s="131" t="s">
        <v>440</v>
      </c>
      <c r="D7" s="392"/>
      <c r="E7" s="392"/>
    </row>
    <row r="8" spans="1:5" ht="297">
      <c r="B8" s="390" t="s">
        <v>439</v>
      </c>
      <c r="C8" s="131" t="s">
        <v>400</v>
      </c>
      <c r="D8" s="388" t="s">
        <v>438</v>
      </c>
      <c r="E8" s="388" t="s">
        <v>437</v>
      </c>
    </row>
    <row r="9" spans="1:5" ht="229.5">
      <c r="B9" s="389"/>
      <c r="C9" s="131" t="s">
        <v>436</v>
      </c>
      <c r="D9" s="389"/>
      <c r="E9" s="389"/>
    </row>
    <row r="10" spans="1:5" ht="30" customHeight="1">
      <c r="B10" s="390" t="s">
        <v>435</v>
      </c>
      <c r="C10" s="131" t="s">
        <v>401</v>
      </c>
      <c r="D10" s="388" t="s">
        <v>434</v>
      </c>
      <c r="E10" s="388" t="s">
        <v>433</v>
      </c>
    </row>
    <row r="11" spans="1:5" ht="30" customHeight="1">
      <c r="B11" s="389"/>
      <c r="C11" s="131" t="s">
        <v>432</v>
      </c>
      <c r="D11" s="389"/>
      <c r="E11" s="389"/>
    </row>
    <row r="12" spans="1:5" ht="16.5">
      <c r="B12" s="390" t="s">
        <v>431</v>
      </c>
      <c r="C12" s="131" t="s">
        <v>402</v>
      </c>
      <c r="D12" s="388" t="s">
        <v>430</v>
      </c>
      <c r="E12" s="388" t="s">
        <v>429</v>
      </c>
    </row>
    <row r="13" spans="1:5" ht="14.25">
      <c r="B13" s="389"/>
      <c r="C13" s="131" t="s">
        <v>428</v>
      </c>
      <c r="D13" s="389"/>
      <c r="E13" s="389"/>
    </row>
    <row r="14" spans="1:5" ht="16.5">
      <c r="B14" s="390" t="s">
        <v>427</v>
      </c>
      <c r="C14" s="131" t="s">
        <v>403</v>
      </c>
      <c r="D14" s="388" t="s">
        <v>426</v>
      </c>
      <c r="E14" s="388" t="s">
        <v>425</v>
      </c>
    </row>
    <row r="15" spans="1:5" ht="14.25">
      <c r="B15" s="389"/>
      <c r="C15" s="131" t="s">
        <v>424</v>
      </c>
      <c r="D15" s="389"/>
      <c r="E15" s="389"/>
    </row>
    <row r="16" spans="1:5" ht="16.5">
      <c r="B16" s="390" t="s">
        <v>423</v>
      </c>
      <c r="C16" s="131" t="s">
        <v>422</v>
      </c>
      <c r="D16" s="388" t="s">
        <v>421</v>
      </c>
      <c r="E16" s="388" t="s">
        <v>420</v>
      </c>
    </row>
    <row r="17" spans="2:5" ht="14.25">
      <c r="B17" s="389"/>
      <c r="C17" s="131" t="s">
        <v>419</v>
      </c>
      <c r="D17" s="389"/>
      <c r="E17" s="389"/>
    </row>
    <row r="18" spans="2:5" ht="60">
      <c r="B18" s="390" t="s">
        <v>418</v>
      </c>
      <c r="C18" s="132" t="s">
        <v>417</v>
      </c>
      <c r="D18" s="388" t="s">
        <v>416</v>
      </c>
      <c r="E18" s="388" t="s">
        <v>415</v>
      </c>
    </row>
    <row r="19" spans="2:5" ht="51">
      <c r="B19" s="389"/>
      <c r="C19" s="131" t="s">
        <v>414</v>
      </c>
      <c r="D19" s="389"/>
      <c r="E19" s="389"/>
    </row>
    <row r="20" spans="2:5" ht="66">
      <c r="B20" s="390" t="s">
        <v>413</v>
      </c>
      <c r="C20" s="133" t="s">
        <v>412</v>
      </c>
      <c r="D20" s="388" t="s">
        <v>411</v>
      </c>
      <c r="E20" s="388" t="s">
        <v>410</v>
      </c>
    </row>
    <row r="21" spans="2:5" ht="51">
      <c r="B21" s="389"/>
      <c r="C21" s="131" t="s">
        <v>409</v>
      </c>
      <c r="D21" s="389"/>
      <c r="E21" s="389"/>
    </row>
    <row r="22" spans="2:5" ht="14.25" customHeight="1">
      <c r="B22" s="388" t="s">
        <v>408</v>
      </c>
      <c r="C22" s="133" t="s">
        <v>407</v>
      </c>
      <c r="D22" s="388" t="s">
        <v>406</v>
      </c>
      <c r="E22" s="388" t="s">
        <v>405</v>
      </c>
    </row>
    <row r="23" spans="2:5" ht="14.25">
      <c r="B23" s="389"/>
      <c r="C23" s="131" t="s">
        <v>404</v>
      </c>
      <c r="D23" s="389"/>
      <c r="E23" s="389"/>
    </row>
    <row r="24" spans="2:5" ht="14.25">
      <c r="B24" s="390"/>
      <c r="C24" s="131"/>
      <c r="D24" s="390"/>
      <c r="E24" s="390"/>
    </row>
    <row r="25" spans="2:5" ht="14.25">
      <c r="B25" s="389"/>
      <c r="C25" s="131"/>
      <c r="D25" s="389"/>
      <c r="E25" s="389"/>
    </row>
  </sheetData>
  <mergeCells count="30">
    <mergeCell ref="B6:B7"/>
    <mergeCell ref="D6:D7"/>
    <mergeCell ref="E6:E7"/>
    <mergeCell ref="B8:B9"/>
    <mergeCell ref="D8:D9"/>
    <mergeCell ref="E8:E9"/>
    <mergeCell ref="B10:B11"/>
    <mergeCell ref="D10:D11"/>
    <mergeCell ref="E10:E11"/>
    <mergeCell ref="B12:B13"/>
    <mergeCell ref="D12:D13"/>
    <mergeCell ref="E12:E13"/>
    <mergeCell ref="B14:B15"/>
    <mergeCell ref="D14:D15"/>
    <mergeCell ref="E14:E15"/>
    <mergeCell ref="B16:B17"/>
    <mergeCell ref="D16:D17"/>
    <mergeCell ref="E16:E17"/>
    <mergeCell ref="B18:B19"/>
    <mergeCell ref="D18:D19"/>
    <mergeCell ref="E18:E19"/>
    <mergeCell ref="B20:B21"/>
    <mergeCell ref="D20:D21"/>
    <mergeCell ref="E20:E21"/>
    <mergeCell ref="B22:B23"/>
    <mergeCell ref="D22:D23"/>
    <mergeCell ref="E22:E23"/>
    <mergeCell ref="B24:B25"/>
    <mergeCell ref="D24:D25"/>
    <mergeCell ref="E24:E25"/>
  </mergeCells>
  <pageMargins left="0.7" right="0.7" top="0.75" bottom="0.75" header="0.3" footer="0.3"/>
  <pageSetup paperSize="9" scale="68"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tabColor rgb="FF7030A0"/>
  </sheetPr>
  <dimension ref="A1:L70"/>
  <sheetViews>
    <sheetView zoomScale="85" zoomScaleNormal="85" workbookViewId="0">
      <selection activeCell="A3" sqref="A3"/>
    </sheetView>
  </sheetViews>
  <sheetFormatPr defaultColWidth="8.88671875" defaultRowHeight="12.75"/>
  <cols>
    <col min="1" max="1" width="5.109375" style="52" customWidth="1"/>
    <col min="2" max="2" width="18.6640625" style="52" bestFit="1" customWidth="1"/>
    <col min="3" max="3" width="9.33203125" style="52" customWidth="1"/>
    <col min="4" max="4" width="38.33203125" style="52" customWidth="1"/>
    <col min="5" max="5" width="37.6640625" style="52" customWidth="1"/>
    <col min="6" max="6" width="24.88671875" style="52" customWidth="1"/>
    <col min="7" max="7" width="45.44140625" style="52" customWidth="1"/>
    <col min="8" max="8" width="38.109375" style="52" customWidth="1"/>
    <col min="9" max="9" width="25.109375" style="52" customWidth="1"/>
    <col min="10" max="16384" width="8.88671875" style="52"/>
  </cols>
  <sheetData>
    <row r="1" spans="1:9" ht="38.25">
      <c r="A1" s="46" t="s">
        <v>325</v>
      </c>
      <c r="B1" s="49" t="s">
        <v>223</v>
      </c>
      <c r="C1" s="50" t="s">
        <v>224</v>
      </c>
      <c r="D1" s="51" t="s">
        <v>225</v>
      </c>
      <c r="E1" s="51" t="s">
        <v>226</v>
      </c>
      <c r="F1" s="51" t="s">
        <v>227</v>
      </c>
      <c r="G1" s="51" t="s">
        <v>228</v>
      </c>
      <c r="H1" s="51" t="s">
        <v>229</v>
      </c>
      <c r="I1" s="51" t="s">
        <v>230</v>
      </c>
    </row>
    <row r="2" spans="1:9" ht="16.5" hidden="1">
      <c r="A2" s="53" t="s">
        <v>231</v>
      </c>
      <c r="B2" s="53" t="s">
        <v>232</v>
      </c>
      <c r="C2" s="54" t="s">
        <v>233</v>
      </c>
      <c r="D2" s="55" t="s">
        <v>234</v>
      </c>
      <c r="E2" s="55" t="s">
        <v>235</v>
      </c>
      <c r="F2" s="55" t="s">
        <v>236</v>
      </c>
      <c r="G2" s="55" t="s">
        <v>237</v>
      </c>
      <c r="H2" s="55" t="s">
        <v>238</v>
      </c>
      <c r="I2" s="55" t="s">
        <v>239</v>
      </c>
    </row>
    <row r="3" spans="1:9" ht="16.5">
      <c r="A3" s="53" t="s">
        <v>4</v>
      </c>
      <c r="B3" s="53" t="s">
        <v>5</v>
      </c>
      <c r="C3" s="54" t="s">
        <v>6</v>
      </c>
      <c r="D3" s="14" t="s">
        <v>323</v>
      </c>
      <c r="E3" s="55">
        <v>0</v>
      </c>
      <c r="F3" s="55"/>
      <c r="G3" s="56" t="s">
        <v>240</v>
      </c>
      <c r="H3" s="56" t="s">
        <v>240</v>
      </c>
      <c r="I3" s="56" t="s">
        <v>240</v>
      </c>
    </row>
    <row r="4" spans="1:9" ht="16.5">
      <c r="A4" s="53" t="s">
        <v>4</v>
      </c>
      <c r="B4" s="53" t="s">
        <v>5</v>
      </c>
      <c r="C4" s="54" t="s">
        <v>7</v>
      </c>
      <c r="D4" s="14" t="s">
        <v>324</v>
      </c>
      <c r="E4" s="55">
        <v>1</v>
      </c>
      <c r="F4" s="55"/>
      <c r="G4" s="56" t="s">
        <v>240</v>
      </c>
      <c r="H4" s="56" t="s">
        <v>240</v>
      </c>
      <c r="I4" s="56" t="s">
        <v>240</v>
      </c>
    </row>
    <row r="5" spans="1:9" ht="16.5">
      <c r="A5" s="53" t="s">
        <v>4</v>
      </c>
      <c r="B5" s="53" t="s">
        <v>5</v>
      </c>
      <c r="C5" s="54" t="s">
        <v>8</v>
      </c>
      <c r="D5" s="29" t="s">
        <v>216</v>
      </c>
      <c r="E5" s="55">
        <v>1</v>
      </c>
      <c r="F5" s="55"/>
      <c r="G5" s="56" t="s">
        <v>240</v>
      </c>
      <c r="H5" s="56" t="s">
        <v>240</v>
      </c>
      <c r="I5" s="56" t="s">
        <v>240</v>
      </c>
    </row>
    <row r="6" spans="1:9" ht="16.5">
      <c r="A6" s="53" t="s">
        <v>4</v>
      </c>
      <c r="B6" s="53" t="s">
        <v>9</v>
      </c>
      <c r="C6" s="54" t="s">
        <v>10</v>
      </c>
      <c r="D6" s="29" t="s">
        <v>216</v>
      </c>
      <c r="E6" s="55">
        <v>0</v>
      </c>
      <c r="F6" s="55"/>
      <c r="G6" s="56" t="s">
        <v>240</v>
      </c>
      <c r="H6" s="56" t="s">
        <v>240</v>
      </c>
      <c r="I6" s="56" t="s">
        <v>240</v>
      </c>
    </row>
    <row r="7" spans="1:9" ht="33">
      <c r="A7" s="53" t="s">
        <v>215</v>
      </c>
      <c r="B7" s="53" t="s">
        <v>5</v>
      </c>
      <c r="C7" s="54" t="s">
        <v>11</v>
      </c>
      <c r="D7" s="29" t="s">
        <v>241</v>
      </c>
      <c r="E7" s="55"/>
      <c r="F7" s="55"/>
      <c r="G7" s="56" t="s">
        <v>36</v>
      </c>
      <c r="H7" s="56"/>
      <c r="I7" s="56"/>
    </row>
    <row r="8" spans="1:9" ht="16.5">
      <c r="A8" s="53" t="s">
        <v>215</v>
      </c>
      <c r="B8" s="53" t="s">
        <v>5</v>
      </c>
      <c r="C8" s="54" t="s">
        <v>37</v>
      </c>
      <c r="D8" s="29" t="s">
        <v>242</v>
      </c>
      <c r="E8" s="55"/>
      <c r="F8" s="55"/>
      <c r="G8" s="57" t="s">
        <v>178</v>
      </c>
      <c r="H8" s="56"/>
      <c r="I8" s="56"/>
    </row>
    <row r="9" spans="1:9" ht="33">
      <c r="A9" s="53" t="s">
        <v>215</v>
      </c>
      <c r="B9" s="53" t="s">
        <v>5</v>
      </c>
      <c r="C9" s="54" t="s">
        <v>38</v>
      </c>
      <c r="D9" s="29" t="s">
        <v>243</v>
      </c>
      <c r="E9" s="55"/>
      <c r="F9" s="55"/>
      <c r="G9" s="56" t="s">
        <v>39</v>
      </c>
      <c r="H9" s="56"/>
      <c r="I9" s="56"/>
    </row>
    <row r="10" spans="1:9" ht="33">
      <c r="A10" s="53" t="s">
        <v>215</v>
      </c>
      <c r="B10" s="53" t="s">
        <v>5</v>
      </c>
      <c r="C10" s="54" t="s">
        <v>40</v>
      </c>
      <c r="D10" s="29" t="s">
        <v>244</v>
      </c>
      <c r="E10" s="55"/>
      <c r="F10" s="55"/>
      <c r="G10" s="57" t="s">
        <v>180</v>
      </c>
      <c r="H10" s="56"/>
      <c r="I10" s="56"/>
    </row>
    <row r="11" spans="1:9" ht="66">
      <c r="A11" s="53" t="s">
        <v>215</v>
      </c>
      <c r="B11" s="53" t="s">
        <v>5</v>
      </c>
      <c r="C11" s="54" t="s">
        <v>41</v>
      </c>
      <c r="D11" s="29" t="s">
        <v>245</v>
      </c>
      <c r="E11" s="55"/>
      <c r="F11" s="55"/>
      <c r="G11" s="56" t="s">
        <v>246</v>
      </c>
      <c r="H11" s="56"/>
      <c r="I11" s="56"/>
    </row>
    <row r="12" spans="1:9" ht="33">
      <c r="A12" s="53" t="s">
        <v>215</v>
      </c>
      <c r="B12" s="53" t="s">
        <v>5</v>
      </c>
      <c r="C12" s="54" t="s">
        <v>42</v>
      </c>
      <c r="D12" s="29" t="s">
        <v>247</v>
      </c>
      <c r="E12" s="55"/>
      <c r="F12" s="55"/>
      <c r="G12" s="57" t="s">
        <v>181</v>
      </c>
      <c r="H12" s="56"/>
      <c r="I12" s="56"/>
    </row>
    <row r="13" spans="1:9" ht="51">
      <c r="A13" s="53" t="s">
        <v>215</v>
      </c>
      <c r="B13" s="53" t="s">
        <v>5</v>
      </c>
      <c r="C13" s="54" t="s">
        <v>43</v>
      </c>
      <c r="D13" s="29" t="s">
        <v>248</v>
      </c>
      <c r="E13" s="55"/>
      <c r="F13" s="55"/>
      <c r="G13" s="56" t="s">
        <v>44</v>
      </c>
      <c r="H13" s="56"/>
      <c r="I13" s="56"/>
    </row>
    <row r="14" spans="1:9" ht="51">
      <c r="A14" s="53" t="s">
        <v>215</v>
      </c>
      <c r="B14" s="53" t="s">
        <v>5</v>
      </c>
      <c r="C14" s="54" t="s">
        <v>45</v>
      </c>
      <c r="D14" s="29" t="s">
        <v>249</v>
      </c>
      <c r="E14" s="55"/>
      <c r="F14" s="55"/>
      <c r="G14" s="57" t="s">
        <v>182</v>
      </c>
      <c r="H14" s="56"/>
      <c r="I14" s="56"/>
    </row>
    <row r="15" spans="1:9" ht="51">
      <c r="A15" s="53" t="s">
        <v>215</v>
      </c>
      <c r="B15" s="53" t="s">
        <v>5</v>
      </c>
      <c r="C15" s="54" t="s">
        <v>46</v>
      </c>
      <c r="D15" s="29" t="s">
        <v>250</v>
      </c>
      <c r="E15" s="55"/>
      <c r="F15" s="55"/>
      <c r="G15" s="57" t="s">
        <v>179</v>
      </c>
      <c r="H15" s="56"/>
      <c r="I15" s="56"/>
    </row>
    <row r="16" spans="1:9" ht="181.5">
      <c r="A16" s="53" t="s">
        <v>215</v>
      </c>
      <c r="B16" s="53" t="s">
        <v>5</v>
      </c>
      <c r="C16" s="54" t="s">
        <v>47</v>
      </c>
      <c r="D16" s="29" t="s">
        <v>251</v>
      </c>
      <c r="E16" s="55"/>
      <c r="F16" s="55"/>
      <c r="G16" s="56" t="s">
        <v>252</v>
      </c>
      <c r="H16" s="56"/>
      <c r="I16" s="56"/>
    </row>
    <row r="17" spans="1:9" ht="82.5">
      <c r="A17" s="53" t="s">
        <v>215</v>
      </c>
      <c r="B17" s="53" t="s">
        <v>5</v>
      </c>
      <c r="C17" s="54" t="s">
        <v>48</v>
      </c>
      <c r="D17" s="29" t="s">
        <v>253</v>
      </c>
      <c r="E17" s="55"/>
      <c r="F17" s="55"/>
      <c r="G17" s="56" t="s">
        <v>190</v>
      </c>
      <c r="H17" s="56"/>
      <c r="I17" s="56"/>
    </row>
    <row r="18" spans="1:9" ht="99">
      <c r="A18" s="53" t="s">
        <v>215</v>
      </c>
      <c r="B18" s="53" t="s">
        <v>5</v>
      </c>
      <c r="C18" s="54" t="s">
        <v>49</v>
      </c>
      <c r="D18" s="29" t="s">
        <v>254</v>
      </c>
      <c r="E18" s="55"/>
      <c r="F18" s="55"/>
      <c r="G18" s="56" t="s">
        <v>214</v>
      </c>
      <c r="H18" s="56"/>
      <c r="I18" s="56"/>
    </row>
    <row r="19" spans="1:9" ht="33">
      <c r="A19" s="53" t="s">
        <v>215</v>
      </c>
      <c r="B19" s="53" t="s">
        <v>5</v>
      </c>
      <c r="C19" s="54" t="s">
        <v>80</v>
      </c>
      <c r="D19" s="29" t="s">
        <v>255</v>
      </c>
      <c r="E19" s="55"/>
      <c r="F19" s="55"/>
      <c r="G19" s="56" t="s">
        <v>81</v>
      </c>
      <c r="H19" s="56"/>
      <c r="I19" s="56"/>
    </row>
    <row r="20" spans="1:9" ht="33">
      <c r="A20" s="53" t="s">
        <v>215</v>
      </c>
      <c r="B20" s="53" t="s">
        <v>5</v>
      </c>
      <c r="C20" s="54" t="s">
        <v>50</v>
      </c>
      <c r="D20" s="29" t="s">
        <v>256</v>
      </c>
      <c r="E20" s="55"/>
      <c r="F20" s="55"/>
      <c r="G20" s="56" t="s">
        <v>51</v>
      </c>
      <c r="H20" s="56"/>
      <c r="I20" s="56"/>
    </row>
    <row r="21" spans="1:9" ht="33">
      <c r="A21" s="53" t="s">
        <v>215</v>
      </c>
      <c r="B21" s="53" t="s">
        <v>5</v>
      </c>
      <c r="C21" s="54" t="s">
        <v>52</v>
      </c>
      <c r="D21" s="29" t="s">
        <v>257</v>
      </c>
      <c r="E21" s="55"/>
      <c r="F21" s="55"/>
      <c r="G21" s="56" t="s">
        <v>53</v>
      </c>
      <c r="H21" s="56"/>
      <c r="I21" s="56"/>
    </row>
    <row r="22" spans="1:9" ht="16.5">
      <c r="A22" s="53" t="s">
        <v>215</v>
      </c>
      <c r="B22" s="53" t="s">
        <v>5</v>
      </c>
      <c r="C22" s="54" t="s">
        <v>54</v>
      </c>
      <c r="D22" s="29" t="s">
        <v>258</v>
      </c>
      <c r="E22" s="55"/>
      <c r="F22" s="55"/>
      <c r="G22" s="56" t="s">
        <v>74</v>
      </c>
      <c r="H22" s="56"/>
      <c r="I22" s="56"/>
    </row>
    <row r="23" spans="1:9" ht="33">
      <c r="A23" s="58" t="s">
        <v>215</v>
      </c>
      <c r="B23" s="58" t="s">
        <v>5</v>
      </c>
      <c r="C23" s="59" t="s">
        <v>87</v>
      </c>
      <c r="D23" s="29" t="s">
        <v>259</v>
      </c>
      <c r="E23" s="57"/>
      <c r="F23" s="57"/>
      <c r="G23" s="57" t="s">
        <v>82</v>
      </c>
      <c r="H23" s="57"/>
      <c r="I23" s="57"/>
    </row>
    <row r="24" spans="1:9" ht="33">
      <c r="A24" s="58" t="s">
        <v>215</v>
      </c>
      <c r="B24" s="58" t="s">
        <v>5</v>
      </c>
      <c r="C24" s="59" t="s">
        <v>88</v>
      </c>
      <c r="D24" s="29" t="s">
        <v>260</v>
      </c>
      <c r="E24" s="57"/>
      <c r="F24" s="57"/>
      <c r="G24" s="57" t="s">
        <v>83</v>
      </c>
      <c r="H24" s="57"/>
      <c r="I24" s="57"/>
    </row>
    <row r="25" spans="1:9" ht="33">
      <c r="A25" s="58" t="s">
        <v>215</v>
      </c>
      <c r="B25" s="58" t="s">
        <v>5</v>
      </c>
      <c r="C25" s="59" t="s">
        <v>89</v>
      </c>
      <c r="D25" s="29" t="s">
        <v>261</v>
      </c>
      <c r="E25" s="57"/>
      <c r="F25" s="57"/>
      <c r="G25" s="57" t="s">
        <v>84</v>
      </c>
      <c r="H25" s="57"/>
      <c r="I25" s="57"/>
    </row>
    <row r="26" spans="1:9" ht="16.5">
      <c r="A26" s="58" t="s">
        <v>215</v>
      </c>
      <c r="B26" s="58" t="s">
        <v>5</v>
      </c>
      <c r="C26" s="59" t="s">
        <v>90</v>
      </c>
      <c r="D26" s="29" t="s">
        <v>262</v>
      </c>
      <c r="E26" s="57"/>
      <c r="F26" s="57"/>
      <c r="G26" s="57" t="s">
        <v>85</v>
      </c>
      <c r="H26" s="57"/>
      <c r="I26" s="57"/>
    </row>
    <row r="27" spans="1:9" ht="33">
      <c r="A27" s="58" t="s">
        <v>215</v>
      </c>
      <c r="B27" s="58" t="s">
        <v>5</v>
      </c>
      <c r="C27" s="59" t="s">
        <v>91</v>
      </c>
      <c r="D27" s="29" t="s">
        <v>263</v>
      </c>
      <c r="E27" s="57"/>
      <c r="F27" s="57"/>
      <c r="G27" s="57" t="s">
        <v>86</v>
      </c>
      <c r="H27" s="57"/>
      <c r="I27" s="57"/>
    </row>
    <row r="28" spans="1:9" ht="99">
      <c r="A28" s="58" t="s">
        <v>215</v>
      </c>
      <c r="B28" s="58" t="s">
        <v>5</v>
      </c>
      <c r="C28" s="59" t="s">
        <v>92</v>
      </c>
      <c r="D28" s="29" t="s">
        <v>264</v>
      </c>
      <c r="E28" s="57"/>
      <c r="F28" s="57"/>
      <c r="G28" s="57" t="s">
        <v>191</v>
      </c>
      <c r="H28" s="57"/>
      <c r="I28" s="57"/>
    </row>
    <row r="29" spans="1:9" ht="99">
      <c r="A29" s="58" t="s">
        <v>215</v>
      </c>
      <c r="B29" s="58" t="s">
        <v>5</v>
      </c>
      <c r="C29" s="59" t="s">
        <v>93</v>
      </c>
      <c r="D29" s="29" t="s">
        <v>265</v>
      </c>
      <c r="E29" s="57"/>
      <c r="F29" s="57"/>
      <c r="G29" s="57" t="s">
        <v>187</v>
      </c>
      <c r="H29" s="57"/>
      <c r="I29" s="57"/>
    </row>
    <row r="30" spans="1:9" ht="82.5">
      <c r="A30" s="58" t="s">
        <v>215</v>
      </c>
      <c r="B30" s="58" t="s">
        <v>5</v>
      </c>
      <c r="C30" s="59" t="s">
        <v>94</v>
      </c>
      <c r="D30" s="29" t="s">
        <v>266</v>
      </c>
      <c r="E30" s="57"/>
      <c r="F30" s="57"/>
      <c r="G30" s="57" t="s">
        <v>188</v>
      </c>
      <c r="H30" s="57"/>
      <c r="I30" s="57"/>
    </row>
    <row r="31" spans="1:9" ht="115.5">
      <c r="A31" s="58" t="s">
        <v>215</v>
      </c>
      <c r="B31" s="58" t="s">
        <v>5</v>
      </c>
      <c r="C31" s="59" t="s">
        <v>95</v>
      </c>
      <c r="D31" s="29" t="s">
        <v>267</v>
      </c>
      <c r="E31" s="57"/>
      <c r="F31" s="57"/>
      <c r="G31" s="57" t="s">
        <v>189</v>
      </c>
      <c r="H31" s="57"/>
      <c r="I31" s="57"/>
    </row>
    <row r="32" spans="1:9" ht="78.75">
      <c r="A32" s="58" t="s">
        <v>215</v>
      </c>
      <c r="B32" s="58" t="s">
        <v>5</v>
      </c>
      <c r="C32" s="60" t="s">
        <v>184</v>
      </c>
      <c r="D32" s="29" t="s">
        <v>268</v>
      </c>
      <c r="E32" s="61"/>
      <c r="F32" s="61"/>
      <c r="G32" s="57" t="s">
        <v>55</v>
      </c>
      <c r="H32" s="57"/>
      <c r="I32" s="57"/>
    </row>
    <row r="33" spans="1:9" ht="66">
      <c r="A33" s="58" t="s">
        <v>215</v>
      </c>
      <c r="B33" s="58" t="s">
        <v>5</v>
      </c>
      <c r="C33" s="59" t="s">
        <v>183</v>
      </c>
      <c r="D33" s="29" t="s">
        <v>269</v>
      </c>
      <c r="E33" s="57"/>
      <c r="F33" s="57"/>
      <c r="G33" s="57" t="s">
        <v>96</v>
      </c>
      <c r="H33" s="57"/>
      <c r="I33" s="57"/>
    </row>
    <row r="34" spans="1:9" ht="38.25">
      <c r="A34" s="58" t="s">
        <v>215</v>
      </c>
      <c r="B34" s="58" t="s">
        <v>5</v>
      </c>
      <c r="C34" s="60" t="s">
        <v>99</v>
      </c>
      <c r="D34" s="29" t="s">
        <v>270</v>
      </c>
      <c r="E34" s="61"/>
      <c r="F34" s="47"/>
      <c r="G34" s="57" t="s">
        <v>101</v>
      </c>
      <c r="H34" s="57"/>
      <c r="I34" s="57"/>
    </row>
    <row r="35" spans="1:9" ht="16.5">
      <c r="A35" s="53" t="s">
        <v>215</v>
      </c>
      <c r="B35" s="53" t="s">
        <v>5</v>
      </c>
      <c r="C35" s="54" t="s">
        <v>71</v>
      </c>
      <c r="D35" s="29" t="s">
        <v>271</v>
      </c>
      <c r="E35" s="55"/>
      <c r="F35" s="55"/>
      <c r="G35" s="56" t="s">
        <v>56</v>
      </c>
      <c r="H35" s="56"/>
      <c r="I35" s="56"/>
    </row>
    <row r="36" spans="1:9" ht="33">
      <c r="A36" s="53" t="s">
        <v>215</v>
      </c>
      <c r="B36" s="53" t="s">
        <v>5</v>
      </c>
      <c r="C36" s="54" t="s">
        <v>62</v>
      </c>
      <c r="D36" s="29" t="s">
        <v>272</v>
      </c>
      <c r="E36" s="55"/>
      <c r="F36" s="55"/>
      <c r="G36" s="56" t="s">
        <v>57</v>
      </c>
      <c r="H36" s="56"/>
      <c r="I36" s="56"/>
    </row>
    <row r="37" spans="1:9" ht="16.5">
      <c r="A37" s="53" t="s">
        <v>215</v>
      </c>
      <c r="B37" s="53" t="s">
        <v>5</v>
      </c>
      <c r="C37" s="54" t="s">
        <v>63</v>
      </c>
      <c r="D37" s="29" t="s">
        <v>273</v>
      </c>
      <c r="E37" s="55"/>
      <c r="F37" s="55"/>
      <c r="G37" s="56" t="s">
        <v>58</v>
      </c>
      <c r="H37" s="56"/>
      <c r="I37" s="56"/>
    </row>
    <row r="38" spans="1:9" ht="109.5">
      <c r="A38" s="53" t="s">
        <v>215</v>
      </c>
      <c r="B38" s="53" t="s">
        <v>5</v>
      </c>
      <c r="C38" s="54" t="s">
        <v>70</v>
      </c>
      <c r="D38" s="29" t="s">
        <v>274</v>
      </c>
      <c r="E38" s="29"/>
      <c r="F38" s="55"/>
      <c r="G38" s="57" t="s">
        <v>275</v>
      </c>
      <c r="H38" s="56"/>
      <c r="I38" s="56"/>
    </row>
    <row r="39" spans="1:9" ht="148.5">
      <c r="A39" s="53" t="s">
        <v>215</v>
      </c>
      <c r="B39" s="53" t="s">
        <v>5</v>
      </c>
      <c r="C39" s="54" t="s">
        <v>72</v>
      </c>
      <c r="D39" s="29" t="s">
        <v>276</v>
      </c>
      <c r="E39" s="29"/>
      <c r="F39" s="55"/>
      <c r="G39" s="56" t="s">
        <v>277</v>
      </c>
      <c r="H39" s="56"/>
      <c r="I39" s="56"/>
    </row>
    <row r="40" spans="1:9" ht="99">
      <c r="A40" s="53" t="s">
        <v>215</v>
      </c>
      <c r="B40" s="53" t="s">
        <v>5</v>
      </c>
      <c r="C40" s="54" t="s">
        <v>59</v>
      </c>
      <c r="D40" s="29" t="s">
        <v>278</v>
      </c>
      <c r="E40" s="29"/>
      <c r="F40" s="55"/>
      <c r="G40" s="56" t="s">
        <v>279</v>
      </c>
      <c r="H40" s="56"/>
      <c r="I40" s="56"/>
    </row>
    <row r="41" spans="1:9" ht="66">
      <c r="A41" s="53" t="s">
        <v>215</v>
      </c>
      <c r="B41" s="53" t="s">
        <v>5</v>
      </c>
      <c r="C41" s="54" t="s">
        <v>60</v>
      </c>
      <c r="D41" s="29" t="s">
        <v>280</v>
      </c>
      <c r="E41" s="29"/>
      <c r="F41" s="55"/>
      <c r="G41" s="56" t="s">
        <v>64</v>
      </c>
      <c r="H41" s="56"/>
      <c r="I41" s="56"/>
    </row>
    <row r="42" spans="1:9" ht="66">
      <c r="A42" s="53" t="s">
        <v>215</v>
      </c>
      <c r="B42" s="53" t="s">
        <v>5</v>
      </c>
      <c r="C42" s="54" t="s">
        <v>73</v>
      </c>
      <c r="D42" s="29" t="s">
        <v>281</v>
      </c>
      <c r="E42" s="29"/>
      <c r="F42" s="55"/>
      <c r="G42" s="56" t="s">
        <v>65</v>
      </c>
      <c r="H42" s="56"/>
      <c r="I42" s="56"/>
    </row>
    <row r="43" spans="1:9" ht="231">
      <c r="A43" s="53" t="s">
        <v>215</v>
      </c>
      <c r="B43" s="53" t="s">
        <v>5</v>
      </c>
      <c r="C43" s="54" t="s">
        <v>61</v>
      </c>
      <c r="D43" s="29" t="s">
        <v>282</v>
      </c>
      <c r="E43" s="29"/>
      <c r="F43" s="55"/>
      <c r="G43" s="56" t="s">
        <v>283</v>
      </c>
      <c r="H43" s="56"/>
      <c r="I43" s="56"/>
    </row>
    <row r="44" spans="1:9" ht="99">
      <c r="A44" s="53" t="s">
        <v>215</v>
      </c>
      <c r="B44" s="53" t="s">
        <v>5</v>
      </c>
      <c r="C44" s="54" t="s">
        <v>66</v>
      </c>
      <c r="D44" s="29" t="s">
        <v>284</v>
      </c>
      <c r="E44" s="29"/>
      <c r="F44" s="55"/>
      <c r="G44" s="56" t="s">
        <v>67</v>
      </c>
      <c r="H44" s="56"/>
      <c r="I44" s="56"/>
    </row>
    <row r="45" spans="1:9" ht="99">
      <c r="A45" s="53" t="s">
        <v>215</v>
      </c>
      <c r="B45" s="53" t="s">
        <v>5</v>
      </c>
      <c r="C45" s="54" t="s">
        <v>69</v>
      </c>
      <c r="D45" s="29" t="s">
        <v>285</v>
      </c>
      <c r="E45" s="29"/>
      <c r="F45" s="55"/>
      <c r="G45" s="56" t="s">
        <v>68</v>
      </c>
      <c r="H45" s="56"/>
      <c r="I45" s="56"/>
    </row>
    <row r="46" spans="1:9" ht="25.5">
      <c r="A46" s="53" t="s">
        <v>215</v>
      </c>
      <c r="B46" s="53" t="s">
        <v>5</v>
      </c>
      <c r="C46" s="54" t="s">
        <v>75</v>
      </c>
      <c r="D46" s="29" t="s">
        <v>286</v>
      </c>
      <c r="E46" s="55"/>
      <c r="F46" s="55"/>
      <c r="G46" s="56" t="s">
        <v>76</v>
      </c>
      <c r="H46" s="56"/>
      <c r="I46" s="56"/>
    </row>
    <row r="47" spans="1:9" ht="33">
      <c r="A47" s="53" t="s">
        <v>215</v>
      </c>
      <c r="B47" s="53" t="s">
        <v>5</v>
      </c>
      <c r="C47" s="54" t="s">
        <v>78</v>
      </c>
      <c r="D47" s="29" t="s">
        <v>287</v>
      </c>
      <c r="E47" s="55"/>
      <c r="F47" s="55"/>
      <c r="G47" s="56" t="s">
        <v>77</v>
      </c>
      <c r="H47" s="56"/>
      <c r="I47" s="56"/>
    </row>
    <row r="48" spans="1:9" ht="51">
      <c r="A48" s="53" t="s">
        <v>215</v>
      </c>
      <c r="B48" s="53" t="s">
        <v>9</v>
      </c>
      <c r="C48" s="54" t="s">
        <v>210</v>
      </c>
      <c r="D48" s="29" t="s">
        <v>288</v>
      </c>
      <c r="E48" s="55"/>
      <c r="F48" s="55"/>
      <c r="G48" s="56" t="s">
        <v>202</v>
      </c>
      <c r="H48" s="56"/>
      <c r="I48" s="56"/>
    </row>
    <row r="49" spans="1:12" ht="66">
      <c r="A49" s="53" t="s">
        <v>215</v>
      </c>
      <c r="B49" s="53" t="s">
        <v>9</v>
      </c>
      <c r="C49" s="54" t="s">
        <v>201</v>
      </c>
      <c r="D49" s="29" t="s">
        <v>289</v>
      </c>
      <c r="E49" s="55"/>
      <c r="F49" s="55"/>
      <c r="G49" s="56" t="s">
        <v>192</v>
      </c>
      <c r="H49" s="56"/>
      <c r="I49" s="56"/>
    </row>
    <row r="50" spans="1:12" ht="75">
      <c r="A50" s="58">
        <v>1</v>
      </c>
      <c r="B50" s="53" t="s">
        <v>5</v>
      </c>
      <c r="C50" s="54" t="s">
        <v>11</v>
      </c>
      <c r="D50" s="55" t="s">
        <v>290</v>
      </c>
      <c r="E50" s="55" t="s">
        <v>291</v>
      </c>
      <c r="F50" s="48" t="s">
        <v>219</v>
      </c>
      <c r="G50" s="55" t="s">
        <v>19</v>
      </c>
      <c r="H50" s="55" t="s">
        <v>20</v>
      </c>
      <c r="I50" s="62" t="s">
        <v>220</v>
      </c>
    </row>
    <row r="51" spans="1:12" ht="33">
      <c r="A51" s="58">
        <v>2</v>
      </c>
      <c r="B51" s="53" t="s">
        <v>5</v>
      </c>
      <c r="C51" s="54" t="s">
        <v>11</v>
      </c>
      <c r="D51" s="55" t="s">
        <v>292</v>
      </c>
      <c r="E51" s="55" t="s">
        <v>293</v>
      </c>
      <c r="F51" s="55"/>
      <c r="G51" s="55" t="s">
        <v>21</v>
      </c>
      <c r="H51" s="55" t="s">
        <v>22</v>
      </c>
      <c r="I51" s="55"/>
    </row>
    <row r="52" spans="1:12" ht="37.5" customHeight="1">
      <c r="A52" s="58">
        <v>3</v>
      </c>
      <c r="B52" s="53" t="s">
        <v>5</v>
      </c>
      <c r="C52" s="54" t="s">
        <v>12</v>
      </c>
      <c r="D52" s="55" t="s">
        <v>294</v>
      </c>
      <c r="E52" s="55" t="s">
        <v>295</v>
      </c>
      <c r="F52" s="48" t="s">
        <v>217</v>
      </c>
      <c r="G52" s="55" t="s">
        <v>23</v>
      </c>
      <c r="H52" s="55" t="s">
        <v>24</v>
      </c>
      <c r="I52" s="62" t="s">
        <v>218</v>
      </c>
    </row>
    <row r="53" spans="1:12" ht="49.5">
      <c r="A53" s="58">
        <v>4</v>
      </c>
      <c r="B53" s="53" t="s">
        <v>5</v>
      </c>
      <c r="C53" s="54" t="s">
        <v>13</v>
      </c>
      <c r="D53" s="55" t="s">
        <v>296</v>
      </c>
      <c r="E53" s="55" t="s">
        <v>297</v>
      </c>
      <c r="F53" s="55"/>
      <c r="G53" s="55" t="s">
        <v>25</v>
      </c>
      <c r="H53" s="55" t="s">
        <v>186</v>
      </c>
      <c r="I53" s="55"/>
    </row>
    <row r="54" spans="1:12" ht="75">
      <c r="A54" s="58">
        <v>5</v>
      </c>
      <c r="B54" s="53" t="s">
        <v>5</v>
      </c>
      <c r="C54" s="54" t="s">
        <v>14</v>
      </c>
      <c r="D54" s="55" t="s">
        <v>298</v>
      </c>
      <c r="E54" s="55" t="s">
        <v>299</v>
      </c>
      <c r="F54" s="48" t="s">
        <v>221</v>
      </c>
      <c r="G54" s="55" t="s">
        <v>26</v>
      </c>
      <c r="H54" s="55" t="s">
        <v>27</v>
      </c>
      <c r="I54" s="62" t="s">
        <v>222</v>
      </c>
    </row>
    <row r="55" spans="1:12" ht="37.5" customHeight="1">
      <c r="A55" s="58">
        <v>6</v>
      </c>
      <c r="B55" s="53" t="s">
        <v>5</v>
      </c>
      <c r="C55" s="54" t="s">
        <v>15</v>
      </c>
      <c r="D55" s="55" t="s">
        <v>300</v>
      </c>
      <c r="E55" s="55" t="s">
        <v>301</v>
      </c>
      <c r="F55" s="55"/>
      <c r="G55" s="55" t="s">
        <v>28</v>
      </c>
      <c r="H55" s="55" t="s">
        <v>29</v>
      </c>
      <c r="I55" s="55"/>
    </row>
    <row r="56" spans="1:12" ht="66">
      <c r="A56" s="58">
        <v>7</v>
      </c>
      <c r="B56" s="53" t="s">
        <v>5</v>
      </c>
      <c r="C56" s="60" t="s">
        <v>185</v>
      </c>
      <c r="D56" s="55" t="s">
        <v>302</v>
      </c>
      <c r="E56" s="55" t="s">
        <v>303</v>
      </c>
      <c r="F56" s="55"/>
      <c r="G56" s="55" t="s">
        <v>30</v>
      </c>
      <c r="H56" s="55" t="s">
        <v>31</v>
      </c>
      <c r="I56" s="55"/>
    </row>
    <row r="57" spans="1:12" ht="33">
      <c r="A57" s="58">
        <v>8</v>
      </c>
      <c r="B57" s="53" t="s">
        <v>5</v>
      </c>
      <c r="C57" s="54" t="s">
        <v>16</v>
      </c>
      <c r="D57" s="55" t="s">
        <v>304</v>
      </c>
      <c r="E57" s="55" t="s">
        <v>305</v>
      </c>
      <c r="F57" s="55"/>
      <c r="G57" s="55" t="s">
        <v>32</v>
      </c>
      <c r="H57" s="55" t="s">
        <v>33</v>
      </c>
      <c r="I57" s="55"/>
    </row>
    <row r="58" spans="1:12" ht="51">
      <c r="A58" s="58">
        <v>9</v>
      </c>
      <c r="B58" s="53" t="s">
        <v>17</v>
      </c>
      <c r="C58" s="54" t="s">
        <v>18</v>
      </c>
      <c r="D58" s="55" t="s">
        <v>306</v>
      </c>
      <c r="E58" s="55" t="s">
        <v>307</v>
      </c>
      <c r="F58" s="48" t="s">
        <v>308</v>
      </c>
      <c r="G58" s="55" t="s">
        <v>34</v>
      </c>
      <c r="H58" s="55" t="s">
        <v>35</v>
      </c>
      <c r="I58" s="48" t="s">
        <v>193</v>
      </c>
    </row>
    <row r="59" spans="1:12" ht="82.5">
      <c r="A59" s="58">
        <v>10</v>
      </c>
      <c r="B59" s="58" t="s">
        <v>17</v>
      </c>
      <c r="C59" s="60" t="s">
        <v>100</v>
      </c>
      <c r="D59" s="61" t="s">
        <v>309</v>
      </c>
      <c r="E59" s="61" t="s">
        <v>310</v>
      </c>
      <c r="F59" s="55"/>
      <c r="G59" s="61" t="s">
        <v>102</v>
      </c>
      <c r="H59" s="61" t="s">
        <v>103</v>
      </c>
      <c r="I59" s="55"/>
    </row>
    <row r="60" spans="1:12" ht="67.5">
      <c r="A60" s="58">
        <v>11</v>
      </c>
      <c r="B60" s="58" t="s">
        <v>97</v>
      </c>
      <c r="C60" s="60" t="s">
        <v>99</v>
      </c>
      <c r="D60" s="61" t="s">
        <v>311</v>
      </c>
      <c r="E60" s="61" t="s">
        <v>312</v>
      </c>
      <c r="F60" s="55"/>
      <c r="G60" s="61" t="s">
        <v>98</v>
      </c>
      <c r="H60" s="61" t="s">
        <v>313</v>
      </c>
      <c r="I60" s="63"/>
    </row>
    <row r="61" spans="1:12" ht="33">
      <c r="A61" s="58">
        <v>12</v>
      </c>
      <c r="B61" s="53" t="s">
        <v>9</v>
      </c>
      <c r="C61" s="60" t="s">
        <v>205</v>
      </c>
      <c r="D61" s="61" t="s">
        <v>204</v>
      </c>
      <c r="E61" s="61" t="s">
        <v>203</v>
      </c>
      <c r="F61" s="48" t="s">
        <v>314</v>
      </c>
      <c r="G61" s="61" t="s">
        <v>203</v>
      </c>
      <c r="H61" s="61" t="s">
        <v>203</v>
      </c>
      <c r="I61" s="48" t="s">
        <v>194</v>
      </c>
      <c r="K61" s="43"/>
      <c r="L61" s="43"/>
    </row>
    <row r="62" spans="1:12" ht="33">
      <c r="A62" s="58">
        <v>13</v>
      </c>
      <c r="B62" s="53" t="s">
        <v>9</v>
      </c>
      <c r="C62" s="60" t="s">
        <v>206</v>
      </c>
      <c r="D62" s="61" t="s">
        <v>204</v>
      </c>
      <c r="E62" s="61" t="s">
        <v>203</v>
      </c>
      <c r="F62" s="48" t="s">
        <v>315</v>
      </c>
      <c r="G62" s="61" t="s">
        <v>203</v>
      </c>
      <c r="H62" s="61" t="s">
        <v>203</v>
      </c>
      <c r="I62" s="48" t="s">
        <v>194</v>
      </c>
      <c r="K62" s="43"/>
      <c r="L62" s="43"/>
    </row>
    <row r="63" spans="1:12" ht="33">
      <c r="A63" s="58">
        <v>14</v>
      </c>
      <c r="B63" s="53" t="s">
        <v>9</v>
      </c>
      <c r="C63" s="60" t="s">
        <v>207</v>
      </c>
      <c r="D63" s="61" t="s">
        <v>204</v>
      </c>
      <c r="E63" s="61" t="s">
        <v>203</v>
      </c>
      <c r="F63" s="48" t="s">
        <v>316</v>
      </c>
      <c r="G63" s="61" t="s">
        <v>203</v>
      </c>
      <c r="H63" s="61" t="s">
        <v>203</v>
      </c>
      <c r="I63" s="48" t="s">
        <v>196</v>
      </c>
      <c r="K63" s="43"/>
      <c r="L63" s="43"/>
    </row>
    <row r="64" spans="1:12" ht="33">
      <c r="A64" s="58">
        <v>15</v>
      </c>
      <c r="B64" s="53" t="s">
        <v>9</v>
      </c>
      <c r="C64" s="60" t="s">
        <v>208</v>
      </c>
      <c r="D64" s="61" t="s">
        <v>204</v>
      </c>
      <c r="E64" s="61" t="s">
        <v>203</v>
      </c>
      <c r="F64" s="48" t="s">
        <v>317</v>
      </c>
      <c r="G64" s="61" t="s">
        <v>203</v>
      </c>
      <c r="H64" s="61" t="s">
        <v>203</v>
      </c>
      <c r="I64" s="48" t="s">
        <v>195</v>
      </c>
      <c r="K64" s="43"/>
      <c r="L64" s="43"/>
    </row>
    <row r="65" spans="1:12" ht="33">
      <c r="A65" s="58">
        <v>16</v>
      </c>
      <c r="B65" s="53" t="s">
        <v>9</v>
      </c>
      <c r="C65" s="60" t="s">
        <v>213</v>
      </c>
      <c r="D65" s="61" t="s">
        <v>204</v>
      </c>
      <c r="E65" s="61" t="s">
        <v>203</v>
      </c>
      <c r="F65" s="48" t="s">
        <v>318</v>
      </c>
      <c r="G65" s="61" t="s">
        <v>203</v>
      </c>
      <c r="H65" s="61" t="s">
        <v>203</v>
      </c>
      <c r="I65" s="48" t="s">
        <v>197</v>
      </c>
      <c r="K65" s="43"/>
      <c r="L65" s="43"/>
    </row>
    <row r="66" spans="1:12" ht="49.5">
      <c r="A66" s="58">
        <v>17</v>
      </c>
      <c r="B66" s="53" t="s">
        <v>9</v>
      </c>
      <c r="C66" s="60" t="s">
        <v>212</v>
      </c>
      <c r="D66" s="61" t="s">
        <v>204</v>
      </c>
      <c r="E66" s="61" t="s">
        <v>203</v>
      </c>
      <c r="F66" s="48" t="s">
        <v>319</v>
      </c>
      <c r="G66" s="61" t="s">
        <v>203</v>
      </c>
      <c r="H66" s="61" t="s">
        <v>203</v>
      </c>
      <c r="I66" s="48" t="s">
        <v>198</v>
      </c>
      <c r="K66" s="43"/>
      <c r="L66" s="43"/>
    </row>
    <row r="67" spans="1:12" ht="49.5">
      <c r="A67" s="58">
        <v>18</v>
      </c>
      <c r="B67" s="53" t="s">
        <v>9</v>
      </c>
      <c r="C67" s="60" t="s">
        <v>211</v>
      </c>
      <c r="D67" s="61" t="s">
        <v>204</v>
      </c>
      <c r="E67" s="61" t="s">
        <v>203</v>
      </c>
      <c r="F67" s="48" t="s">
        <v>320</v>
      </c>
      <c r="G67" s="61" t="s">
        <v>203</v>
      </c>
      <c r="H67" s="61" t="s">
        <v>203</v>
      </c>
      <c r="I67" s="48" t="s">
        <v>199</v>
      </c>
      <c r="K67" s="43"/>
      <c r="L67" s="43"/>
    </row>
    <row r="68" spans="1:12" ht="33">
      <c r="A68" s="58">
        <v>19</v>
      </c>
      <c r="B68" s="53" t="s">
        <v>9</v>
      </c>
      <c r="C68" s="60" t="s">
        <v>209</v>
      </c>
      <c r="D68" s="61" t="s">
        <v>204</v>
      </c>
      <c r="E68" s="61" t="s">
        <v>203</v>
      </c>
      <c r="F68" s="48" t="s">
        <v>321</v>
      </c>
      <c r="G68" s="61" t="s">
        <v>203</v>
      </c>
      <c r="H68" s="61" t="s">
        <v>203</v>
      </c>
      <c r="I68" s="48" t="s">
        <v>200</v>
      </c>
      <c r="K68" s="43"/>
      <c r="L68" s="43"/>
    </row>
    <row r="69" spans="1:12" ht="16.5">
      <c r="A69" s="53"/>
      <c r="B69" s="53" t="s">
        <v>322</v>
      </c>
      <c r="C69" s="54"/>
      <c r="D69" s="55"/>
      <c r="E69" s="55"/>
      <c r="F69" s="55"/>
      <c r="G69" s="55"/>
      <c r="H69" s="55"/>
      <c r="I69" s="55"/>
      <c r="L69" s="43"/>
    </row>
    <row r="70" spans="1:12">
      <c r="L70" s="43"/>
    </row>
  </sheetData>
  <phoneticPr fontId="6"/>
  <conditionalFormatting sqref="D3 D32 G32 G34:G49 D34:D37">
    <cfRule type="cellIs" dxfId="28" priority="18" operator="equal">
      <formula>"(Select)"</formula>
    </cfRule>
  </conditionalFormatting>
  <conditionalFormatting sqref="D4:D13 D46:D49 D39 D16:D22">
    <cfRule type="cellIs" dxfId="27" priority="17" operator="equal">
      <formula>"(Select)"</formula>
    </cfRule>
  </conditionalFormatting>
  <conditionalFormatting sqref="G3">
    <cfRule type="cellIs" dxfId="26" priority="16" operator="equal">
      <formula>"(Select)"</formula>
    </cfRule>
  </conditionalFormatting>
  <conditionalFormatting sqref="G4">
    <cfRule type="cellIs" dxfId="25" priority="15" operator="equal">
      <formula>"(Select)"</formula>
    </cfRule>
  </conditionalFormatting>
  <conditionalFormatting sqref="G5">
    <cfRule type="cellIs" dxfId="24" priority="14" operator="equal">
      <formula>"(Select)"</formula>
    </cfRule>
  </conditionalFormatting>
  <conditionalFormatting sqref="G6:G11 G16:G22 G13">
    <cfRule type="cellIs" dxfId="23" priority="13" operator="equal">
      <formula>"(Select)"</formula>
    </cfRule>
  </conditionalFormatting>
  <conditionalFormatting sqref="D14:D15">
    <cfRule type="cellIs" dxfId="22" priority="12" operator="equal">
      <formula>"(Select)"</formula>
    </cfRule>
  </conditionalFormatting>
  <conditionalFormatting sqref="G14:G15">
    <cfRule type="cellIs" dxfId="21" priority="11" operator="equal">
      <formula>"(Select)"</formula>
    </cfRule>
  </conditionalFormatting>
  <conditionalFormatting sqref="G12">
    <cfRule type="cellIs" dxfId="20" priority="10" operator="equal">
      <formula>"(Select)"</formula>
    </cfRule>
  </conditionalFormatting>
  <conditionalFormatting sqref="E38:E45">
    <cfRule type="cellIs" dxfId="19" priority="9" operator="equal">
      <formula>"(Select)"</formula>
    </cfRule>
  </conditionalFormatting>
  <conditionalFormatting sqref="D45">
    <cfRule type="cellIs" dxfId="18" priority="8" operator="equal">
      <formula>"(Select)"</formula>
    </cfRule>
  </conditionalFormatting>
  <conditionalFormatting sqref="D44">
    <cfRule type="cellIs" dxfId="17" priority="7" operator="equal">
      <formula>"(Select)"</formula>
    </cfRule>
  </conditionalFormatting>
  <conditionalFormatting sqref="D43">
    <cfRule type="cellIs" dxfId="16" priority="6" operator="equal">
      <formula>"(Select)"</formula>
    </cfRule>
  </conditionalFormatting>
  <conditionalFormatting sqref="D42">
    <cfRule type="cellIs" dxfId="15" priority="5" operator="equal">
      <formula>"(Select)"</formula>
    </cfRule>
  </conditionalFormatting>
  <conditionalFormatting sqref="D38">
    <cfRule type="cellIs" dxfId="14" priority="3" operator="equal">
      <formula>"(Select)"</formula>
    </cfRule>
  </conditionalFormatting>
  <conditionalFormatting sqref="D40:D41">
    <cfRule type="cellIs" dxfId="13" priority="4" operator="equal">
      <formula>"(Select)"</formula>
    </cfRule>
  </conditionalFormatting>
  <conditionalFormatting sqref="G23:G31">
    <cfRule type="cellIs" dxfId="12" priority="2" operator="equal">
      <formula>"(Select)"</formula>
    </cfRule>
  </conditionalFormatting>
  <conditionalFormatting sqref="G33">
    <cfRule type="cellIs" dxfId="11" priority="1" operator="equal">
      <formula>"(Select)"</formula>
    </cfRule>
  </conditionalFormatting>
  <hyperlinks>
    <hyperlink ref="A1" location="'Template information'!A1" display="No." xr:uid="{00000000-0004-0000-0400-000000000000}"/>
    <hyperlink ref="F58" r:id="rId1" xr:uid="{00000000-0004-0000-0400-000001000000}"/>
    <hyperlink ref="I58" r:id="rId2" xr:uid="{00000000-0004-0000-0400-000002000000}"/>
    <hyperlink ref="F61" r:id="rId3" xr:uid="{00000000-0004-0000-0400-000003000000}"/>
    <hyperlink ref="F63" r:id="rId4" xr:uid="{00000000-0004-0000-0400-000004000000}"/>
    <hyperlink ref="F62" r:id="rId5" xr:uid="{00000000-0004-0000-0400-000005000000}"/>
    <hyperlink ref="F64" r:id="rId6" xr:uid="{00000000-0004-0000-0400-000006000000}"/>
    <hyperlink ref="I50" r:id="rId7" xr:uid="{00000000-0004-0000-0400-000007000000}"/>
    <hyperlink ref="I54" r:id="rId8" xr:uid="{00000000-0004-0000-0400-000008000000}"/>
    <hyperlink ref="F50" r:id="rId9" display="標準開発手順管理表" xr:uid="{00000000-0004-0000-0400-000009000000}"/>
    <hyperlink ref="F54" r:id="rId10" display="標準開発手順管理表" xr:uid="{00000000-0004-0000-0400-00000A000000}"/>
    <hyperlink ref="F52" r:id="rId11" display="プロジェクト計画書" xr:uid="{00000000-0004-0000-0400-00000B000000}"/>
    <hyperlink ref="I52" r:id="rId12" xr:uid="{00000000-0004-0000-0400-00000C000000}"/>
    <hyperlink ref="F65" r:id="rId13" xr:uid="{00000000-0004-0000-0400-00000D000000}"/>
    <hyperlink ref="F66" r:id="rId14" xr:uid="{00000000-0004-0000-0400-00000E000000}"/>
    <hyperlink ref="F67" r:id="rId15" xr:uid="{00000000-0004-0000-0400-00000F000000}"/>
    <hyperlink ref="F68" r:id="rId16" xr:uid="{00000000-0004-0000-0400-000010000000}"/>
    <hyperlink ref="I61" r:id="rId17" xr:uid="{00000000-0004-0000-0400-000011000000}"/>
    <hyperlink ref="I62" r:id="rId18" xr:uid="{00000000-0004-0000-0400-000012000000}"/>
    <hyperlink ref="I63" r:id="rId19" xr:uid="{00000000-0004-0000-0400-000013000000}"/>
    <hyperlink ref="I64" r:id="rId20" xr:uid="{00000000-0004-0000-0400-000014000000}"/>
    <hyperlink ref="I65" r:id="rId21" xr:uid="{00000000-0004-0000-0400-000015000000}"/>
    <hyperlink ref="I66" r:id="rId22" xr:uid="{00000000-0004-0000-0400-000016000000}"/>
    <hyperlink ref="I67" r:id="rId23" xr:uid="{00000000-0004-0000-0400-000017000000}"/>
    <hyperlink ref="I68" r:id="rId24" xr:uid="{00000000-0004-0000-0400-000018000000}"/>
  </hyperlinks>
  <pageMargins left="0.7" right="0.7" top="0.75" bottom="0.75" header="0.3" footer="0.3"/>
  <pageSetup paperSize="9" orientation="portrait" r:id="rId25"/>
  <tableParts count="1">
    <tablePart r:id="rId2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AC42D8E3F6235243B7DB4960DEFEE4D4" ma:contentTypeVersion="2" ma:contentTypeDescription="新しいドキュメントを作成します。" ma:contentTypeScope="" ma:versionID="c7a175e06ccbd3b0ae16edc395d7400a">
  <xsd:schema xmlns:xsd="http://www.w3.org/2001/XMLSchema" xmlns:xs="http://www.w3.org/2001/XMLSchema" xmlns:p="http://schemas.microsoft.com/office/2006/metadata/properties" xmlns:ns2="9b590e1c-98aa-45d0-b368-a8263e89f865" targetNamespace="http://schemas.microsoft.com/office/2006/metadata/properties" ma:root="true" ma:fieldsID="185b22c3730d5d03be6112bb8af31373" ns2:_="">
    <xsd:import namespace="9b590e1c-98aa-45d0-b368-a8263e89f86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b590e1c-98aa-45d0-b368-a8263e89f86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DBEA65-F275-4A9F-9241-4083F15986F3}">
  <ds:schemaRefs>
    <ds:schemaRef ds:uri="http://schemas.microsoft.com/sharepoint/v3/contenttype/forms"/>
  </ds:schemaRefs>
</ds:datastoreItem>
</file>

<file path=customXml/itemProps2.xml><?xml version="1.0" encoding="utf-8"?>
<ds:datastoreItem xmlns:ds="http://schemas.openxmlformats.org/officeDocument/2006/customXml" ds:itemID="{52CA4A2B-20B5-40EA-BA65-A63BAC013D2D}">
  <ds:schemaRefs>
    <ds:schemaRef ds:uri="9b590e1c-98aa-45d0-b368-a8263e89f865"/>
    <ds:schemaRef ds:uri="http://purl.org/dc/elements/1.1/"/>
    <ds:schemaRef ds:uri="http://purl.org/dc/dcmitype/"/>
    <ds:schemaRef ds:uri="http://purl.org/dc/terms/"/>
    <ds:schemaRef ds:uri="http://schemas.microsoft.com/office/infopath/2007/PartnerControls"/>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746256CC-7C34-4603-8EFE-7845FF2498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b590e1c-98aa-45d0-b368-a8263e89f8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Peer Review Minutes</vt:lpstr>
      <vt:lpstr>User Manual Checklist</vt:lpstr>
      <vt:lpstr>Template Revision history</vt:lpstr>
      <vt:lpstr>REL-SEPG-PRM20190801</vt:lpstr>
      <vt:lpstr>Kjitubi</vt:lpstr>
      <vt:lpstr>Knin</vt:lpstr>
      <vt:lpstr>Mjitubi</vt:lpstr>
      <vt:lpstr>Mnin</vt:lpstr>
      <vt:lpstr>Obj_ID</vt:lpstr>
      <vt:lpstr>Obj_issue</vt:lpstr>
      <vt:lpstr>Obj_name</vt:lpstr>
      <vt:lpstr>Obj_time</vt:lpstr>
      <vt:lpstr>Obj_unit</vt:lpstr>
      <vt:lpstr>ProcessName</vt:lpstr>
      <vt:lpstr>syurui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Mitsuhiro Nakamura</dc:creator>
  <cp:keywords/>
  <dc:description/>
  <cp:lastModifiedBy>Chuong Hoang. Le</cp:lastModifiedBy>
  <cp:revision/>
  <dcterms:created xsi:type="dcterms:W3CDTF">2018-07-26T03:17:46Z</dcterms:created>
  <dcterms:modified xsi:type="dcterms:W3CDTF">2021-12-01T10:42:21Z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0x010100AC42D8E3F6235243B7DB4960DEFEE4D4</vt:lpwstr>
  </property>
  <property fmtid="{D5CDD505-2E9C-101B-9397-08002B2CF9AE}" pid="3" name="WorkbookGuid">
    <vt:lpwstr>01ea53f0-a6a0-422a-af62-ccc934278304</vt:lpwstr>
  </property>
</Properties>
</file>