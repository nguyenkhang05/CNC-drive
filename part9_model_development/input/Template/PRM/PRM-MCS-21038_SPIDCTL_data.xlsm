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D:\development\2021\202111_prj_MCS_U2B_SPIDCTL\docs\PRM\"/>
    </mc:Choice>
  </mc:AlternateContent>
  <xr:revisionPtr revIDLastSave="0" documentId="13_ncr:1_{FB51839C-89C8-4C0F-A78B-2910BBC5243E}" xr6:coauthVersionLast="46" xr6:coauthVersionMax="46" xr10:uidLastSave="{00000000-0000-0000-0000-000000000000}"/>
  <bookViews>
    <workbookView xWindow="-120" yWindow="-120" windowWidth="29040" windowHeight="15840" activeTab="1" xr2:uid="{00000000-000D-0000-FFFF-FFFF00000000}"/>
  </bookViews>
  <sheets>
    <sheet name="Peer Review Minutes" sheetId="19" r:id="rId1"/>
    <sheet name="Release data Checklist" sheetId="21" r:id="rId2"/>
    <sheet name="REL-SEPG-PRM20190507" sheetId="14" state="hidden" r:id="rId3"/>
    <sheet name="Template Revision history" sheetId="8" state="hidden" r:id="rId4"/>
  </sheets>
  <externalReferences>
    <externalReference r:id="rId5"/>
    <externalReference r:id="rId6"/>
  </externalReferences>
  <definedNames>
    <definedName name="Kjitubi" localSheetId="0">'Peer Review Minutes'!$I$26</definedName>
    <definedName name="Kjitubi">#REF!</definedName>
    <definedName name="Knin" localSheetId="0">'Peer Review Minutes'!$Q$26</definedName>
    <definedName name="Knin">#REF!</definedName>
    <definedName name="Mjitubi" localSheetId="0">'Peer Review Minutes'!$I$25</definedName>
    <definedName name="Mjitubi">#REF!</definedName>
    <definedName name="Mnin" localSheetId="0">'Peer Review Minutes'!$U$25</definedName>
    <definedName name="Mnin">#REF!</definedName>
    <definedName name="Obj_ID" localSheetId="0">'Peer Review Minutes'!$C$35</definedName>
    <definedName name="Obj_ID">#REF!</definedName>
    <definedName name="Obj_issue" localSheetId="0">'Peer Review Minutes'!$X$35</definedName>
    <definedName name="Obj_issue">#REF!</definedName>
    <definedName name="Obj_name" localSheetId="0">'Peer Review Minutes'!$E$35</definedName>
    <definedName name="Obj_name">#REF!</definedName>
    <definedName name="Obj_time" localSheetId="0">'Peer Review Minutes'!$Z$35</definedName>
    <definedName name="Obj_time">#REF!</definedName>
    <definedName name="Obj_unit" localSheetId="0">'Peer Review Minutes'!$V$35</definedName>
    <definedName name="Obj_unit">#REF!</definedName>
    <definedName name="ProcessName" localSheetId="0">'Peer Review Minutes'!$G$8</definedName>
    <definedName name="ProcessName" localSheetId="2">'[1]Peer Review Minutes'!$G$8</definedName>
    <definedName name="ProcessName">#REF!</definedName>
    <definedName name="syurui" localSheetId="0">'Peer Review Minutes'!$G$20</definedName>
    <definedName name="syuru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5" i="19" l="1"/>
  <c r="U26" i="19" s="1"/>
  <c r="Z1" i="19"/>
  <c r="U29" i="19"/>
  <c r="X29" i="19"/>
  <c r="Z29" i="19"/>
  <c r="N30" i="19"/>
  <c r="P30" i="19"/>
  <c r="R30" i="19"/>
  <c r="U30" i="19"/>
  <c r="W30" i="19"/>
  <c r="X30" i="19"/>
  <c r="Y30" i="19"/>
  <c r="Z30" i="19"/>
  <c r="N31" i="19"/>
  <c r="P31" i="19"/>
  <c r="R31" i="19"/>
  <c r="U31" i="19"/>
  <c r="X31" i="19"/>
  <c r="Z31" i="19"/>
  <c r="W35" i="19"/>
  <c r="W31" i="19" s="1"/>
  <c r="Y35" i="19"/>
  <c r="Y31" i="19" s="1"/>
  <c r="W36" i="19"/>
  <c r="Y36" i="19"/>
  <c r="W37" i="19"/>
  <c r="Y37" i="19"/>
  <c r="W38" i="19"/>
  <c r="Y38" i="19"/>
  <c r="W39" i="19"/>
  <c r="Y39" i="19"/>
  <c r="W40" i="19"/>
  <c r="Y40" i="19"/>
  <c r="W41" i="19"/>
  <c r="Y41" i="19"/>
  <c r="W42" i="19"/>
  <c r="W29" i="19" s="1"/>
  <c r="Y42" i="19"/>
  <c r="Y29" i="19" s="1"/>
  <c r="W43" i="19"/>
  <c r="Y43" i="19"/>
  <c r="W44" i="19"/>
  <c r="Y44" i="19"/>
  <c r="W45" i="19"/>
  <c r="X45" i="19"/>
  <c r="Y45" i="19"/>
  <c r="AA49" i="19"/>
  <c r="AA50" i="19"/>
  <c r="AA51" i="19"/>
  <c r="AA53" i="19"/>
  <c r="AA54" i="19"/>
  <c r="AA52" i="19"/>
  <c r="AA55" i="19"/>
  <c r="AA56" i="19"/>
  <c r="AA57" i="19"/>
  <c r="AA58" i="19"/>
  <c r="AA59" i="19"/>
  <c r="AA60"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5" i="19"/>
  <c r="AA86" i="19"/>
  <c r="AA87" i="19"/>
  <c r="AA88" i="19"/>
  <c r="AA89" i="19"/>
  <c r="AA90" i="19"/>
  <c r="AA91" i="19"/>
  <c r="AA92" i="19"/>
  <c r="AA93" i="19"/>
  <c r="AA94" i="19"/>
  <c r="AA95" i="19"/>
  <c r="AA96" i="19"/>
  <c r="AA97" i="19"/>
  <c r="AA98" i="19"/>
  <c r="AA99" i="19"/>
  <c r="X36" i="19" l="1"/>
  <c r="X40" i="19"/>
  <c r="X44" i="19"/>
  <c r="X37" i="19"/>
  <c r="X41" i="19"/>
  <c r="X35" i="19"/>
  <c r="X43" i="19"/>
  <c r="X38" i="19"/>
  <c r="X42" i="19"/>
  <c r="X3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5"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7"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7" authorId="0" shapeId="0" xr:uid="{00000000-0006-0000-0000-00000C000000}">
      <text>
        <r>
          <rPr>
            <b/>
            <sz val="10"/>
            <color indexed="81"/>
            <rFont val="MS P ゴシック"/>
            <family val="3"/>
            <charset val="128"/>
          </rPr>
          <t>(Select),Issue,Q&amp;A,proceedings
(選択),指摘,質疑応答,議事</t>
        </r>
      </text>
    </comment>
    <comment ref="O47" authorId="0" shapeId="0" xr:uid="{00000000-0006-0000-0000-00000D000000}">
      <text>
        <r>
          <rPr>
            <b/>
            <sz val="10"/>
            <color indexed="81"/>
            <rFont val="MS P ゴシック"/>
            <family val="3"/>
            <charset val="128"/>
          </rPr>
          <t>(Select),Defect,Risk,Problem,AI
(選択),不具合,リスク,問題,AI</t>
        </r>
      </text>
    </comment>
    <comment ref="C99"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3"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<sst xmlns="http://schemas.openxmlformats.org/spreadsheetml/2006/main" count="949" uniqueCount="493">
  <si>
    <t xml:space="preserve">
</t>
  </si>
  <si>
    <t>(Select)</t>
  </si>
  <si>
    <t>[RENESAS CONFIDEINTIAL]</t>
    <phoneticPr fontId="4"/>
  </si>
  <si>
    <t>The template revision history describes the change contents of the template itself.</t>
    <phoneticPr fontId="5"/>
  </si>
  <si>
    <t xml:space="preserve">
Revision
</t>
    <phoneticPr fontId="4"/>
  </si>
  <si>
    <t>Description of change</t>
    <phoneticPr fontId="4"/>
  </si>
  <si>
    <t>Approver</t>
    <phoneticPr fontId="4"/>
  </si>
  <si>
    <t>Author</t>
    <phoneticPr fontId="4"/>
  </si>
  <si>
    <t>REL-SEPG20180521</t>
    <phoneticPr fontId="5"/>
  </si>
  <si>
    <t>K. Takahashi
May 21, 2018</t>
    <phoneticPr fontId="10"/>
  </si>
  <si>
    <t>S. Masukawa
May 21, 2018</t>
    <phoneticPr fontId="10"/>
  </si>
  <si>
    <t>Initial release</t>
    <phoneticPr fontId="10"/>
  </si>
  <si>
    <t>REL-SEPG-PRM20180820</t>
    <phoneticPr fontId="10"/>
  </si>
  <si>
    <t>K. Takahashi
Aug. 20, 2018</t>
    <phoneticPr fontId="10"/>
  </si>
  <si>
    <t>S. Masukawa
Aug. 20, 2018</t>
    <phoneticPr fontId="10"/>
  </si>
  <si>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0"/>
  </si>
  <si>
    <t>- English description added.</t>
    <phoneticPr fontId="6"/>
  </si>
  <si>
    <t>T. Aoyagi
Oct. 30, 2018</t>
    <phoneticPr fontId="6"/>
  </si>
  <si>
    <t>M. Nakamura
K. Takahashi
Oct. 1, 2018</t>
    <phoneticPr fontId="6"/>
  </si>
  <si>
    <t>REL-SEPG-PRM20181101</t>
    <phoneticPr fontId="6"/>
  </si>
  <si>
    <t>- Fixed a mistake in English translation.</t>
    <phoneticPr fontId="6"/>
  </si>
  <si>
    <t>K. Takahashi
Nov. 9, 2018</t>
    <phoneticPr fontId="6"/>
  </si>
  <si>
    <t>REL-SEPG-PRM20181113</t>
    <phoneticPr fontId="6"/>
  </si>
  <si>
    <t>T. Aoyagi
Nov. 9, 2018</t>
    <phoneticPr fontId="6"/>
  </si>
  <si>
    <t>REL-SEPG-PRM20181204</t>
    <phoneticPr fontId="6"/>
  </si>
  <si>
    <t>- Fixed because the formula to compute the review duration target value was wrong.</t>
    <phoneticPr fontId="6"/>
  </si>
  <si>
    <t>K. Takahashi
Dec. 4, 2018</t>
    <phoneticPr fontId="6"/>
  </si>
  <si>
    <t>T. Aoyagi
Dec. 4, 2018</t>
    <phoneticPr fontId="6"/>
  </si>
  <si>
    <t>T. Aoyagi
Feb. 28, 2019</t>
    <phoneticPr fontId="6"/>
  </si>
  <si>
    <t>-Added sheet and macro of  standard template item FAQ.</t>
    <phoneticPr fontId="6"/>
  </si>
  <si>
    <t>REL-SEPG-PRM20190228</t>
    <phoneticPr fontId="6"/>
  </si>
  <si>
    <t>T. Hino
Feb. 28, 2019</t>
    <phoneticPr fontId="6"/>
  </si>
  <si>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</si>
  <si>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</si>
  <si>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</si>
  <si>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</si>
  <si>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</si>
  <si>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</si>
  <si>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</si>
  <si>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</si>
  <si>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</si>
  <si>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</si>
  <si>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</si>
  <si>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</si>
  <si>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</si>
  <si>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</si>
  <si>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</si>
  <si>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</si>
  <si>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</si>
  <si>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</si>
  <si>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</si>
  <si>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</si>
  <si>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</si>
  <si>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</si>
  <si>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</si>
  <si>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</si>
  <si>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</si>
  <si>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</si>
  <si>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</si>
  <si>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</si>
  <si>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</si>
  <si>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</si>
  <si>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</si>
  <si>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</si>
  <si>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</si>
  <si>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</si>
  <si>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</si>
  <si>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</si>
  <si>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</si>
  <si>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</si>
  <si>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</si>
  <si>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</si>
  <si>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</si>
  <si>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</si>
  <si>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</si>
  <si>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</si>
  <si>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</si>
  <si>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</si>
  <si>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</si>
  <si>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</si>
  <si>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</si>
  <si>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</si>
  <si>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</si>
  <si>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</si>
  <si>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</si>
  <si>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</si>
  <si>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</si>
  <si>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</si>
  <si>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</si>
  <si>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</si>
  <si>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</si>
  <si>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</si>
  <si>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</si>
  <si>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</si>
  <si>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</si>
  <si>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</si>
  <si>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</si>
  <si>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</si>
  <si>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</si>
  <si>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</si>
  <si>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</si>
  <si>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</si>
  <si>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</si>
  <si>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</si>
  <si>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</si>
  <si>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</si>
  <si>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</si>
  <si>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</si>
  <si>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</si>
  <si>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</si>
  <si>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</si>
  <si>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</si>
  <si>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</si>
  <si>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</si>
  <si>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</si>
  <si>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</si>
  <si>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</si>
  <si>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</si>
  <si>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</si>
  <si>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</si>
  <si>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</si>
  <si>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</si>
  <si>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</si>
  <si>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</si>
  <si>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</si>
  <si>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</si>
  <si>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</si>
  <si>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</si>
  <si>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</si>
  <si>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</si>
  <si>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</si>
  <si>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rPr>
        <sz val="11"/>
        <color theme="1"/>
        <rFont val="メイリオ"/>
        <family val="3"/>
        <charset val="128"/>
      </rPr>
      <t>ピアレビュー議事録</t>
    </r>
    <rPh sb="6" eb="9">
      <t>ギジロク</t>
    </rPh>
    <phoneticPr fontId="6"/>
  </si>
  <si>
    <r>
      <rPr>
        <sz val="10"/>
        <color theme="1"/>
        <rFont val="メイリオ"/>
        <family val="3"/>
        <charset val="128"/>
      </rPr>
      <t xml:space="preserve">初版
</t>
    </r>
    <rPh sb="0" eb="1">
      <t>ショ</t>
    </rPh>
    <rPh sb="1" eb="2">
      <t>バン</t>
    </rPh>
    <phoneticPr fontId="4"/>
  </si>
  <si>
    <r>
      <t xml:space="preserve">- </t>
    </r>
    <r>
      <rPr>
        <sz val="10"/>
        <color theme="1"/>
        <rFont val="メイリオ"/>
        <family val="3"/>
        <charset val="128"/>
      </rPr>
      <t>英語表記を追加した。</t>
    </r>
    <phoneticPr fontId="6"/>
  </si>
  <si>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6"/>
  </si>
  <si>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6"/>
  </si>
  <si>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5"/>
  </si>
  <si>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0"/>
  </si>
  <si>
    <r>
      <t>-</t>
    </r>
    <r>
      <rPr>
        <sz val="9"/>
        <color theme="1"/>
        <rFont val="メイリオ"/>
        <family val="3"/>
        <charset val="128"/>
      </rPr>
      <t>開発プロセス支援ガイド</t>
    </r>
    <r>
      <rPr>
        <sz val="9"/>
        <color theme="1"/>
        <rFont val="Arial"/>
        <family val="2"/>
      </rPr>
      <t>_</t>
    </r>
    <r>
      <rPr>
        <sz val="9"/>
        <color theme="1"/>
        <rFont val="メイリオ"/>
        <family val="3"/>
        <charset val="128"/>
      </rPr>
      <t>標準類作成</t>
    </r>
    <r>
      <rPr>
        <sz val="9"/>
        <color theme="1"/>
        <rFont val="Arial"/>
        <family val="2"/>
      </rPr>
      <t>FAQ</t>
    </r>
    <r>
      <rPr>
        <sz val="9"/>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</si>
  <si>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</si>
  <si>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</si>
  <si>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</si>
  <si>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</si>
  <si>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</si>
  <si>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</si>
  <si>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</si>
  <si>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</si>
  <si>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</si>
  <si>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1st review</t>
  </si>
  <si>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</si>
  <si>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</si>
  <si>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</si>
  <si>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</si>
  <si>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</si>
  <si>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</si>
  <si>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</si>
  <si>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</si>
  <si>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</si>
  <si>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</si>
  <si>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</si>
  <si>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</si>
  <si>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</si>
  <si>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</si>
  <si>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</si>
  <si>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</si>
  <si>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</si>
  <si>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</si>
  <si>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</si>
  <si>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</si>
  <si>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</si>
  <si>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</si>
  <si>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</si>
  <si>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</si>
  <si>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</si>
  <si>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</si>
  <si>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</si>
  <si>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</si>
  <si>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</si>
  <si>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</si>
  <si>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</si>
  <si>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</si>
  <si>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</si>
  <si>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</si>
  <si>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</si>
  <si>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</si>
  <si>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</si>
  <si>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</si>
  <si>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</si>
  <si>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</si>
  <si>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</si>
  <si>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</si>
  <si>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</si>
  <si>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</si>
  <si>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</si>
  <si>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</si>
  <si>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</si>
  <si>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</si>
  <si>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</si>
  <si>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</si>
  <si>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</si>
  <si>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</si>
  <si>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</si>
  <si>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</si>
  <si>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</si>
  <si>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</si>
  <si>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</si>
  <si>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</si>
  <si>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</si>
  <si>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</si>
  <si>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</si>
  <si>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</si>
  <si>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</si>
  <si>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</si>
  <si>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</si>
  <si>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</si>
  <si>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</si>
  <si>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</si>
  <si>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</si>
  <si>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</si>
  <si>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</si>
  <si>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</si>
  <si>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</si>
  <si>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</si>
  <si>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</si>
  <si>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</si>
  <si>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</si>
  <si>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</si>
  <si>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</si>
  <si>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</si>
  <si>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</si>
  <si>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</si>
  <si>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</si>
  <si>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</si>
  <si>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</si>
  <si>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</si>
  <si>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</si>
  <si>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</si>
  <si>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</si>
  <si>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</si>
  <si>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</si>
  <si>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</si>
  <si>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</si>
  <si>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</si>
  <si>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</si>
  <si>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</si>
  <si>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</si>
  <si>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</si>
  <si>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</si>
  <si>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</si>
  <si>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</si>
  <si>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</si>
  <si>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</si>
  <si>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</si>
  <si>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</si>
  <si>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</si>
  <si>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</si>
  <si>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</si>
  <si>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</si>
  <si>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</si>
  <si>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</si>
  <si>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</si>
  <si>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</si>
  <si>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</si>
  <si>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</si>
  <si>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</si>
  <si>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</si>
  <si>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</si>
  <si>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</si>
  <si>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</si>
  <si>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</si>
  <si>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</si>
  <si>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</si>
  <si>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</si>
  <si>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</si>
  <si>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</si>
  <si>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</si>
  <si>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</si>
  <si>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</si>
  <si>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</si>
  <si>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</si>
  <si>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</si>
  <si>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</si>
  <si>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</si>
  <si>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</si>
  <si>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</si>
  <si>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REL-SEPG-PRM20190507</t>
    <phoneticPr fontId="6"/>
  </si>
  <si>
    <t>T. Aoyagi
Apr. 26, 2019</t>
    <phoneticPr fontId="6"/>
  </si>
  <si>
    <t>T. Hino
Apr. 26, 2019</t>
    <phoneticPr fontId="6"/>
  </si>
  <si>
    <r>
      <t xml:space="preserve">- </t>
    </r>
    <r>
      <rPr>
        <sz val="9"/>
        <rFont val="メイリオ"/>
        <family val="3"/>
        <charset val="128"/>
      </rPr>
      <t>様式内の説明を</t>
    </r>
    <r>
      <rPr>
        <sz val="9"/>
        <rFont val="Arial"/>
        <family val="2"/>
      </rPr>
      <t>HELP</t>
    </r>
    <r>
      <rPr>
        <sz val="9"/>
        <rFont val="メイリオ"/>
        <family val="3"/>
        <charset val="128"/>
      </rPr>
      <t xml:space="preserve">ウィンドウに統合、およびガイド内容の充実
</t>
    </r>
    <r>
      <rPr>
        <sz val="9"/>
        <rFont val="Arial"/>
        <family val="2"/>
      </rPr>
      <t>- 1st</t>
    </r>
    <r>
      <rPr>
        <sz val="9"/>
        <rFont val="メイリオ"/>
        <family val="3"/>
        <charset val="128"/>
      </rPr>
      <t xml:space="preserve">レビューと再レビューの選択欄を追加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6"/>
  </si>
  <si>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6"/>
  </si>
  <si>
    <t>List of Issues/</t>
    <phoneticPr fontId="5"/>
  </si>
  <si>
    <t>Whether to conduct the review again/</t>
    <phoneticPr fontId="5"/>
  </si>
  <si>
    <t xml:space="preserve">     GuideCheck:20190507</t>
    <phoneticPr fontId="6"/>
  </si>
  <si>
    <t>NO.
(20190507版)</t>
    <phoneticPr fontId="4"/>
  </si>
  <si>
    <t>Pass-around</t>
  </si>
  <si>
    <t>use department checklist</t>
  </si>
  <si>
    <t>N/A</t>
  </si>
  <si>
    <t>Project Name</t>
    <phoneticPr fontId="4"/>
  </si>
  <si>
    <t>Review date &amp; time</t>
    <phoneticPr fontId="4"/>
  </si>
  <si>
    <t>Review member</t>
    <phoneticPr fontId="4"/>
  </si>
  <si>
    <t>Item 
no.</t>
    <phoneticPr fontId="4"/>
  </si>
  <si>
    <t>Description</t>
    <phoneticPr fontId="4"/>
  </si>
  <si>
    <t>Priority</t>
  </si>
  <si>
    <t>Pre-check</t>
    <phoneticPr fontId="4"/>
  </si>
  <si>
    <t>Check date</t>
    <phoneticPr fontId="4"/>
  </si>
  <si>
    <t>Checked by</t>
    <phoneticPr fontId="4"/>
  </si>
  <si>
    <t>Check</t>
    <phoneticPr fontId="4"/>
  </si>
  <si>
    <t>Medium</t>
  </si>
  <si>
    <t>High</t>
  </si>
  <si>
    <t>* "Pre-Check" and "Check" column: Enter Accepted/Not accepted/NA and no. of issues pointed out.</t>
  </si>
  <si>
    <t>Accepted</t>
  </si>
  <si>
    <t>Release data Review Checklist</t>
  </si>
  <si>
    <t>This checklist is a collection of points requiring attention in review of Release data</t>
  </si>
  <si>
    <t>Product part name</t>
    <phoneticPr fontId="4"/>
  </si>
  <si>
    <t>Target revision</t>
    <phoneticPr fontId="4"/>
  </si>
  <si>
    <t>Release data</t>
  </si>
  <si>
    <t>1. General</t>
    <phoneticPr fontId="4"/>
  </si>
  <si>
    <t>Directory structure is organized by standard</t>
  </si>
  <si>
    <t>Have expected log for each LINUX and WINDOWS environment</t>
  </si>
  <si>
    <t>All temporary files and objects must be cleaned</t>
  </si>
  <si>
    <t>All makefiles (LINUX) and project files (Windows) are up to date and contains all built macro/option point out in INT document / USR</t>
  </si>
  <si>
    <t>Build on independent computer (or on independent workspace) successfully or not</t>
  </si>
  <si>
    <t>Regession test can run successfully</t>
  </si>
  <si>
    <t>Check if All simulation results, Coverage report are the same to report (INR) or not</t>
  </si>
  <si>
    <t>Number of files in Expected logs, Simulation result on both Linux &amp; Windows must be same as number of TMs. And all results should be passed</t>
  </si>
  <si>
    <t>TM_path_lt/at.txt file has no blank lines at the end.
(Because these blank lines will cause wrong total number passed TMs in report file)</t>
  </si>
  <si>
    <t>Reated Release data</t>
  </si>
  <si>
    <t>Item 
No.</t>
    <phoneticPr fontId="4"/>
  </si>
  <si>
    <t>Available or not</t>
    <phoneticPr fontId="4"/>
  </si>
  <si>
    <t>Reason if not available</t>
    <phoneticPr fontId="4"/>
  </si>
  <si>
    <t>[Notes]</t>
    <phoneticPr fontId="4"/>
  </si>
  <si>
    <t>* Fill in "3. Others" column with project-specific check items.</t>
    <phoneticPr fontId="4"/>
  </si>
  <si>
    <t>* Data checking procedure:</t>
  </si>
  <si>
    <t xml:space="preserve">1. Get release data </t>
  </si>
  <si>
    <t>2. Check there is no redundant files/object files in log, pat, sim. Report, result, models_rvc, … folders</t>
  </si>
  <si>
    <t>3. Modify setup files</t>
  </si>
  <si>
    <t>4. Run simulation on Linux with run_all_execution script</t>
  </si>
  <si>
    <t>5. Confirm all results are passed &amp; matched with expected logs</t>
  </si>
  <si>
    <t>6. Copy test env to Windows</t>
  </si>
  <si>
    <t>7. Run simulation on Windows with run_all_execution batch file</t>
  </si>
  <si>
    <t>8. Confirm all results are passed &amp; matched with expected logs</t>
  </si>
  <si>
    <t>9. Use "Release data checklist" sheet to check simulation results, Coverage report with info in INR</t>
  </si>
  <si>
    <t>Data</t>
  </si>
  <si>
    <t>Release data checklist</t>
  </si>
  <si>
    <t>Unit test process</t>
  </si>
  <si>
    <t>There is no planned value for data. It is judge OK if run simulation successfully in Linux/Windows for OSCI/USK, LT/AT mode.</t>
  </si>
  <si>
    <t>There is no keyword " ERROR " (case sensitive) in all log files.
Ex: log file is incorrect if has below sentence:
[MSPI0:MSPInCESTm5 (0)] ERROR MSPInPECm bit is not specified yet</t>
  </si>
  <si>
    <t>Approve data.
Reason: Data is run simulation again before sending.
All issues were fixed. So, I approve data.</t>
  </si>
  <si>
    <t>Checkout project directory into an independent computer</t>
  </si>
  <si>
    <t>Have simulation results for each LINUX and WINDOWS environment</t>
  </si>
  <si>
    <r>
      <t xml:space="preserve">Run script should include option </t>
    </r>
    <r>
      <rPr>
        <b/>
        <sz val="10"/>
        <rFont val="Arial"/>
        <family val="2"/>
      </rPr>
      <t>make clean-all (Linux)</t>
    </r>
    <r>
      <rPr>
        <i/>
        <sz val="10"/>
        <color indexed="10"/>
        <rFont val="Arial"/>
        <family val="2"/>
      </rPr>
      <t xml:space="preserve"> </t>
    </r>
    <r>
      <rPr>
        <sz val="10"/>
        <rFont val="Arial"/>
        <family val="2"/>
      </rPr>
      <t>or</t>
    </r>
    <r>
      <rPr>
        <i/>
        <sz val="10"/>
        <color indexed="10"/>
        <rFont val="Arial"/>
        <family val="2"/>
      </rPr>
      <t xml:space="preserve"> </t>
    </r>
    <r>
      <rPr>
        <b/>
        <sz val="10"/>
        <rFont val="Arial"/>
        <family val="2"/>
      </rPr>
      <t>Rebuild (windows)</t>
    </r>
  </si>
  <si>
    <r>
      <t xml:space="preserve">Setting environment script shoud NOT contain option </t>
    </r>
    <r>
      <rPr>
        <b/>
        <sz val="10"/>
        <rFont val="Arial"/>
        <family val="2"/>
      </rPr>
      <t>SC_SIGNAL_WRITE_CHECK=DISABLE</t>
    </r>
  </si>
  <si>
    <t>1. Check readme.txt (how to run, number pass/fail TM matching with reports) 
2. Check release notes (modification info in this released data, state whether source code is same/different to/from the previous source code release - SVN link + version for beta source or data file name)
3. History file (version, supported/non-supported feature)</t>
  </si>
  <si>
    <t>2. Others</t>
  </si>
  <si>
    <t>If model is a wrapper or integration one, check source code version is synchronized with sub model or not.</t>
  </si>
  <si>
    <t>Review the data for final release.
Check binding of environment are correct and cover 100% verification specification (VRF) or not.
Check binding of environment are correct and cover 100% verification checklist (VRF-01) or not</t>
  </si>
  <si>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</si>
  <si>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</si>
  <si>
    <r>
      <t>Inform to/</t>
    </r>
    <r>
      <rPr>
        <sz val="10"/>
        <rFont val="メイリオ"/>
        <family val="3"/>
        <charset val="128"/>
      </rPr>
      <t>通知先</t>
    </r>
  </si>
  <si>
    <r>
      <t>Document name/</t>
    </r>
    <r>
      <rPr>
        <sz val="10"/>
        <rFont val="メイリオ"/>
        <family val="3"/>
        <charset val="128"/>
      </rPr>
      <t>文書名</t>
    </r>
  </si>
  <si>
    <r>
      <t xml:space="preserve">Document number
</t>
    </r>
    <r>
      <rPr>
        <sz val="10"/>
        <color theme="1"/>
        <rFont val="メイリオ"/>
        <family val="3"/>
        <charset val="128"/>
      </rPr>
      <t>文書番号</t>
    </r>
  </si>
  <si>
    <r>
      <t>Peer Review Minutes/</t>
    </r>
    <r>
      <rPr>
        <b/>
        <sz val="16"/>
        <rFont val="メイリオ"/>
        <family val="3"/>
        <charset val="128"/>
      </rPr>
      <t>ピアレビュー議事録</t>
    </r>
  </si>
  <si>
    <r>
      <t xml:space="preserve">Issue date
</t>
    </r>
    <r>
      <rPr>
        <sz val="10"/>
        <color theme="1"/>
        <rFont val="メイリオ"/>
        <family val="3"/>
        <charset val="128"/>
      </rPr>
      <t>発行日</t>
    </r>
  </si>
  <si>
    <r>
      <t xml:space="preserve">Company name
</t>
    </r>
    <r>
      <rPr>
        <sz val="10"/>
        <color theme="1"/>
        <rFont val="メイリオ"/>
        <family val="3"/>
        <charset val="128"/>
      </rPr>
      <t>会社名</t>
    </r>
  </si>
  <si>
    <t>RVC</t>
  </si>
  <si>
    <r>
      <t xml:space="preserve">Department name
</t>
    </r>
    <r>
      <rPr>
        <sz val="10"/>
        <color theme="1"/>
        <rFont val="メイリオ"/>
        <family val="3"/>
        <charset val="128"/>
      </rPr>
      <t>部門</t>
    </r>
  </si>
  <si>
    <r>
      <t>Project name/</t>
    </r>
    <r>
      <rPr>
        <sz val="10"/>
        <rFont val="メイリオ"/>
        <family val="3"/>
        <charset val="128"/>
      </rPr>
      <t>プロジェクト名</t>
    </r>
  </si>
  <si>
    <r>
      <t xml:space="preserve">Approved by
</t>
    </r>
    <r>
      <rPr>
        <sz val="10"/>
        <color theme="1"/>
        <rFont val="メイリオ"/>
        <family val="3"/>
        <charset val="128"/>
      </rPr>
      <t>承認</t>
    </r>
    <r>
      <rPr>
        <sz val="10"/>
        <color theme="1"/>
        <rFont val="Arial"/>
        <family val="2"/>
      </rPr>
      <t>(PL)</t>
    </r>
  </si>
  <si>
    <r>
      <t xml:space="preserve">Created by
</t>
    </r>
    <r>
      <rPr>
        <sz val="10"/>
        <color theme="1"/>
        <rFont val="メイリオ"/>
        <family val="3"/>
        <charset val="128"/>
      </rPr>
      <t>作成</t>
    </r>
  </si>
  <si>
    <r>
      <t>Project number/</t>
    </r>
    <r>
      <rPr>
        <sz val="10"/>
        <rFont val="メイリオ"/>
        <family val="3"/>
        <charset val="128"/>
      </rPr>
      <t>プロジェクト番号</t>
    </r>
  </si>
  <si>
    <r>
      <t>Overview of the review/</t>
    </r>
    <r>
      <rPr>
        <sz val="10"/>
        <rFont val="メイリオ"/>
        <family val="3"/>
        <charset val="128"/>
      </rPr>
      <t>レビュー概要</t>
    </r>
  </si>
  <si>
    <r>
      <t xml:space="preserve">Purpose (viewpoints)
</t>
    </r>
    <r>
      <rPr>
        <sz val="10"/>
        <rFont val="メイリオ"/>
        <family val="3"/>
        <charset val="128"/>
      </rPr>
      <t>目的（観点）</t>
    </r>
  </si>
  <si>
    <r>
      <t>Type/</t>
    </r>
    <r>
      <rPr>
        <sz val="10"/>
        <rFont val="メイリオ"/>
        <family val="3"/>
        <charset val="128"/>
      </rPr>
      <t>種類</t>
    </r>
  </si>
  <si>
    <r>
      <t xml:space="preserve">Peer review checklist
</t>
    </r>
    <r>
      <rPr>
        <sz val="10"/>
        <rFont val="メイリオ"/>
        <family val="3"/>
        <charset val="128"/>
      </rPr>
      <t>使用チェックリスト</t>
    </r>
  </si>
  <si>
    <r>
      <t xml:space="preserve">Check list name
</t>
    </r>
    <r>
      <rPr>
        <sz val="10"/>
        <rFont val="メイリオ"/>
        <family val="3"/>
        <charset val="128"/>
      </rPr>
      <t>チェックリスト名</t>
    </r>
  </si>
  <si>
    <r>
      <t>Review date, time and participants/</t>
    </r>
    <r>
      <rPr>
        <sz val="10"/>
        <rFont val="メイリオ"/>
        <family val="3"/>
        <charset val="128"/>
      </rPr>
      <t>実施日時・参加者</t>
    </r>
  </si>
  <si>
    <r>
      <t xml:space="preserve">Participants
</t>
    </r>
    <r>
      <rPr>
        <sz val="10"/>
        <rFont val="メイリオ"/>
        <family val="3"/>
        <charset val="128"/>
      </rPr>
      <t>参加者</t>
    </r>
  </si>
  <si>
    <r>
      <t xml:space="preserve">Moderator
</t>
    </r>
    <r>
      <rPr>
        <sz val="10"/>
        <rFont val="メイリオ"/>
        <family val="3"/>
        <charset val="128"/>
      </rPr>
      <t>運営担当者</t>
    </r>
  </si>
  <si>
    <r>
      <t xml:space="preserve">Recorder
</t>
    </r>
    <r>
      <rPr>
        <sz val="10"/>
        <rFont val="メイリオ"/>
        <family val="3"/>
        <charset val="128"/>
      </rPr>
      <t>記録係</t>
    </r>
  </si>
  <si>
    <r>
      <t xml:space="preserve">Presenter
</t>
    </r>
    <r>
      <rPr>
        <sz val="10"/>
        <rFont val="メイリオ"/>
        <family val="3"/>
        <charset val="128"/>
      </rPr>
      <t>説明者</t>
    </r>
  </si>
  <si>
    <r>
      <t xml:space="preserve">Author
</t>
    </r>
    <r>
      <rPr>
        <sz val="10"/>
        <rFont val="メイリオ"/>
        <family val="3"/>
        <charset val="128"/>
      </rPr>
      <t>作成者</t>
    </r>
  </si>
  <si>
    <r>
      <t xml:space="preserve">Reviewer
</t>
    </r>
    <r>
      <rPr>
        <sz val="10"/>
        <rFont val="メイリオ"/>
        <family val="3"/>
        <charset val="128"/>
      </rPr>
      <t>レビューア</t>
    </r>
  </si>
  <si>
    <r>
      <t xml:space="preserve">Meeting
</t>
    </r>
    <r>
      <rPr>
        <sz val="10"/>
        <rFont val="メイリオ"/>
        <family val="3"/>
        <charset val="128"/>
      </rPr>
      <t>ミーティング</t>
    </r>
  </si>
  <si>
    <r>
      <t xml:space="preserve">Implementation
date
</t>
    </r>
    <r>
      <rPr>
        <sz val="10"/>
        <rFont val="メイリオ"/>
        <family val="3"/>
        <charset val="128"/>
      </rPr>
      <t>実施日</t>
    </r>
  </si>
  <si>
    <r>
      <t xml:space="preserve">Start time
</t>
    </r>
    <r>
      <rPr>
        <sz val="10"/>
        <rFont val="メイリオ"/>
        <family val="3"/>
        <charset val="128"/>
      </rPr>
      <t>開始時刻</t>
    </r>
  </si>
  <si>
    <r>
      <t xml:space="preserve">End time
</t>
    </r>
    <r>
      <rPr>
        <sz val="10"/>
        <rFont val="メイリオ"/>
        <family val="3"/>
        <charset val="128"/>
      </rPr>
      <t>終了時刻</t>
    </r>
  </si>
  <si>
    <r>
      <t xml:space="preserve">Participants
number
</t>
    </r>
    <r>
      <rPr>
        <sz val="10"/>
        <rFont val="メイリオ"/>
        <family val="3"/>
        <charset val="128"/>
      </rPr>
      <t>ミーティング
人数</t>
    </r>
  </si>
  <si>
    <r>
      <t xml:space="preserve">Venue
</t>
    </r>
    <r>
      <rPr>
        <sz val="10"/>
        <rFont val="メイリオ"/>
        <family val="3"/>
        <charset val="128"/>
      </rPr>
      <t>実施
場所</t>
    </r>
  </si>
  <si>
    <r>
      <t xml:space="preserve">Desk check
</t>
    </r>
    <r>
      <rPr>
        <sz val="10"/>
        <rFont val="メイリオ"/>
        <family val="3"/>
        <charset val="128"/>
      </rPr>
      <t>机上チェック</t>
    </r>
  </si>
  <si>
    <r>
      <t xml:space="preserve">Start date
</t>
    </r>
    <r>
      <rPr>
        <sz val="10"/>
        <rFont val="メイリオ"/>
        <family val="3"/>
        <charset val="128"/>
      </rPr>
      <t>開始日</t>
    </r>
  </si>
  <si>
    <r>
      <t xml:space="preserve">End date
</t>
    </r>
    <r>
      <rPr>
        <sz val="10"/>
        <rFont val="メイリオ"/>
        <family val="3"/>
        <charset val="128"/>
      </rPr>
      <t>終了日</t>
    </r>
  </si>
  <si>
    <r>
      <t xml:space="preserve">Participants
number
</t>
    </r>
    <r>
      <rPr>
        <sz val="10"/>
        <rFont val="メイリオ"/>
        <family val="3"/>
        <charset val="128"/>
      </rPr>
      <t>チェック
人数</t>
    </r>
  </si>
  <si>
    <r>
      <t xml:space="preserve">Total duration
</t>
    </r>
    <r>
      <rPr>
        <sz val="10"/>
        <rFont val="メイリオ"/>
        <family val="3"/>
        <charset val="128"/>
      </rPr>
      <t>チェック
時間合計</t>
    </r>
  </si>
  <si>
    <r>
      <t>Review index/</t>
    </r>
    <r>
      <rPr>
        <sz val="10"/>
        <rFont val="メイリオ"/>
        <family val="3"/>
        <charset val="128"/>
      </rPr>
      <t>レビュー指標</t>
    </r>
  </si>
  <si>
    <r>
      <t xml:space="preserve">Review index name
</t>
    </r>
    <r>
      <rPr>
        <sz val="10"/>
        <rFont val="メイリオ"/>
        <family val="3"/>
        <charset val="128"/>
      </rPr>
      <t>指標名</t>
    </r>
  </si>
  <si>
    <r>
      <t>Index value (planned)/</t>
    </r>
    <r>
      <rPr>
        <sz val="10"/>
        <rFont val="メイリオ"/>
        <family val="3"/>
        <charset val="128"/>
      </rPr>
      <t>指標値（計画値）</t>
    </r>
  </si>
  <si>
    <r>
      <t>Index value (actual)/</t>
    </r>
    <r>
      <rPr>
        <sz val="10"/>
        <rFont val="メイリオ"/>
        <family val="3"/>
        <charset val="128"/>
      </rPr>
      <t>指標値（実績値）</t>
    </r>
  </si>
  <si>
    <r>
      <t>Page/</t>
    </r>
    <r>
      <rPr>
        <sz val="10"/>
        <rFont val="メイリオ"/>
        <family val="3"/>
        <charset val="128"/>
      </rPr>
      <t>ページ</t>
    </r>
    <r>
      <rPr>
        <sz val="10"/>
        <rFont val="Arial"/>
        <family val="2"/>
      </rPr>
      <t xml:space="preserve"> </t>
    </r>
  </si>
  <si>
    <r>
      <t>Line/</t>
    </r>
    <r>
      <rPr>
        <sz val="10"/>
        <rFont val="メイリオ"/>
        <family val="3"/>
        <charset val="128"/>
      </rPr>
      <t>ライン</t>
    </r>
  </si>
  <si>
    <r>
      <t>Number of test item/</t>
    </r>
    <r>
      <rPr>
        <sz val="10"/>
        <rFont val="メイリオ"/>
        <family val="3"/>
        <charset val="128"/>
      </rPr>
      <t>テスト項目数</t>
    </r>
  </si>
  <si>
    <r>
      <t xml:space="preserve">Review issue density
</t>
    </r>
    <r>
      <rPr>
        <sz val="10"/>
        <rFont val="メイリオ"/>
        <family val="3"/>
        <charset val="128"/>
      </rPr>
      <t>レビュー指摘密度</t>
    </r>
  </si>
  <si>
    <r>
      <t xml:space="preserve">Review speed
</t>
    </r>
    <r>
      <rPr>
        <sz val="10"/>
        <rFont val="メイリオ"/>
        <family val="3"/>
        <charset val="128"/>
      </rPr>
      <t>レビュー速度</t>
    </r>
  </si>
  <si>
    <r>
      <t>Review objects/</t>
    </r>
    <r>
      <rPr>
        <sz val="10"/>
        <rFont val="メイリオ"/>
        <family val="3"/>
        <charset val="128"/>
      </rPr>
      <t>レビュー対象物</t>
    </r>
  </si>
  <si>
    <r>
      <t>Name/</t>
    </r>
    <r>
      <rPr>
        <sz val="10"/>
        <rFont val="メイリオ"/>
        <family val="3"/>
        <charset val="128"/>
      </rPr>
      <t>名称</t>
    </r>
  </si>
  <si>
    <r>
      <t>File name/</t>
    </r>
    <r>
      <rPr>
        <sz val="10"/>
        <rFont val="メイリオ"/>
        <family val="3"/>
        <charset val="128"/>
      </rPr>
      <t>ファイル名</t>
    </r>
  </si>
  <si>
    <r>
      <t>Version/</t>
    </r>
    <r>
      <rPr>
        <sz val="10"/>
        <rFont val="メイリオ"/>
        <family val="3"/>
        <charset val="128"/>
      </rPr>
      <t>バージョン</t>
    </r>
  </si>
  <si>
    <r>
      <t xml:space="preserve">Target scale of review
</t>
    </r>
    <r>
      <rPr>
        <sz val="10"/>
        <rFont val="メイリオ"/>
        <family val="3"/>
        <charset val="128"/>
      </rPr>
      <t>レビュー量</t>
    </r>
  </si>
  <si>
    <r>
      <t xml:space="preserve">Unit
</t>
    </r>
    <r>
      <rPr>
        <sz val="10"/>
        <rFont val="メイリオ"/>
        <family val="3"/>
        <charset val="128"/>
      </rPr>
      <t>単位</t>
    </r>
  </si>
  <si>
    <r>
      <t xml:space="preserve">Number of review issues
</t>
    </r>
    <r>
      <rPr>
        <sz val="10"/>
        <rFont val="メイリオ"/>
        <family val="3"/>
        <charset val="128"/>
      </rPr>
      <t>指摘件数</t>
    </r>
  </si>
  <si>
    <r>
      <t xml:space="preserve">Review duration
</t>
    </r>
    <r>
      <rPr>
        <sz val="10"/>
        <rFont val="メイリオ"/>
        <family val="3"/>
        <charset val="128"/>
      </rPr>
      <t>レビュー時間</t>
    </r>
  </si>
  <si>
    <r>
      <rPr>
        <sz val="10"/>
        <rFont val="メイリオ"/>
        <family val="3"/>
        <charset val="128"/>
      </rPr>
      <t>統括</t>
    </r>
  </si>
  <si>
    <r>
      <t xml:space="preserve">Target value
</t>
    </r>
    <r>
      <rPr>
        <sz val="10"/>
        <rFont val="メイリオ"/>
        <family val="3"/>
        <charset val="128"/>
      </rPr>
      <t>予定</t>
    </r>
  </si>
  <si>
    <r>
      <t xml:space="preserve">Performance value
</t>
    </r>
    <r>
      <rPr>
        <sz val="10"/>
        <rFont val="メイリオ"/>
        <family val="3"/>
        <charset val="128"/>
      </rPr>
      <t>実績</t>
    </r>
  </si>
  <si>
    <r>
      <t>List of Issues/</t>
    </r>
    <r>
      <rPr>
        <sz val="10"/>
        <rFont val="メイリオ"/>
        <family val="3"/>
        <charset val="128"/>
      </rPr>
      <t>指摘事項一覧</t>
    </r>
  </si>
  <si>
    <r>
      <t xml:space="preserve">Location of issue
</t>
    </r>
    <r>
      <rPr>
        <sz val="10"/>
        <rFont val="メイリオ"/>
        <family val="3"/>
        <charset val="128"/>
      </rPr>
      <t>指摘箇所</t>
    </r>
  </si>
  <si>
    <r>
      <t xml:space="preserve">Detected by
</t>
    </r>
    <r>
      <rPr>
        <sz val="10"/>
        <rFont val="メイリオ"/>
        <family val="3"/>
        <charset val="128"/>
      </rPr>
      <t>指摘者</t>
    </r>
  </si>
  <si>
    <r>
      <t xml:space="preserve">Content classification
</t>
    </r>
    <r>
      <rPr>
        <sz val="10"/>
        <rFont val="メイリオ"/>
        <family val="3"/>
        <charset val="128"/>
      </rPr>
      <t>内容分類</t>
    </r>
  </si>
  <si>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</si>
  <si>
    <r>
      <t xml:space="preserve">Issue classification
</t>
    </r>
    <r>
      <rPr>
        <sz val="10"/>
        <rFont val="メイリオ"/>
        <family val="3"/>
        <charset val="128"/>
      </rPr>
      <t>指摘分類</t>
    </r>
  </si>
  <si>
    <r>
      <t xml:space="preserve">Processed by
</t>
    </r>
    <r>
      <rPr>
        <sz val="10"/>
        <rFont val="メイリオ"/>
        <family val="3"/>
        <charset val="128"/>
      </rPr>
      <t>対応者</t>
    </r>
  </si>
  <si>
    <r>
      <t xml:space="preserve">Deadline
</t>
    </r>
    <r>
      <rPr>
        <sz val="10"/>
        <rFont val="メイリオ"/>
        <family val="3"/>
        <charset val="128"/>
      </rPr>
      <t>対応期限</t>
    </r>
  </si>
  <si>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</si>
  <si>
    <r>
      <t xml:space="preserve">Verified by
</t>
    </r>
    <r>
      <rPr>
        <sz val="10"/>
        <rFont val="メイリオ"/>
        <family val="3"/>
        <charset val="128"/>
      </rPr>
      <t>対応
確認者</t>
    </r>
  </si>
  <si>
    <r>
      <t xml:space="preserve">Verification date
</t>
    </r>
    <r>
      <rPr>
        <sz val="10"/>
        <rFont val="メイリオ"/>
        <family val="3"/>
        <charset val="128"/>
      </rPr>
      <t>対応
確認日</t>
    </r>
  </si>
  <si>
    <r>
      <t xml:space="preserve">Object 
ID
</t>
    </r>
    <r>
      <rPr>
        <sz val="10"/>
        <rFont val="メイリオ"/>
        <family val="3"/>
        <charset val="128"/>
      </rPr>
      <t xml:space="preserve">対象物
</t>
    </r>
    <r>
      <rPr>
        <sz val="10"/>
        <rFont val="Arial"/>
        <family val="2"/>
      </rPr>
      <t>ID</t>
    </r>
  </si>
  <si>
    <r>
      <t xml:space="preserve">Location
</t>
    </r>
    <r>
      <rPr>
        <sz val="10"/>
        <rFont val="メイリオ"/>
        <family val="3"/>
        <charset val="128"/>
      </rPr>
      <t>位置</t>
    </r>
  </si>
  <si>
    <r>
      <t>Whether to conduct the review again/</t>
    </r>
    <r>
      <rPr>
        <sz val="10"/>
        <rFont val="メイリオ"/>
        <family val="3"/>
        <charset val="128"/>
      </rPr>
      <t>再レビュー実施判定</t>
    </r>
  </si>
  <si>
    <r>
      <t xml:space="preserve">Result of the determination
</t>
    </r>
    <r>
      <rPr>
        <sz val="10"/>
        <rFont val="メイリオ"/>
        <family val="3"/>
        <charset val="128"/>
      </rPr>
      <t>判定</t>
    </r>
  </si>
  <si>
    <r>
      <t>Notes/</t>
    </r>
    <r>
      <rPr>
        <sz val="10"/>
        <rFont val="メイリオ"/>
        <family val="3"/>
        <charset val="128"/>
      </rPr>
      <t>備考</t>
    </r>
  </si>
  <si>
    <t>No</t>
    <phoneticPr fontId="7"/>
  </si>
  <si>
    <r>
      <t xml:space="preserve">Objects ID
</t>
    </r>
    <r>
      <rPr>
        <u/>
        <sz val="10"/>
        <rFont val="メイリオ"/>
        <family val="3"/>
        <charset val="128"/>
      </rPr>
      <t xml:space="preserve">対象物 </t>
    </r>
    <r>
      <rPr>
        <u/>
        <sz val="10"/>
        <rFont val="Arial"/>
        <family val="2"/>
      </rPr>
      <t xml:space="preserve">ID
</t>
    </r>
  </si>
  <si>
    <t>Number</t>
    <phoneticPr fontId="8"/>
  </si>
  <si>
    <t>Line</t>
    <phoneticPr fontId="8"/>
  </si>
  <si>
    <t>Page</t>
    <phoneticPr fontId="8"/>
  </si>
  <si>
    <r>
      <t xml:space="preserve">Total review duration
</t>
    </r>
    <r>
      <rPr>
        <sz val="10"/>
        <rFont val="メイリオ"/>
        <family val="3"/>
        <charset val="128"/>
      </rPr>
      <t>レビュー時間合計</t>
    </r>
  </si>
  <si>
    <r>
      <t xml:space="preserve">Total number of review issues
</t>
    </r>
    <r>
      <rPr>
        <sz val="10"/>
        <rFont val="メイリオ"/>
        <family val="3"/>
        <charset val="128"/>
      </rPr>
      <t>指摘件数合計</t>
    </r>
  </si>
  <si>
    <r>
      <t xml:space="preserve">Unit
</t>
    </r>
    <r>
      <rPr>
        <sz val="10"/>
        <rFont val="游ゴシック"/>
        <family val="2"/>
        <charset val="128"/>
      </rPr>
      <t>単位</t>
    </r>
  </si>
  <si>
    <r>
      <t xml:space="preserve">Target scale of review
</t>
    </r>
    <r>
      <rPr>
        <sz val="10"/>
        <rFont val="游ゴシック"/>
        <family val="2"/>
        <charset val="128"/>
      </rPr>
      <t>レビュー量</t>
    </r>
  </si>
  <si>
    <t>Condition of review</t>
    <phoneticPr fontId="8"/>
  </si>
  <si>
    <r>
      <t>Target design activities (processes)/</t>
    </r>
    <r>
      <rPr>
        <sz val="10"/>
        <rFont val="ＭＳ Ｐゴシック"/>
        <family val="2"/>
        <charset val="128"/>
      </rPr>
      <t>対象の設計活動(</t>
    </r>
    <r>
      <rPr>
        <sz val="10"/>
        <rFont val="メイリオ"/>
        <family val="3"/>
        <charset val="128"/>
      </rPr>
      <t>工程)</t>
    </r>
  </si>
  <si>
    <t>[RENESAS CONFIDENTIAL]</t>
    <phoneticPr fontId="7"/>
  </si>
  <si>
    <t>proceedings</t>
  </si>
  <si>
    <t>Guide_Off</t>
  </si>
  <si>
    <t>Core Software</t>
  </si>
  <si>
    <t>Is there zero Visual Studio compilation warnings relates to the developing model (PIC must save the Visual Studio compilation log file as evidence)?</t>
  </si>
  <si>
    <t>Detail Requirement</t>
  </si>
  <si>
    <t>Renesas Design Vietnam Co., Ltd
Software Engineering Division
Core Software Department
Core Software 1 Section
RH850 Modeling Group</t>
  </si>
  <si>
    <t xml:space="preserve"> </t>
  </si>
  <si>
    <t>User manual</t>
  </si>
  <si>
    <t>Verification report of INR model</t>
  </si>
  <si>
    <t>Design Specification</t>
  </si>
  <si>
    <t>Test Specification</t>
  </si>
  <si>
    <t>Test Items Checklist</t>
  </si>
  <si>
    <t>ver1.25</t>
  </si>
  <si>
    <t>Remarks</t>
    <phoneticPr fontId="4"/>
  </si>
  <si>
    <t>Background</t>
  </si>
  <si>
    <t>Is the source code in data synchronized with that in CVS root?</t>
  </si>
  <si>
    <t>http://172.29.143.164:8080/issues/149885#note-8</t>
  </si>
  <si>
    <t>I confirm that Data is run simulation again successfully in Linux/Window for OSCI/USK, LT/AT</t>
  </si>
  <si>
    <t>Duong Phan
Nov/22/2021</t>
  </si>
  <si>
    <t>Duong Phan</t>
  </si>
  <si>
    <t>Minh Ha</t>
  </si>
  <si>
    <t>Nov/22/2021</t>
  </si>
  <si>
    <t>Nov/23/2021</t>
  </si>
  <si>
    <t>SPIDCTL_Output_64bit_20211123.7z</t>
  </si>
  <si>
    <t>VRF-MCS-20001_SPIDCTL.docx</t>
  </si>
  <si>
    <t>VRF-MCS-20001-01_SPIDCTL.xls</t>
  </si>
  <si>
    <t>INT-MCS-20001_SPIDCTL.doc</t>
  </si>
  <si>
    <t>1.3</t>
  </si>
  <si>
    <t>REQ-MCS-20001_SPIDCTL.xlsx</t>
  </si>
  <si>
    <t>1.2</t>
  </si>
  <si>
    <t>INR-MCS-20001_SPIDCTL.xlsx</t>
  </si>
  <si>
    <t>USR-MCS-20001_SPIDCTL.xls</t>
  </si>
  <si>
    <t>SPIDCTL</t>
  </si>
  <si>
    <t>U2B</t>
  </si>
  <si>
    <t>This model is not a wrapper or integration code</t>
  </si>
  <si>
    <t>Issue</t>
  </si>
  <si>
    <t>pat_1_spidctl</t>
  </si>
  <si>
    <t>Please remove Total.c at the following folders:
\pat_1_spidctl\4_Python_IF\02_Commands
\pat_1_spidctl\5_Heap_conf\01_Parameters</t>
  </si>
  <si>
    <t>Simulation_results\Linux\report_coverage</t>
  </si>
  <si>
    <t>Please remove "{" in Reqtify reference.</t>
  </si>
  <si>
    <t>readme.txt</t>
  </si>
  <si>
    <t>I think we should add "AT mode" for execution at line 40, 48, 98, 106</t>
  </si>
  <si>
    <t>By using Reqtify tool, I checked binding requirements with reference, they are binding correct.</t>
  </si>
  <si>
    <t>By using Reqtify tool, I checked coverage rate, environment covers 100% VRF and VRF-01</t>
  </si>
  <si>
    <t>Simulation_results\</t>
  </si>
  <si>
    <t>Please save Visual Studio compilation log for evidence</t>
  </si>
  <si>
    <t>AI</t>
  </si>
  <si>
    <t>I updated it</t>
  </si>
  <si>
    <t>Chuong Le
Nov/23/2021</t>
  </si>
  <si>
    <t xml:space="preserve"> Nov/23/2021</t>
  </si>
  <si>
    <t>MCU_model (RH850/U2B)
Development for SPIDCTL model</t>
  </si>
  <si>
    <t>25956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</si>
</sst>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h:mm;@"/>
    <numFmt numFmtId="165" formatCode="0.00_);[Red]\(0.00\)"/>
    <numFmt numFmtId="166" formatCode="0.0000_);[Red]\(0.0000\)"/>
    <numFmt numFmtId="167" formatCode="0_);[Red]\(0\)"/>
    <numFmt numFmtId="168" formatCode="yy/mm/dd"/>
    <numFmt numFmtId="169" formatCode="dd/mm/yyyy"/>
    <numFmt numFmtId="170" formatCode="0.00_ "/>
    <numFmt numFmtId="171" formatCode="0.0"/>
  </numFmts>
  <fonts count="50">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sz val="9"/>
      <color theme="1"/>
      <name val="メイリオ"/>
      <family val="3"/>
      <charset val="128"/>
    </font>
    <font>
      <b/>
      <sz val="11"/>
      <color rgb="FFFF0000"/>
      <name val="Arial"/>
      <family val="2"/>
    </font>
    <font>
      <sz val="9"/>
      <color theme="1"/>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b/>
      <sz val="10"/>
      <name val="Arial"/>
      <family val="2"/>
    </font>
    <font>
      <b/>
      <sz val="9"/>
      <color indexed="81"/>
      <name val="Tahoma"/>
      <family val="2"/>
    </font>
    <font>
      <sz val="9"/>
      <color indexed="81"/>
      <name val="Tahoma"/>
      <family val="2"/>
    </font>
    <font>
      <i/>
      <sz val="10"/>
      <color indexed="10"/>
      <name val="Arial"/>
      <family val="2"/>
    </font>
    <font>
      <u/>
      <sz val="10"/>
      <name val="Arial"/>
      <family val="2"/>
    </font>
    <font>
      <u/>
      <sz val="10"/>
      <name val="メイリオ"/>
      <family val="3"/>
      <charset val="128"/>
    </font>
    <font>
      <sz val="10"/>
      <name val="游ゴシック"/>
      <family val="2"/>
      <charset val="128"/>
    </font>
    <font>
      <sz val="10"/>
      <name val="ＭＳ Ｐゴシック"/>
      <family val="2"/>
      <charset val="128"/>
    </font>
    <font>
      <sz val="10"/>
      <color rgb="FF000000"/>
      <name val="Arial"/>
      <family val="2"/>
    </font>
    <font>
      <u/>
      <sz val="8.25"/>
      <color indexed="12"/>
      <name val="ＭＳ Ｐゴシック"/>
      <family val="3"/>
      <charset val="128"/>
    </font>
    <font>
      <u/>
      <sz val="10"/>
      <color indexed="12"/>
      <name val="Arial"/>
      <family val="2"/>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theme="0" tint="-4.9989318521683403E-2"/>
        <bgColor indexed="64"/>
      </patternFill>
    </fill>
    <fill>
      <patternFill patternType="solid">
        <fgColor indexed="15"/>
        <bgColor indexed="64"/>
      </patternFill>
    </fill>
    <fill>
      <patternFill patternType="solid">
        <fgColor theme="0" tint="-0.24994659260841701"/>
        <bgColor indexed="64"/>
      </patternFill>
    </fill>
    <fill>
      <patternFill patternType="solid">
        <fgColor rgb="FFF8FEC2"/>
        <bgColor indexed="64"/>
      </patternFill>
    </fill>
  </fills>
  <borders count="5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0">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4" fillId="0" borderId="0" applyNumberFormat="0" applyFill="0" applyBorder="0" applyAlignment="0" applyProtection="0">
      <alignment vertical="center"/>
    </xf>
    <xf numFmtId="0" fontId="16"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xf numFmtId="0" fontId="3" fillId="0" borderId="0">
      <alignment vertical="center"/>
    </xf>
    <xf numFmtId="0" fontId="3" fillId="0" borderId="0">
      <alignment vertical="center"/>
    </xf>
    <xf numFmtId="0" fontId="48" fillId="0" borderId="0" applyNumberFormat="0" applyFill="0" applyBorder="0" applyAlignment="0" applyProtection="0">
      <alignment vertical="top"/>
      <protection locked="0"/>
    </xf>
  </cellStyleXfs>
  <cellXfs count="388">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165" fontId="21" fillId="4" borderId="13" xfId="4" applyNumberFormat="1" applyFont="1" applyFill="1" applyBorder="1" applyAlignment="1" applyProtection="1">
      <alignment horizontal="center" vertical="center" shrinkToFit="1"/>
      <protection locked="0"/>
    </xf>
    <xf numFmtId="167" fontId="21" fillId="4" borderId="13" xfId="5" applyNumberFormat="1" applyFont="1" applyFill="1" applyBorder="1" applyAlignment="1" applyProtection="1">
      <alignment horizontal="center" vertical="center" shrinkToFit="1"/>
      <protection locked="0"/>
    </xf>
    <xf numFmtId="0" fontId="21" fillId="0" borderId="0" xfId="4" applyFont="1" applyAlignment="1">
      <alignment vertical="center" wrapText="1"/>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3" borderId="0" xfId="4" applyFont="1" applyFill="1">
      <alignment vertical="center"/>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4" fillId="0" borderId="0" xfId="8" applyFont="1">
      <alignment vertical="center"/>
    </xf>
    <xf numFmtId="0" fontId="31" fillId="0" borderId="0" xfId="8" applyFont="1">
      <alignment vertical="center"/>
    </xf>
    <xf numFmtId="0" fontId="24" fillId="0" borderId="0" xfId="8" applyFont="1" applyAlignment="1">
      <alignment vertical="center" shrinkToFit="1"/>
    </xf>
    <xf numFmtId="0" fontId="24" fillId="0" borderId="0" xfId="8" applyFont="1" applyAlignment="1">
      <alignment horizontal="left" vertical="center" indent="1"/>
    </xf>
    <xf numFmtId="0" fontId="29" fillId="0" borderId="0" xfId="8" applyFont="1">
      <alignment vertical="center"/>
    </xf>
    <xf numFmtId="0" fontId="29" fillId="0" borderId="0" xfId="8" applyFont="1" applyAlignment="1">
      <alignment horizontal="right" vertical="center"/>
    </xf>
    <xf numFmtId="0" fontId="29" fillId="7" borderId="13" xfId="8" applyFont="1" applyFill="1" applyBorder="1" applyAlignment="1">
      <alignment horizontal="center" vertical="center" wrapText="1"/>
    </xf>
    <xf numFmtId="0" fontId="29" fillId="7" borderId="13" xfId="8" applyFont="1" applyFill="1" applyBorder="1" applyAlignment="1">
      <alignment horizontal="center" vertical="center"/>
    </xf>
    <xf numFmtId="0" fontId="24" fillId="0" borderId="0" xfId="7" applyFont="1">
      <alignment vertical="center"/>
    </xf>
    <xf numFmtId="49" fontId="25" fillId="0" borderId="13" xfId="8" applyNumberFormat="1" applyFont="1" applyBorder="1" applyAlignment="1">
      <alignment horizontal="left" vertical="top" wrapText="1"/>
    </xf>
    <xf numFmtId="49" fontId="25" fillId="0" borderId="13" xfId="7" applyNumberFormat="1" applyFont="1" applyBorder="1" applyAlignment="1">
      <alignment horizontal="left" vertical="top" wrapText="1"/>
    </xf>
    <xf numFmtId="49" fontId="32" fillId="0" borderId="13" xfId="7" applyNumberFormat="1" applyFont="1" applyBorder="1" applyAlignment="1">
      <alignment horizontal="left" vertical="top" wrapText="1"/>
    </xf>
    <xf numFmtId="0" fontId="21" fillId="9" borderId="13" xfId="4" applyFont="1" applyFill="1" applyBorder="1" applyAlignment="1" applyProtection="1">
      <alignment horizontal="center" vertical="center" shrinkToFit="1"/>
      <protection locked="0"/>
    </xf>
    <xf numFmtId="165" fontId="21"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0" fontId="21" fillId="0" borderId="0" xfId="13" applyFont="1" applyFill="1" applyAlignment="1">
      <alignment vertical="center" wrapText="1"/>
    </xf>
    <xf numFmtId="0" fontId="34" fillId="0" borderId="0" xfId="12" applyFont="1" applyAlignment="1">
      <alignment vertical="center" wrapText="1"/>
    </xf>
    <xf numFmtId="49" fontId="37" fillId="0" borderId="13" xfId="7" applyNumberFormat="1" applyFont="1" applyBorder="1" applyAlignment="1">
      <alignment horizontal="left" vertical="top" wrapText="1"/>
    </xf>
    <xf numFmtId="0" fontId="25" fillId="8" borderId="13" xfId="14" applyFont="1" applyFill="1" applyBorder="1" applyAlignment="1">
      <alignment horizontal="center" vertical="center" shrinkToFit="1"/>
    </xf>
    <xf numFmtId="0" fontId="25" fillId="8" borderId="13" xfId="14" applyFont="1" applyFill="1" applyBorder="1" applyAlignment="1">
      <alignment horizontal="center" vertical="center" wrapText="1"/>
    </xf>
    <xf numFmtId="0" fontId="25" fillId="8" borderId="13" xfId="14" applyFont="1" applyFill="1" applyBorder="1">
      <alignment vertical="center"/>
    </xf>
    <xf numFmtId="0" fontId="25" fillId="0" borderId="0" xfId="14" applyFont="1">
      <alignment vertical="center"/>
    </xf>
    <xf numFmtId="0" fontId="25" fillId="0" borderId="0" xfId="14" applyFont="1" applyAlignment="1">
      <alignment horizontal="center" vertical="center" shrinkToFit="1"/>
    </xf>
    <xf numFmtId="0" fontId="25" fillId="0" borderId="0" xfId="14" applyFont="1" applyAlignment="1">
      <alignment horizontal="center" vertical="center" wrapText="1"/>
    </xf>
    <xf numFmtId="0" fontId="25" fillId="0" borderId="0" xfId="14" applyFont="1" applyAlignment="1">
      <alignment vertical="center" wrapText="1"/>
    </xf>
    <xf numFmtId="0" fontId="25" fillId="0" borderId="0" xfId="15" applyFont="1" applyAlignment="1">
      <alignment vertical="center" wrapText="1"/>
    </xf>
    <xf numFmtId="0" fontId="21" fillId="0" borderId="0" xfId="15" applyFont="1" applyAlignment="1">
      <alignment vertical="center" wrapText="1"/>
    </xf>
    <xf numFmtId="0" fontId="21" fillId="0" borderId="0" xfId="14" applyFont="1" applyAlignment="1">
      <alignment horizontal="center" vertical="center" shrinkToFit="1"/>
    </xf>
    <xf numFmtId="0" fontId="21" fillId="0" borderId="0" xfId="15" applyFont="1" applyAlignment="1">
      <alignment horizontal="center" vertical="center" wrapText="1"/>
    </xf>
    <xf numFmtId="0" fontId="21" fillId="0" borderId="0" xfId="14" applyFont="1" applyAlignment="1">
      <alignment horizontal="center" vertical="center" wrapText="1"/>
    </xf>
    <xf numFmtId="0" fontId="21" fillId="0" borderId="0" xfId="14" applyFont="1" applyAlignment="1">
      <alignment vertical="center" wrapText="1"/>
    </xf>
    <xf numFmtId="0" fontId="14" fillId="0" borderId="0" xfId="12" applyAlignment="1">
      <alignment vertical="center" wrapText="1"/>
    </xf>
    <xf numFmtId="0" fontId="36" fillId="0" borderId="0" xfId="14" applyFont="1" applyAlignment="1">
      <alignment vertical="center" wrapText="1"/>
    </xf>
    <xf numFmtId="0" fontId="21" fillId="0" borderId="0" xfId="4" applyFont="1" applyAlignment="1">
      <alignment horizontal="center" vertical="center"/>
    </xf>
    <xf numFmtId="0" fontId="21" fillId="0" borderId="36" xfId="4" applyFont="1" applyBorder="1" applyAlignment="1">
      <alignment horizontal="center" vertical="center" wrapText="1"/>
    </xf>
    <xf numFmtId="0" fontId="21" fillId="0" borderId="34" xfId="4" applyFont="1" applyBorder="1" applyAlignment="1">
      <alignment horizontal="center" vertical="center" wrapText="1"/>
    </xf>
    <xf numFmtId="0" fontId="21" fillId="0" borderId="37" xfId="4" applyFont="1" applyBorder="1" applyAlignment="1">
      <alignment vertical="center" wrapText="1"/>
    </xf>
    <xf numFmtId="0" fontId="21" fillId="0" borderId="36" xfId="4" applyFont="1" applyBorder="1" applyAlignment="1">
      <alignment vertical="center" wrapText="1"/>
    </xf>
    <xf numFmtId="0" fontId="21" fillId="0" borderId="0" xfId="16" applyFont="1" applyAlignment="1">
      <alignment wrapText="1"/>
    </xf>
    <xf numFmtId="0" fontId="21" fillId="0" borderId="0" xfId="4" applyFont="1" applyAlignment="1">
      <alignment horizontal="center" vertical="center" wrapText="1"/>
    </xf>
    <xf numFmtId="168" fontId="21" fillId="0" borderId="0" xfId="4" applyNumberFormat="1" applyFont="1" applyAlignment="1">
      <alignment vertical="center" wrapText="1"/>
    </xf>
    <xf numFmtId="0" fontId="21" fillId="13" borderId="25" xfId="18" applyFont="1" applyFill="1" applyBorder="1" applyAlignment="1">
      <alignment horizontal="center" vertical="center" wrapText="1"/>
    </xf>
    <xf numFmtId="0" fontId="21" fillId="10" borderId="27" xfId="18" applyFont="1" applyFill="1" applyBorder="1" applyAlignment="1">
      <alignment horizontal="center" vertical="center" wrapText="1"/>
    </xf>
    <xf numFmtId="168" fontId="21" fillId="13" borderId="28" xfId="18" applyNumberFormat="1" applyFont="1" applyFill="1" applyBorder="1" applyAlignment="1">
      <alignment horizontal="center" vertical="center" wrapText="1"/>
    </xf>
    <xf numFmtId="0" fontId="21" fillId="13" borderId="29" xfId="18" applyFont="1" applyFill="1" applyBorder="1" applyAlignment="1">
      <alignment horizontal="center" vertical="center" wrapText="1"/>
    </xf>
    <xf numFmtId="0" fontId="21" fillId="14" borderId="25" xfId="18" applyFont="1" applyFill="1" applyBorder="1" applyAlignment="1">
      <alignment horizontal="center" vertical="center" wrapText="1"/>
    </xf>
    <xf numFmtId="168" fontId="21" fillId="14" borderId="28" xfId="18" applyNumberFormat="1" applyFont="1" applyFill="1" applyBorder="1" applyAlignment="1">
      <alignment horizontal="center" vertical="center" wrapText="1"/>
    </xf>
    <xf numFmtId="0" fontId="21" fillId="14" borderId="29" xfId="18" applyFont="1" applyFill="1" applyBorder="1" applyAlignment="1">
      <alignment horizontal="center" vertical="center" wrapText="1"/>
    </xf>
    <xf numFmtId="169" fontId="21" fillId="0" borderId="13" xfId="18" applyNumberFormat="1" applyFont="1" applyBorder="1" applyAlignment="1">
      <alignment horizontal="center" vertical="center" wrapText="1"/>
    </xf>
    <xf numFmtId="0" fontId="21" fillId="13" borderId="39" xfId="18" applyFont="1" applyFill="1" applyBorder="1" applyAlignment="1">
      <alignment horizontal="center" vertical="center" wrapText="1"/>
    </xf>
    <xf numFmtId="0" fontId="21" fillId="13" borderId="42" xfId="18" applyFont="1" applyFill="1" applyBorder="1" applyAlignment="1">
      <alignment horizontal="center" vertical="center" wrapText="1"/>
    </xf>
    <xf numFmtId="0" fontId="21" fillId="0" borderId="34" xfId="18" applyFont="1" applyBorder="1" applyAlignment="1">
      <alignment horizontal="center" vertical="center" wrapText="1"/>
    </xf>
    <xf numFmtId="0" fontId="21" fillId="0" borderId="13" xfId="18" applyFont="1" applyBorder="1" applyAlignment="1">
      <alignment horizontal="center" vertical="center" wrapText="1"/>
    </xf>
    <xf numFmtId="0" fontId="21" fillId="0" borderId="0" xfId="18" applyFont="1" applyAlignment="1">
      <alignment vertical="center" wrapText="1"/>
    </xf>
    <xf numFmtId="0" fontId="21" fillId="0" borderId="0" xfId="18" applyFont="1" applyAlignment="1">
      <alignment horizontal="center" vertical="center" wrapText="1"/>
    </xf>
    <xf numFmtId="168" fontId="21" fillId="0" borderId="0" xfId="18" applyNumberFormat="1" applyFont="1" applyAlignment="1">
      <alignment vertical="center" wrapText="1"/>
    </xf>
    <xf numFmtId="0" fontId="21" fillId="0" borderId="0" xfId="18" applyFont="1" applyAlignment="1">
      <alignment horizontal="center" vertical="center"/>
    </xf>
    <xf numFmtId="0" fontId="21" fillId="0" borderId="0" xfId="18" applyFont="1" applyAlignment="1">
      <alignment horizontal="right" vertical="center"/>
    </xf>
    <xf numFmtId="49" fontId="21" fillId="0" borderId="13" xfId="5" quotePrefix="1" applyNumberFormat="1" applyFont="1" applyBorder="1" applyAlignment="1" applyProtection="1">
      <alignment horizontal="center" vertical="center" wrapText="1"/>
      <protection locked="0"/>
    </xf>
    <xf numFmtId="0" fontId="21" fillId="12" borderId="21" xfId="16" quotePrefix="1" applyFont="1" applyFill="1" applyBorder="1" applyAlignment="1">
      <alignment vertical="center" wrapText="1"/>
    </xf>
    <xf numFmtId="0" fontId="21" fillId="17" borderId="3" xfId="18" applyFont="1" applyFill="1" applyBorder="1" applyAlignment="1">
      <alignment vertical="center" wrapText="1"/>
    </xf>
    <xf numFmtId="169" fontId="21" fillId="17" borderId="3" xfId="18" applyNumberFormat="1" applyFont="1" applyFill="1" applyBorder="1" applyAlignment="1">
      <alignment horizontal="center" vertical="center"/>
    </xf>
    <xf numFmtId="0" fontId="21" fillId="2" borderId="13" xfId="4" applyFont="1" applyFill="1" applyBorder="1" applyAlignment="1">
      <alignment horizontal="center" vertical="center" wrapText="1"/>
    </xf>
    <xf numFmtId="0" fontId="21" fillId="2" borderId="13" xfId="4" applyFont="1" applyFill="1" applyBorder="1" applyAlignment="1">
      <alignment horizontal="center" vertical="center" wrapText="1" shrinkToFit="1"/>
    </xf>
    <xf numFmtId="0" fontId="21" fillId="2" borderId="13" xfId="5" applyFont="1" applyFill="1" applyBorder="1" applyAlignment="1">
      <alignment horizontal="center" vertical="center" wrapText="1"/>
    </xf>
    <xf numFmtId="0" fontId="24" fillId="0" borderId="1" xfId="0" applyFont="1" applyBorder="1" applyAlignment="1">
      <alignment vertical="top"/>
    </xf>
    <xf numFmtId="0" fontId="21" fillId="3" borderId="8" xfId="4" applyFont="1" applyFill="1" applyBorder="1" applyAlignment="1" applyProtection="1">
      <alignment horizontal="center" vertical="center" shrinkToFit="1"/>
      <protection locked="0"/>
    </xf>
    <xf numFmtId="165" fontId="21" fillId="3" borderId="8" xfId="4" applyNumberFormat="1" applyFont="1" applyFill="1" applyBorder="1" applyAlignment="1" applyProtection="1">
      <alignment horizontal="center" vertical="center" shrinkToFit="1"/>
      <protection locked="0"/>
    </xf>
    <xf numFmtId="0" fontId="43" fillId="2" borderId="13" xfId="5" applyFont="1" applyFill="1" applyBorder="1" applyAlignment="1" applyProtection="1">
      <alignment horizontal="center" vertical="center"/>
      <protection locked="0"/>
    </xf>
    <xf numFmtId="167" fontId="21" fillId="18" borderId="13" xfId="5" applyNumberFormat="1" applyFont="1" applyFill="1" applyBorder="1" applyAlignment="1" applyProtection="1">
      <alignment horizontal="center" vertical="center" shrinkToFit="1"/>
      <protection locked="0"/>
    </xf>
    <xf numFmtId="170" fontId="21" fillId="4" borderId="13" xfId="4" applyNumberFormat="1" applyFont="1" applyFill="1" applyBorder="1">
      <alignment vertical="center"/>
    </xf>
    <xf numFmtId="0" fontId="21" fillId="4" borderId="13" xfId="4" applyFont="1" applyFill="1" applyBorder="1">
      <alignment vertical="center"/>
    </xf>
    <xf numFmtId="0" fontId="21" fillId="6" borderId="13" xfId="4" applyFont="1" applyFill="1" applyBorder="1" applyAlignment="1">
      <alignment horizontal="center" vertical="center" wrapText="1" shrinkToFit="1"/>
    </xf>
    <xf numFmtId="0" fontId="21" fillId="12" borderId="21" xfId="16" applyFont="1" applyFill="1" applyBorder="1" applyAlignment="1">
      <alignment horizontal="left" vertical="center" wrapText="1"/>
    </xf>
    <xf numFmtId="0" fontId="21" fillId="0" borderId="0" xfId="4" applyFont="1" applyAlignment="1">
      <alignment vertical="center"/>
    </xf>
    <xf numFmtId="168" fontId="21" fillId="0" borderId="0" xfId="4" applyNumberFormat="1" applyFont="1" applyAlignment="1">
      <alignment vertical="center"/>
    </xf>
    <xf numFmtId="0" fontId="39" fillId="0" borderId="0" xfId="18" applyFont="1" applyAlignment="1">
      <alignment vertical="center"/>
    </xf>
    <xf numFmtId="0" fontId="21" fillId="15" borderId="0" xfId="4" applyFont="1" applyFill="1" applyAlignment="1">
      <alignment vertical="center"/>
    </xf>
    <xf numFmtId="0" fontId="21" fillId="0" borderId="0" xfId="16" applyFont="1" applyAlignment="1"/>
    <xf numFmtId="0" fontId="21" fillId="0" borderId="0" xfId="4" applyFont="1" applyBorder="1" applyAlignment="1">
      <alignment vertical="center" wrapText="1"/>
    </xf>
    <xf numFmtId="0" fontId="21" fillId="0" borderId="0" xfId="16" applyFont="1" applyBorder="1" applyAlignment="1">
      <alignment vertical="center" wrapText="1"/>
    </xf>
    <xf numFmtId="0" fontId="21" fillId="0" borderId="0" xfId="16" applyFont="1" applyBorder="1" applyAlignment="1">
      <alignment wrapText="1"/>
    </xf>
    <xf numFmtId="168" fontId="21" fillId="0" borderId="0" xfId="4" applyNumberFormat="1" applyFont="1" applyBorder="1" applyAlignment="1">
      <alignment vertical="center" wrapText="1"/>
    </xf>
    <xf numFmtId="0" fontId="21" fillId="0" borderId="0" xfId="16" applyFont="1" applyBorder="1" applyAlignment="1">
      <alignment horizontal="left" wrapText="1"/>
    </xf>
    <xf numFmtId="0" fontId="21" fillId="0" borderId="0" xfId="4" applyFont="1" applyBorder="1" applyAlignment="1">
      <alignment horizontal="left" wrapText="1"/>
    </xf>
    <xf numFmtId="168" fontId="21" fillId="0" borderId="0" xfId="4" applyNumberFormat="1" applyFont="1" applyBorder="1" applyAlignment="1">
      <alignment horizontal="left" wrapText="1"/>
    </xf>
    <xf numFmtId="0" fontId="21" fillId="10" borderId="27" xfId="18" applyFont="1" applyFill="1" applyBorder="1" applyAlignment="1">
      <alignment horizontal="center" vertical="center"/>
    </xf>
    <xf numFmtId="0" fontId="21" fillId="0" borderId="34" xfId="4" applyNumberFormat="1" applyFont="1" applyBorder="1" applyAlignment="1">
      <alignment horizontal="center" vertical="center" wrapText="1"/>
    </xf>
    <xf numFmtId="0" fontId="21" fillId="0" borderId="38" xfId="4" applyNumberFormat="1" applyFont="1" applyBorder="1" applyAlignment="1">
      <alignment horizontal="center" vertical="center" wrapText="1"/>
    </xf>
    <xf numFmtId="0" fontId="21" fillId="0" borderId="43" xfId="4" applyNumberFormat="1" applyFont="1" applyBorder="1" applyAlignment="1">
      <alignment horizontal="center" vertical="center" wrapText="1"/>
    </xf>
    <xf numFmtId="0" fontId="21" fillId="0" borderId="44" xfId="4" applyNumberFormat="1" applyFont="1" applyBorder="1" applyAlignment="1">
      <alignment horizontal="center" vertical="center" wrapText="1"/>
    </xf>
    <xf numFmtId="0" fontId="21" fillId="0" borderId="36" xfId="4" applyFont="1" applyFill="1" applyBorder="1" applyAlignment="1">
      <alignment horizontal="center" vertical="center" wrapText="1"/>
    </xf>
    <xf numFmtId="0" fontId="21" fillId="0" borderId="34" xfId="4" applyNumberFormat="1" applyFont="1" applyFill="1" applyBorder="1" applyAlignment="1">
      <alignment horizontal="center" vertical="center" wrapText="1"/>
    </xf>
    <xf numFmtId="49" fontId="39" fillId="17" borderId="45" xfId="18" applyNumberFormat="1" applyFont="1" applyFill="1" applyBorder="1" applyAlignment="1">
      <alignment vertical="center"/>
    </xf>
    <xf numFmtId="0" fontId="21" fillId="17" borderId="3" xfId="18" applyFont="1" applyFill="1" applyBorder="1" applyAlignment="1">
      <alignment vertical="center"/>
    </xf>
    <xf numFmtId="0" fontId="21" fillId="17" borderId="35" xfId="18" applyFont="1" applyFill="1" applyBorder="1" applyAlignment="1">
      <alignment vertical="center"/>
    </xf>
    <xf numFmtId="0" fontId="21" fillId="0" borderId="36" xfId="4" applyFont="1" applyFill="1" applyBorder="1" applyAlignment="1">
      <alignment vertical="center" wrapText="1"/>
    </xf>
    <xf numFmtId="169" fontId="21" fillId="0" borderId="13" xfId="18" applyNumberFormat="1" applyFont="1" applyFill="1" applyBorder="1" applyAlignment="1">
      <alignment horizontal="center" vertical="center" wrapText="1"/>
    </xf>
    <xf numFmtId="0" fontId="21" fillId="7" borderId="46" xfId="4" applyNumberFormat="1" applyFont="1" applyFill="1" applyBorder="1" applyAlignment="1">
      <alignment horizontal="center" vertical="center" wrapText="1"/>
    </xf>
    <xf numFmtId="0" fontId="21" fillId="7" borderId="49" xfId="4" applyFont="1" applyFill="1" applyBorder="1" applyAlignment="1">
      <alignment horizontal="center" vertical="center" wrapText="1"/>
    </xf>
    <xf numFmtId="169" fontId="21" fillId="7" borderId="50" xfId="18" applyNumberFormat="1" applyFont="1" applyFill="1" applyBorder="1" applyAlignment="1">
      <alignment horizontal="center" vertical="center" wrapText="1"/>
    </xf>
    <xf numFmtId="0" fontId="21" fillId="7" borderId="51" xfId="4" applyFont="1" applyFill="1" applyBorder="1" applyAlignment="1">
      <alignment vertical="center" wrapText="1"/>
    </xf>
    <xf numFmtId="0" fontId="21" fillId="7" borderId="49" xfId="4" applyFont="1" applyFill="1" applyBorder="1" applyAlignment="1">
      <alignment vertical="center" wrapText="1"/>
    </xf>
    <xf numFmtId="0" fontId="49" fillId="7" borderId="49" xfId="19" applyFont="1" applyFill="1" applyBorder="1" applyAlignment="1" applyProtection="1">
      <alignment vertical="center" wrapText="1"/>
    </xf>
    <xf numFmtId="0" fontId="21" fillId="0" borderId="0" xfId="18" applyFont="1" applyAlignment="1">
      <alignment vertical="center"/>
    </xf>
    <xf numFmtId="168" fontId="21" fillId="0" borderId="0" xfId="18" applyNumberFormat="1" applyFont="1" applyAlignment="1">
      <alignment vertical="center"/>
    </xf>
    <xf numFmtId="0" fontId="21" fillId="0" borderId="0" xfId="4" applyFont="1" applyFill="1" applyAlignment="1">
      <alignment vertical="center"/>
    </xf>
    <xf numFmtId="0" fontId="21" fillId="0" borderId="0" xfId="4" applyFont="1" applyFill="1" applyAlignment="1">
      <alignment vertical="center" wrapText="1"/>
    </xf>
    <xf numFmtId="0" fontId="21" fillId="19" borderId="46" xfId="4" applyFont="1" applyFill="1" applyBorder="1" applyAlignment="1">
      <alignment horizontal="center" vertical="center" wrapText="1"/>
    </xf>
    <xf numFmtId="0" fontId="21" fillId="0" borderId="13" xfId="5" applyFont="1" applyBorder="1" applyAlignment="1" applyProtection="1">
      <alignment horizontal="left" vertical="center" wrapText="1"/>
      <protection locked="0"/>
    </xf>
    <xf numFmtId="14" fontId="21" fillId="0" borderId="13" xfId="4" applyNumberFormat="1" applyFont="1" applyBorder="1" applyAlignment="1">
      <alignment horizontal="center" vertical="center" wrapText="1"/>
    </xf>
    <xf numFmtId="14"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left" vertical="center" wrapText="1"/>
    </xf>
    <xf numFmtId="0" fontId="21" fillId="0" borderId="13" xfId="5" quotePrefix="1" applyFont="1" applyBorder="1" applyAlignment="1" applyProtection="1">
      <alignment horizontal="left" vertical="center" wrapText="1"/>
      <protection locked="0"/>
    </xf>
    <xf numFmtId="0" fontId="21" fillId="0" borderId="2" xfId="5"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0" fontId="21" fillId="2" borderId="13" xfId="4" applyFont="1" applyFill="1" applyBorder="1" applyAlignment="1">
      <alignment horizontal="center" vertical="center" wrapText="1"/>
    </xf>
    <xf numFmtId="0" fontId="21" fillId="2" borderId="13" xfId="4" applyFont="1" applyFill="1" applyBorder="1" applyAlignment="1">
      <alignment horizontal="center" vertical="center"/>
    </xf>
    <xf numFmtId="0" fontId="21" fillId="16" borderId="13" xfId="4" quotePrefix="1" applyFont="1" applyFill="1" applyBorder="1" applyAlignment="1">
      <alignment horizontal="left" vertical="center" wrapText="1"/>
    </xf>
    <xf numFmtId="0" fontId="21" fillId="16" borderId="13" xfId="4" applyFont="1" applyFill="1" applyBorder="1" applyAlignment="1">
      <alignment horizontal="left" vertical="center"/>
    </xf>
    <xf numFmtId="14"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left" vertical="center" shrinkToFit="1"/>
    </xf>
    <xf numFmtId="0" fontId="21" fillId="3" borderId="8" xfId="4" applyFont="1" applyFill="1" applyBorder="1" applyAlignment="1">
      <alignment horizontal="center" vertical="center"/>
    </xf>
    <xf numFmtId="0" fontId="21" fillId="3" borderId="8" xfId="4" applyFont="1" applyFill="1" applyBorder="1" applyAlignment="1" applyProtection="1">
      <alignment vertical="center" shrinkToFit="1"/>
      <protection locked="0"/>
    </xf>
    <xf numFmtId="0" fontId="21" fillId="3" borderId="8" xfId="4" applyFont="1" applyFill="1" applyBorder="1" applyAlignment="1" applyProtection="1">
      <alignment vertical="center" wrapText="1" shrinkToFit="1"/>
      <protection locked="0"/>
    </xf>
    <xf numFmtId="0" fontId="21" fillId="3" borderId="8" xfId="5" applyFont="1" applyFill="1" applyBorder="1" applyAlignment="1" applyProtection="1">
      <alignment vertical="center" wrapText="1"/>
      <protection locked="0"/>
    </xf>
    <xf numFmtId="0" fontId="21" fillId="2" borderId="13"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0" fontId="43" fillId="2" borderId="2" xfId="4" applyFont="1" applyFill="1" applyBorder="1" applyAlignment="1">
      <alignment horizontal="center" vertical="center"/>
    </xf>
    <xf numFmtId="0" fontId="21" fillId="2" borderId="4" xfId="4" applyFont="1" applyFill="1" applyBorder="1" applyAlignment="1">
      <alignment horizontal="center" vertical="center"/>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49" fontId="21" fillId="9" borderId="2" xfId="4"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171" fontId="21" fillId="9" borderId="2" xfId="4" applyNumberFormat="1" applyFont="1" applyFill="1" applyBorder="1" applyAlignment="1" applyProtection="1">
      <alignment horizontal="right" vertical="center" wrapText="1" shrinkToFit="1"/>
      <protection locked="0"/>
    </xf>
    <xf numFmtId="171" fontId="21" fillId="9" borderId="3" xfId="4" applyNumberFormat="1" applyFont="1" applyFill="1" applyBorder="1" applyAlignment="1" applyProtection="1">
      <alignment horizontal="right" vertical="center" wrapText="1" shrinkToFit="1"/>
      <protection locked="0"/>
    </xf>
    <xf numFmtId="171" fontId="21" fillId="9" borderId="4" xfId="4" applyNumberFormat="1" applyFont="1" applyFill="1" applyBorder="1" applyAlignment="1" applyProtection="1">
      <alignment horizontal="right" vertical="center" wrapText="1" shrinkToFit="1"/>
      <protection locked="0"/>
    </xf>
    <xf numFmtId="0" fontId="21" fillId="2" borderId="13" xfId="5" applyFont="1" applyFill="1" applyBorder="1" applyAlignment="1">
      <alignment horizontal="center" vertical="center"/>
    </xf>
    <xf numFmtId="0" fontId="21" fillId="6" borderId="2" xfId="4" applyFont="1" applyFill="1" applyBorder="1" applyAlignment="1">
      <alignment horizontal="center" vertical="center" wrapText="1"/>
    </xf>
    <xf numFmtId="0" fontId="21" fillId="6" borderId="3" xfId="4" applyFont="1" applyFill="1" applyBorder="1" applyAlignment="1">
      <alignment horizontal="center" vertical="center"/>
    </xf>
    <xf numFmtId="0" fontId="21" fillId="6" borderId="4" xfId="4" applyFont="1" applyFill="1" applyBorder="1" applyAlignment="1">
      <alignment horizontal="center" vertical="center"/>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0" borderId="13" xfId="4" applyFont="1" applyBorder="1" applyAlignment="1">
      <alignment horizontal="center" vertical="center"/>
    </xf>
    <xf numFmtId="0" fontId="21" fillId="2" borderId="13" xfId="5" applyFont="1" applyFill="1" applyBorder="1" applyAlignment="1">
      <alignment horizontal="center" vertical="center" wrapText="1"/>
    </xf>
    <xf numFmtId="0" fontId="21" fillId="0" borderId="13" xfId="4" applyFont="1" applyBorder="1" applyAlignment="1" applyProtection="1">
      <alignment horizontal="left" vertical="top" wrapText="1"/>
      <protection locked="0"/>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0" fontId="21" fillId="0" borderId="8" xfId="4" applyFont="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6" borderId="13" xfId="4" applyFont="1" applyFill="1" applyBorder="1" applyAlignment="1">
      <alignment horizontal="center" vertical="center" wrapText="1"/>
    </xf>
    <xf numFmtId="0" fontId="21" fillId="6" borderId="13" xfId="4" applyFont="1" applyFill="1" applyBorder="1" applyAlignment="1">
      <alignment horizontal="center" vertical="center"/>
    </xf>
    <xf numFmtId="166" fontId="21" fillId="4" borderId="13" xfId="4" applyNumberFormat="1" applyFont="1" applyFill="1" applyBorder="1" applyAlignment="1">
      <alignment horizontal="right" vertical="center"/>
    </xf>
    <xf numFmtId="0" fontId="21" fillId="0" borderId="13" xfId="4" applyFont="1" applyBorder="1" applyAlignment="1" applyProtection="1">
      <alignment horizontal="left" vertical="center" wrapText="1" shrinkToFit="1"/>
      <protection locked="0"/>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7" fillId="9" borderId="6" xfId="2" applyFont="1" applyFill="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7" fillId="0" borderId="6" xfId="2" applyFont="1" applyBorder="1" applyAlignment="1">
      <alignment horizontal="center" vertical="center" wrapText="1"/>
    </xf>
    <xf numFmtId="0" fontId="25" fillId="2" borderId="13" xfId="2" applyFont="1" applyFill="1" applyBorder="1" applyAlignment="1">
      <alignment horizontal="center" vertical="center" wrapText="1"/>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0" borderId="13" xfId="4" applyFont="1" applyBorder="1" applyAlignment="1" applyProtection="1">
      <alignment horizontal="center" vertical="center" wrapText="1"/>
      <protection locked="0"/>
    </xf>
    <xf numFmtId="0" fontId="21" fillId="9" borderId="13" xfId="4" applyFont="1" applyFill="1" applyBorder="1" applyAlignment="1" applyProtection="1">
      <alignment horizontal="center" vertical="center" wrapText="1"/>
      <protection locked="0"/>
    </xf>
    <xf numFmtId="2" fontId="21" fillId="0" borderId="13" xfId="4" applyNumberFormat="1" applyFont="1" applyBorder="1" applyAlignment="1">
      <alignment horizontal="center" vertical="center"/>
    </xf>
    <xf numFmtId="164" fontId="21" fillId="0" borderId="13" xfId="4" applyNumberFormat="1" applyFont="1" applyBorder="1" applyAlignment="1" applyProtection="1">
      <alignment horizontal="center" vertical="center" shrinkToFit="1"/>
      <protection locked="0"/>
    </xf>
    <xf numFmtId="164" fontId="21" fillId="0" borderId="2" xfId="4" applyNumberFormat="1" applyFont="1" applyBorder="1" applyAlignment="1">
      <alignment horizontal="center" vertical="center"/>
    </xf>
    <xf numFmtId="164" fontId="21" fillId="0" borderId="4" xfId="4" applyNumberFormat="1" applyFont="1" applyBorder="1" applyAlignment="1">
      <alignment horizontal="center" vertical="center"/>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14" fontId="21" fillId="0" borderId="13" xfId="4" applyNumberFormat="1" applyFont="1" applyBorder="1" applyAlignment="1">
      <alignment horizontal="center" vertical="center"/>
    </xf>
    <xf numFmtId="14" fontId="21" fillId="0" borderId="13" xfId="4" applyNumberFormat="1" applyFont="1" applyBorder="1" applyAlignment="1" applyProtection="1">
      <alignment horizontal="center" vertical="center" shrinkToFit="1"/>
      <protection locked="0"/>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7"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166" fontId="21" fillId="0" borderId="13" xfId="4" applyNumberFormat="1" applyFont="1" applyBorder="1" applyAlignment="1">
      <alignment horizontal="left" vertical="center"/>
    </xf>
    <xf numFmtId="165" fontId="21" fillId="0" borderId="13" xfId="4" applyNumberFormat="1" applyFont="1" applyBorder="1" applyAlignment="1">
      <alignment horizontal="left" vertical="center"/>
    </xf>
    <xf numFmtId="0" fontId="43" fillId="2" borderId="6" xfId="5" applyFont="1" applyFill="1" applyBorder="1" applyAlignment="1">
      <alignment horizontal="center" vertical="center" wrapText="1"/>
    </xf>
    <xf numFmtId="0" fontId="21" fillId="2" borderId="7"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0" xfId="5" applyFont="1" applyFill="1" applyBorder="1" applyAlignment="1">
      <alignment horizontal="center" vertical="center" wrapText="1"/>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165" fontId="21" fillId="4" borderId="13" xfId="4" applyNumberFormat="1" applyFont="1" applyFill="1" applyBorder="1" applyAlignment="1">
      <alignment horizontal="right" vertical="center"/>
    </xf>
    <xf numFmtId="0" fontId="21" fillId="5" borderId="2" xfId="4" applyFont="1" applyFill="1" applyBorder="1" applyAlignment="1">
      <alignment horizontal="left" vertical="center" wrapText="1"/>
    </xf>
    <xf numFmtId="0" fontId="21" fillId="5" borderId="3" xfId="4" applyFont="1" applyFill="1" applyBorder="1" applyAlignment="1">
      <alignment horizontal="left" vertical="center"/>
    </xf>
    <xf numFmtId="0" fontId="21" fillId="5" borderId="4" xfId="4" applyFont="1" applyFill="1" applyBorder="1" applyAlignment="1">
      <alignment horizontal="left" vertical="center"/>
    </xf>
    <xf numFmtId="0" fontId="21" fillId="3" borderId="0" xfId="5" applyFont="1" applyFill="1" applyAlignment="1" applyProtection="1">
      <alignment horizontal="left" vertical="center" wrapText="1"/>
      <protection locked="0"/>
    </xf>
    <xf numFmtId="14" fontId="21" fillId="3" borderId="0" xfId="4" applyNumberFormat="1" applyFont="1" applyFill="1" applyAlignment="1">
      <alignment horizontal="center" vertical="center" wrapText="1"/>
    </xf>
    <xf numFmtId="0" fontId="21" fillId="9" borderId="2" xfId="4" applyFont="1" applyFill="1" applyBorder="1" applyAlignment="1" applyProtection="1">
      <alignment vertical="center" wrapText="1" shrinkToFit="1"/>
      <protection locked="0"/>
    </xf>
    <xf numFmtId="0" fontId="21" fillId="9" borderId="3" xfId="4" applyFont="1" applyFill="1" applyBorder="1" applyAlignment="1" applyProtection="1">
      <alignment vertical="center" wrapText="1" shrinkToFit="1"/>
      <protection locked="0"/>
    </xf>
    <xf numFmtId="0" fontId="21" fillId="9" borderId="4" xfId="4" applyFont="1" applyFill="1" applyBorder="1" applyAlignment="1" applyProtection="1">
      <alignment vertical="center" wrapText="1" shrinkToFit="1"/>
      <protection locked="0"/>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0" fontId="21" fillId="9" borderId="2" xfId="4" applyFont="1" applyFill="1" applyBorder="1" applyAlignment="1" applyProtection="1">
      <alignment horizontal="right" vertical="center" wrapText="1" shrinkToFit="1"/>
      <protection locked="0"/>
    </xf>
    <xf numFmtId="0" fontId="21" fillId="9" borderId="3" xfId="4" applyFont="1" applyFill="1" applyBorder="1" applyAlignment="1" applyProtection="1">
      <alignment horizontal="right" vertical="center" wrapText="1" shrinkToFit="1"/>
      <protection locked="0"/>
    </xf>
    <xf numFmtId="0" fontId="21" fillId="9" borderId="4" xfId="4" applyFont="1" applyFill="1" applyBorder="1" applyAlignment="1" applyProtection="1">
      <alignment horizontal="right" vertical="center" wrapText="1" shrinkToFit="1"/>
      <protection locked="0"/>
    </xf>
    <xf numFmtId="0" fontId="21" fillId="6" borderId="2" xfId="4" applyFont="1" applyFill="1" applyBorder="1" applyAlignment="1">
      <alignment horizontal="center" vertical="center" wrapText="1" shrinkToFit="1"/>
    </xf>
    <xf numFmtId="0" fontId="21" fillId="6" borderId="4" xfId="4" applyFont="1" applyFill="1" applyBorder="1" applyAlignment="1">
      <alignment horizontal="center" vertical="center" wrapText="1" shrinkToFit="1"/>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1" fillId="2" borderId="6" xfId="5" applyFont="1" applyFill="1" applyBorder="1" applyAlignment="1">
      <alignment horizontal="center" vertical="center" wrapText="1"/>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2" borderId="8" xfId="5" applyFont="1" applyFill="1" applyBorder="1" applyAlignment="1">
      <alignment horizontal="center" vertical="center" wrapText="1"/>
    </xf>
    <xf numFmtId="0" fontId="21" fillId="2" borderId="1" xfId="5" applyFont="1" applyFill="1" applyBorder="1" applyAlignment="1">
      <alignment horizontal="center" vertical="center" wrapText="1"/>
    </xf>
    <xf numFmtId="0" fontId="21" fillId="0" borderId="2" xfId="18" applyFont="1" applyBorder="1" applyAlignment="1">
      <alignment vertical="center" wrapText="1"/>
    </xf>
    <xf numFmtId="0" fontId="21" fillId="0" borderId="35" xfId="18" applyFont="1" applyBorder="1" applyAlignment="1">
      <alignment vertical="center" wrapText="1"/>
    </xf>
    <xf numFmtId="0" fontId="21" fillId="0" borderId="15" xfId="16" applyFont="1" applyBorder="1" applyAlignment="1">
      <alignment horizontal="center" vertical="center" wrapText="1"/>
    </xf>
    <xf numFmtId="0" fontId="21" fillId="0" borderId="16" xfId="16" applyFont="1" applyBorder="1" applyAlignment="1">
      <alignment horizontal="center" vertical="center" wrapText="1"/>
    </xf>
    <xf numFmtId="0" fontId="21" fillId="0" borderId="19" xfId="16" applyFont="1" applyBorder="1" applyAlignment="1">
      <alignment horizontal="center" vertical="center" wrapText="1"/>
    </xf>
    <xf numFmtId="0" fontId="21" fillId="0" borderId="20" xfId="16" applyFont="1" applyBorder="1" applyAlignment="1">
      <alignment horizontal="center" vertical="center" wrapText="1"/>
    </xf>
    <xf numFmtId="0" fontId="21" fillId="12" borderId="17" xfId="16" applyFont="1" applyFill="1" applyBorder="1" applyAlignment="1">
      <alignment horizontal="left" vertical="center" wrapText="1"/>
    </xf>
    <xf numFmtId="0" fontId="21" fillId="12" borderId="21" xfId="16" applyFont="1" applyFill="1" applyBorder="1" applyAlignment="1">
      <alignment horizontal="left" vertical="center" wrapText="1"/>
    </xf>
    <xf numFmtId="0" fontId="21" fillId="0" borderId="15" xfId="4" applyFont="1" applyFill="1" applyBorder="1" applyAlignment="1">
      <alignment horizontal="center" vertical="center" wrapText="1"/>
    </xf>
    <xf numFmtId="0" fontId="21" fillId="0" borderId="16" xfId="4" applyFont="1" applyFill="1" applyBorder="1" applyAlignment="1">
      <alignment horizontal="center" vertical="center" wrapText="1"/>
    </xf>
    <xf numFmtId="0" fontId="21" fillId="0" borderId="19" xfId="4" applyFont="1" applyFill="1" applyBorder="1" applyAlignment="1">
      <alignment horizontal="center" vertical="center" wrapText="1"/>
    </xf>
    <xf numFmtId="0" fontId="21" fillId="0" borderId="20" xfId="4" applyFont="1" applyFill="1" applyBorder="1" applyAlignment="1">
      <alignment horizontal="center" vertical="center" wrapText="1"/>
    </xf>
    <xf numFmtId="169" fontId="21" fillId="12" borderId="15" xfId="16" applyNumberFormat="1" applyFont="1" applyFill="1" applyBorder="1" applyAlignment="1">
      <alignment horizontal="left" vertical="center" wrapText="1"/>
    </xf>
    <xf numFmtId="169" fontId="21" fillId="12" borderId="18" xfId="16" applyNumberFormat="1" applyFont="1" applyFill="1" applyBorder="1" applyAlignment="1">
      <alignment horizontal="left" vertical="center" wrapText="1"/>
    </xf>
    <xf numFmtId="169" fontId="21" fillId="12" borderId="16" xfId="16" applyNumberFormat="1" applyFont="1" applyFill="1" applyBorder="1" applyAlignment="1">
      <alignment horizontal="left" vertical="center" wrapText="1"/>
    </xf>
    <xf numFmtId="169" fontId="21" fillId="12" borderId="19" xfId="16" applyNumberFormat="1" applyFont="1" applyFill="1" applyBorder="1" applyAlignment="1">
      <alignment horizontal="left" vertical="center" wrapText="1"/>
    </xf>
    <xf numFmtId="169" fontId="21" fillId="12" borderId="22" xfId="16" applyNumberFormat="1" applyFont="1" applyFill="1" applyBorder="1" applyAlignment="1">
      <alignment horizontal="left" vertical="center" wrapText="1"/>
    </xf>
    <xf numFmtId="169" fontId="21" fillId="12" borderId="20" xfId="16" applyNumberFormat="1" applyFont="1" applyFill="1" applyBorder="1" applyAlignment="1">
      <alignment horizontal="left" vertical="center" wrapText="1"/>
    </xf>
    <xf numFmtId="0" fontId="21" fillId="0" borderId="23" xfId="16" applyFont="1" applyBorder="1" applyAlignment="1">
      <alignment horizontal="center" vertical="center" wrapText="1"/>
    </xf>
    <xf numFmtId="0" fontId="21" fillId="0" borderId="24" xfId="16" applyFont="1" applyBorder="1" applyAlignment="1">
      <alignment horizontal="center" vertical="center" wrapText="1"/>
    </xf>
    <xf numFmtId="0" fontId="21" fillId="0" borderId="15" xfId="4" applyFont="1" applyBorder="1" applyAlignment="1">
      <alignment horizontal="center" vertical="center" wrapText="1"/>
    </xf>
    <xf numFmtId="0" fontId="21" fillId="0" borderId="16" xfId="4" applyFont="1" applyBorder="1" applyAlignment="1">
      <alignment horizontal="center" vertical="center" wrapText="1"/>
    </xf>
    <xf numFmtId="0" fontId="21" fillId="0" borderId="19" xfId="4" applyFont="1" applyBorder="1" applyAlignment="1">
      <alignment horizontal="center" vertical="center" wrapText="1"/>
    </xf>
    <xf numFmtId="0" fontId="21" fillId="0" borderId="20" xfId="4" applyFont="1" applyBorder="1" applyAlignment="1">
      <alignment horizontal="center" vertical="center" wrapText="1"/>
    </xf>
    <xf numFmtId="0" fontId="21" fillId="12" borderId="15" xfId="16" applyFont="1" applyFill="1" applyBorder="1" applyAlignment="1">
      <alignment horizontal="left" vertical="center" wrapText="1"/>
    </xf>
    <xf numFmtId="0" fontId="21" fillId="12" borderId="18" xfId="16" applyFont="1" applyFill="1" applyBorder="1" applyAlignment="1">
      <alignment horizontal="left" vertical="center" wrapText="1"/>
    </xf>
    <xf numFmtId="0" fontId="21" fillId="12" borderId="16" xfId="16" applyFont="1" applyFill="1" applyBorder="1" applyAlignment="1">
      <alignment horizontal="left" vertical="center" wrapText="1"/>
    </xf>
    <xf numFmtId="0" fontId="21" fillId="12" borderId="19" xfId="16" applyFont="1" applyFill="1" applyBorder="1" applyAlignment="1">
      <alignment horizontal="left" vertical="center" wrapText="1"/>
    </xf>
    <xf numFmtId="0" fontId="21" fillId="12" borderId="22" xfId="16" applyFont="1" applyFill="1" applyBorder="1" applyAlignment="1">
      <alignment horizontal="left" vertical="center" wrapText="1"/>
    </xf>
    <xf numFmtId="0" fontId="21" fillId="12" borderId="20" xfId="16" applyFont="1" applyFill="1" applyBorder="1" applyAlignment="1">
      <alignment horizontal="left" vertical="center" wrapText="1"/>
    </xf>
    <xf numFmtId="0" fontId="21" fillId="13" borderId="26" xfId="18" applyFont="1" applyFill="1" applyBorder="1" applyAlignment="1">
      <alignment horizontal="left" vertical="center" wrapText="1"/>
    </xf>
    <xf numFmtId="0" fontId="21" fillId="13" borderId="24" xfId="18" applyFont="1" applyFill="1" applyBorder="1" applyAlignment="1">
      <alignment horizontal="left" vertical="center" wrapText="1"/>
    </xf>
    <xf numFmtId="0" fontId="39" fillId="15" borderId="23" xfId="18" applyFont="1" applyFill="1" applyBorder="1" applyAlignment="1">
      <alignment horizontal="left" vertical="center" wrapText="1"/>
    </xf>
    <xf numFmtId="0" fontId="39" fillId="15" borderId="30" xfId="18" applyFont="1" applyFill="1" applyBorder="1" applyAlignment="1">
      <alignment horizontal="left" vertical="center" wrapText="1"/>
    </xf>
    <xf numFmtId="0" fontId="39" fillId="15" borderId="24" xfId="18" applyFont="1" applyFill="1" applyBorder="1" applyAlignment="1">
      <alignment horizontal="left" vertical="center" wrapText="1"/>
    </xf>
    <xf numFmtId="49" fontId="39" fillId="17" borderId="31" xfId="18" applyNumberFormat="1" applyFont="1" applyFill="1" applyBorder="1" applyAlignment="1">
      <alignment horizontal="left" vertical="center" wrapText="1"/>
    </xf>
    <xf numFmtId="49" fontId="39" fillId="17" borderId="32" xfId="18" applyNumberFormat="1" applyFont="1" applyFill="1" applyBorder="1" applyAlignment="1">
      <alignment horizontal="left" vertical="center" wrapText="1"/>
    </xf>
    <xf numFmtId="49" fontId="39" fillId="17" borderId="33" xfId="18" applyNumberFormat="1" applyFont="1" applyFill="1" applyBorder="1" applyAlignment="1">
      <alignment horizontal="left" vertical="center" wrapText="1"/>
    </xf>
    <xf numFmtId="0" fontId="25" fillId="0" borderId="2" xfId="18" applyFont="1" applyBorder="1" applyAlignment="1">
      <alignment horizontal="left" vertical="center" wrapText="1"/>
    </xf>
    <xf numFmtId="0" fontId="25" fillId="0" borderId="4" xfId="18" applyFont="1" applyBorder="1" applyAlignment="1">
      <alignment horizontal="left" vertical="center" wrapText="1"/>
    </xf>
    <xf numFmtId="0" fontId="25" fillId="0" borderId="2" xfId="18" applyFont="1" applyFill="1" applyBorder="1" applyAlignment="1">
      <alignment horizontal="left" vertical="center" wrapText="1"/>
    </xf>
    <xf numFmtId="0" fontId="25" fillId="0" borderId="35" xfId="18" applyFont="1" applyFill="1" applyBorder="1" applyAlignment="1">
      <alignment horizontal="left" vertical="center" wrapText="1"/>
    </xf>
    <xf numFmtId="0" fontId="21" fillId="0" borderId="2" xfId="4" applyFont="1" applyFill="1" applyBorder="1" applyAlignment="1">
      <alignment horizontal="left" vertical="center" wrapText="1"/>
    </xf>
    <xf numFmtId="0" fontId="21" fillId="0" borderId="35" xfId="4" applyFont="1" applyFill="1" applyBorder="1" applyAlignment="1">
      <alignment horizontal="left" vertical="center" wrapText="1"/>
    </xf>
    <xf numFmtId="0" fontId="21" fillId="0" borderId="3" xfId="4" applyFont="1" applyFill="1" applyBorder="1" applyAlignment="1">
      <alignment horizontal="left" vertical="center" wrapText="1"/>
    </xf>
    <xf numFmtId="0" fontId="25" fillId="0" borderId="35" xfId="18" applyFont="1" applyBorder="1" applyAlignment="1">
      <alignment horizontal="left" vertical="center" wrapText="1"/>
    </xf>
    <xf numFmtId="0" fontId="25" fillId="0" borderId="2" xfId="18" quotePrefix="1" applyFont="1" applyFill="1" applyBorder="1" applyAlignment="1">
      <alignment horizontal="left" vertical="center" wrapText="1"/>
    </xf>
    <xf numFmtId="0" fontId="25" fillId="7" borderId="47" xfId="18" applyFont="1" applyFill="1" applyBorder="1" applyAlignment="1">
      <alignment horizontal="left" vertical="center" wrapText="1"/>
    </xf>
    <xf numFmtId="0" fontId="25" fillId="7" borderId="48" xfId="18" applyFont="1" applyFill="1" applyBorder="1" applyAlignment="1">
      <alignment horizontal="left" vertical="center" wrapText="1"/>
    </xf>
    <xf numFmtId="0" fontId="39" fillId="15" borderId="23" xfId="18" applyFont="1" applyFill="1" applyBorder="1" applyAlignment="1">
      <alignment vertical="center" wrapText="1"/>
    </xf>
    <xf numFmtId="0" fontId="39" fillId="15" borderId="30" xfId="18" applyFont="1" applyFill="1" applyBorder="1" applyAlignment="1">
      <alignment vertical="center" wrapText="1"/>
    </xf>
    <xf numFmtId="0" fontId="39" fillId="15" borderId="24" xfId="18" applyFont="1" applyFill="1" applyBorder="1" applyAlignment="1">
      <alignment vertical="center" wrapText="1"/>
    </xf>
    <xf numFmtId="0" fontId="21" fillId="13" borderId="40" xfId="18" applyFont="1" applyFill="1" applyBorder="1" applyAlignment="1">
      <alignment horizontal="center" vertical="center" wrapText="1"/>
    </xf>
    <xf numFmtId="0" fontId="21" fillId="13" borderId="41" xfId="18" applyFont="1" applyFill="1" applyBorder="1" applyAlignment="1">
      <alignment horizontal="center" vertical="center" wrapText="1"/>
    </xf>
    <xf numFmtId="0" fontId="21" fillId="13" borderId="32" xfId="18" applyFont="1" applyFill="1" applyBorder="1" applyAlignment="1">
      <alignment horizontal="center" vertical="center" wrapText="1"/>
    </xf>
    <xf numFmtId="0" fontId="21" fillId="13" borderId="33" xfId="18" applyFont="1" applyFill="1" applyBorder="1" applyAlignment="1">
      <alignment horizontal="center" vertical="center" wrapText="1"/>
    </xf>
    <xf numFmtId="0" fontId="25" fillId="0" borderId="0" xfId="18" applyFont="1" applyFill="1" applyBorder="1" applyAlignment="1">
      <alignment horizontal="left" vertical="center" wrapText="1"/>
    </xf>
    <xf numFmtId="0" fontId="21" fillId="0" borderId="2" xfId="18" applyFont="1" applyBorder="1" applyAlignment="1">
      <alignment horizontal="left" vertical="center" wrapText="1"/>
    </xf>
    <xf numFmtId="0" fontId="21" fillId="0" borderId="3" xfId="18" applyFont="1" applyBorder="1" applyAlignment="1">
      <alignment horizontal="left" vertical="center" wrapText="1"/>
    </xf>
    <xf numFmtId="0" fontId="21" fillId="0" borderId="35" xfId="18" applyFont="1" applyBorder="1" applyAlignment="1">
      <alignment horizontal="left" vertical="center" wrapText="1"/>
    </xf>
    <xf numFmtId="0" fontId="24" fillId="0" borderId="5" xfId="7" applyFont="1" applyBorder="1" applyAlignment="1">
      <alignment horizontal="center" vertical="top" shrinkToFit="1"/>
    </xf>
    <xf numFmtId="0" fontId="24" fillId="0" borderId="14" xfId="7" applyFont="1" applyBorder="1" applyAlignment="1">
      <alignment horizontal="center" vertical="top" shrinkToFit="1"/>
    </xf>
    <xf numFmtId="0" fontId="24" fillId="0" borderId="5" xfId="8" applyFont="1" applyBorder="1" applyAlignment="1">
      <alignment horizontal="center" vertical="top" wrapText="1" shrinkToFit="1"/>
    </xf>
    <xf numFmtId="0" fontId="24" fillId="0" borderId="14" xfId="8" applyFont="1" applyBorder="1" applyAlignment="1">
      <alignment horizontal="center" vertical="top" shrinkToFit="1"/>
    </xf>
    <xf numFmtId="0" fontId="24" fillId="0" borderId="5" xfId="7" applyFont="1" applyBorder="1" applyAlignment="1">
      <alignment horizontal="center" vertical="top" wrapText="1" shrinkToFit="1"/>
    </xf>
  </cellXfs>
  <cellStyles count="20">
    <cellStyle name="Bad" xfId="13" builtinId="27"/>
    <cellStyle name="Hyperlink" xfId="12" builtinId="8"/>
    <cellStyle name="Hyperlink 2" xfId="19" xr:uid="{00000000-0005-0000-0000-000002000000}"/>
    <cellStyle name="Normal" xfId="0" builtinId="0"/>
    <cellStyle name="Normal 2" xfId="18" xr:uid="{00000000-0005-0000-0000-000004000000}"/>
    <cellStyle name="ハイパーリンク 2" xfId="9" xr:uid="{00000000-0005-0000-0000-000005000000}"/>
    <cellStyle name="標準 2" xfId="1" xr:uid="{00000000-0005-0000-0000-000006000000}"/>
    <cellStyle name="標準 2 2" xfId="4" xr:uid="{00000000-0005-0000-0000-000007000000}"/>
    <cellStyle name="標準 2 2 2" xfId="17" xr:uid="{00000000-0005-0000-0000-000008000000}"/>
    <cellStyle name="標準 2 5" xfId="7" xr:uid="{00000000-0005-0000-0000-000009000000}"/>
    <cellStyle name="標準 3" xfId="2" xr:uid="{00000000-0005-0000-0000-00000A000000}"/>
    <cellStyle name="標準 4" xfId="3" xr:uid="{00000000-0005-0000-0000-00000B000000}"/>
    <cellStyle name="標準 4 2" xfId="8" xr:uid="{00000000-0005-0000-0000-00000C000000}"/>
    <cellStyle name="標準 5" xfId="10" xr:uid="{00000000-0005-0000-0000-00000D000000}"/>
    <cellStyle name="標準 5 2" xfId="14" xr:uid="{00000000-0005-0000-0000-00000E000000}"/>
    <cellStyle name="標準 6" xfId="11" xr:uid="{00000000-0005-0000-0000-00000F000000}"/>
    <cellStyle name="標準 6 2" xfId="15" xr:uid="{00000000-0005-0000-0000-000010000000}"/>
    <cellStyle name="標準_コードレビューに関するコメント" xfId="16" xr:uid="{00000000-0005-0000-0000-000011000000}"/>
    <cellStyle name="標準_コードレビューに関するコメント_コードレビューチェックリストv0.22" xfId="5" xr:uid="{00000000-0005-0000-0000-000012000000}"/>
    <cellStyle name="標準_レビューチェックリスト_機能仕様書" xfId="6" xr:uid="{00000000-0005-0000-0000-000013000000}"/>
  </cellStyles>
  <dxfs count="207">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06"/>
      <tableStyleElement type="headerRow" dxfId="205"/>
    </tableStyle>
  </tableStyles>
  <colors>
    <mruColors>
      <color rgb="FFF8FEC2"/>
      <color rgb="FFF0F0F0"/>
      <color rgb="FFFFCCFF"/>
      <color rgb="FF0000FF"/>
      <color rgb="FFFFE0D7"/>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18447" name="Button 15" hidden="1">
              <a:extLst>
                <a:ext uri="{63B3BB69-23CF-44E3-9099-C40C66FF867C}">
                  <a14:compatExt spid="_x0000_s18447"/>
                </a:ext>
                <a:ext uri="{FF2B5EF4-FFF2-40B4-BE49-F238E27FC236}">
                  <a16:creationId xmlns:a16="http://schemas.microsoft.com/office/drawing/2014/main" id="{00000000-0008-0000-0000-00000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Users\a5088417\Desktop\&#30906;&#35469;&#29992;\REL_SEPG_Peer_Review_Minutes_b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VN_RVC/mcu_modeling_01/development/2020/PRM_Template/REL_SEPG_Peer_Review_Minu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Checklist"/>
      <sheetName val="REL-SEPG-PRM20190801"/>
      <sheetName val="Template Revision history"/>
    </sheetNames>
    <sheetDataSet>
      <sheetData sheetId="0"/>
      <sheetData sheetId="1"/>
      <sheetData sheetId="2">
        <row r="3">
          <cell r="B3" t="str">
            <v>REL-SEPG-PRM20190801</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172.29.143.164:8080/issues/149885"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4"/>
  <sheetViews>
    <sheetView showGridLines="0" topLeftCell="A22" zoomScale="70" zoomScaleNormal="70" zoomScaleSheetLayoutView="100" workbookViewId="0">
      <selection activeCell="Q35" sqref="Q35:S35"/>
    </sheetView>
  </sheetViews>
  <sheetFormatPr defaultColWidth="8.77734375" defaultRowHeight="12.75"/>
  <cols>
    <col min="1" max="2" width="2.77734375" style="15" customWidth="1"/>
    <col min="3" max="3" width="5" style="15" customWidth="1"/>
    <col min="4" max="4" width="6.77734375" style="15" customWidth="1"/>
    <col min="5" max="5" width="17.77734375" style="15" customWidth="1"/>
    <col min="6" max="7" width="9.77734375" style="15" customWidth="1"/>
    <col min="8" max="13" width="6.77734375" style="15" customWidth="1"/>
    <col min="14" max="14" width="8.44140625" style="15" customWidth="1"/>
    <col min="15" max="16" width="9.77734375" style="15" customWidth="1"/>
    <col min="17" max="21" width="6.77734375" style="15" customWidth="1"/>
    <col min="22" max="22" width="7.77734375" style="15" customWidth="1"/>
    <col min="23" max="26" width="9.77734375" style="15" customWidth="1"/>
    <col min="27" max="28" width="2.77734375" style="15" hidden="1" customWidth="1"/>
    <col min="29" max="29" width="2.77734375" style="15" customWidth="1"/>
    <col min="30" max="40" width="8.77734375" style="15"/>
    <col min="41" max="41" width="3.44140625" style="15" customWidth="1"/>
    <col min="42" max="42" width="8.77734375" style="15" customWidth="1"/>
    <col min="43" max="43" width="36.44140625" style="15" customWidth="1"/>
    <col min="44" max="44" width="13.21875" style="15" customWidth="1"/>
    <col min="45" max="45" width="10" style="15" customWidth="1"/>
    <col min="46" max="46" width="11.77734375" style="15" customWidth="1"/>
    <col min="47" max="51" width="8.77734375" style="15" customWidth="1"/>
    <col min="52" max="16384" width="8.77734375" style="15"/>
  </cols>
  <sheetData>
    <row r="1" spans="2:28" s="1" customFormat="1" ht="17.100000000000001" customHeight="1">
      <c r="C1" s="2" t="s">
        <v>440</v>
      </c>
      <c r="D1" s="3"/>
      <c r="E1" s="3"/>
      <c r="F1" s="3"/>
      <c r="J1" s="4" t="s">
        <v>356</v>
      </c>
      <c r="U1" s="3"/>
      <c r="V1" s="3"/>
      <c r="X1" s="5"/>
      <c r="Z1" s="5" t="str">
        <f>'[2]Template Revision history'!B3</f>
        <v>REL-SEPG-PRM20190801</v>
      </c>
      <c r="AA1" s="6"/>
      <c r="AB1" s="6"/>
    </row>
    <row r="2" spans="2:28" s="7" customFormat="1" ht="17.100000000000001" customHeight="1">
      <c r="C2" s="8" t="s">
        <v>442</v>
      </c>
      <c r="D2" s="9"/>
      <c r="E2" s="9"/>
      <c r="F2" s="9"/>
      <c r="G2" s="9"/>
      <c r="H2" s="9"/>
      <c r="I2" s="9"/>
      <c r="J2" s="313" t="s">
        <v>357</v>
      </c>
      <c r="K2" s="314"/>
      <c r="L2" s="314"/>
      <c r="M2" s="314"/>
      <c r="N2" s="314"/>
      <c r="O2" s="314"/>
      <c r="P2" s="314"/>
      <c r="Q2" s="314"/>
      <c r="R2" s="314"/>
      <c r="S2" s="314"/>
      <c r="T2" s="314"/>
      <c r="U2" s="314"/>
      <c r="V2" s="314"/>
      <c r="W2" s="314"/>
      <c r="X2" s="314"/>
      <c r="Y2" s="104"/>
      <c r="Z2" s="104"/>
      <c r="AA2" s="6"/>
      <c r="AB2" s="6"/>
    </row>
    <row r="3" spans="2:28" s="7" customFormat="1" ht="17.100000000000001" customHeight="1">
      <c r="B3" s="10" t="s">
        <v>0</v>
      </c>
      <c r="C3" s="207" t="s">
        <v>358</v>
      </c>
      <c r="D3" s="207"/>
      <c r="E3" s="207"/>
      <c r="F3" s="207"/>
      <c r="G3" s="207" t="s">
        <v>359</v>
      </c>
      <c r="H3" s="207"/>
      <c r="I3" s="207"/>
      <c r="J3" s="207"/>
      <c r="K3" s="207"/>
      <c r="L3" s="207"/>
      <c r="M3" s="207"/>
      <c r="N3" s="207"/>
      <c r="O3" s="207"/>
      <c r="P3" s="207"/>
      <c r="Q3" s="207"/>
      <c r="R3" s="208" t="s">
        <v>360</v>
      </c>
      <c r="S3" s="209"/>
      <c r="T3" s="210"/>
      <c r="U3" s="214" t="s">
        <v>165</v>
      </c>
      <c r="V3" s="215"/>
      <c r="W3" s="215"/>
      <c r="X3" s="215"/>
      <c r="Y3" s="215"/>
      <c r="Z3" s="216"/>
    </row>
    <row r="4" spans="2:28" s="7" customFormat="1" ht="17.100000000000001" customHeight="1">
      <c r="B4" s="10"/>
      <c r="C4" s="220" t="s">
        <v>446</v>
      </c>
      <c r="D4" s="221"/>
      <c r="E4" s="221"/>
      <c r="F4" s="221"/>
      <c r="G4" s="222" t="s">
        <v>361</v>
      </c>
      <c r="H4" s="223"/>
      <c r="I4" s="223"/>
      <c r="J4" s="223"/>
      <c r="K4" s="223"/>
      <c r="L4" s="223"/>
      <c r="M4" s="223"/>
      <c r="N4" s="223"/>
      <c r="O4" s="223"/>
      <c r="P4" s="223"/>
      <c r="Q4" s="224"/>
      <c r="R4" s="211"/>
      <c r="S4" s="212"/>
      <c r="T4" s="213"/>
      <c r="U4" s="217"/>
      <c r="V4" s="218"/>
      <c r="W4" s="218"/>
      <c r="X4" s="218"/>
      <c r="Y4" s="218"/>
      <c r="Z4" s="219"/>
    </row>
    <row r="5" spans="2:28" s="7" customFormat="1" ht="17.100000000000001" customHeight="1">
      <c r="B5" s="10"/>
      <c r="C5" s="221"/>
      <c r="D5" s="221"/>
      <c r="E5" s="221"/>
      <c r="F5" s="221"/>
      <c r="G5" s="225"/>
      <c r="H5" s="226"/>
      <c r="I5" s="226"/>
      <c r="J5" s="226"/>
      <c r="K5" s="226"/>
      <c r="L5" s="226"/>
      <c r="M5" s="226"/>
      <c r="N5" s="226"/>
      <c r="O5" s="226"/>
      <c r="P5" s="226"/>
      <c r="Q5" s="227"/>
      <c r="R5" s="208" t="s">
        <v>362</v>
      </c>
      <c r="S5" s="209"/>
      <c r="T5" s="210"/>
      <c r="U5" s="231" t="s">
        <v>490</v>
      </c>
      <c r="V5" s="232"/>
      <c r="W5" s="232"/>
      <c r="X5" s="232"/>
      <c r="Y5" s="232"/>
      <c r="Z5" s="233"/>
    </row>
    <row r="6" spans="2:28" s="7" customFormat="1" ht="17.100000000000001" customHeight="1">
      <c r="B6" s="10"/>
      <c r="C6" s="221"/>
      <c r="D6" s="221"/>
      <c r="E6" s="221"/>
      <c r="F6" s="221"/>
      <c r="G6" s="228"/>
      <c r="H6" s="229"/>
      <c r="I6" s="229"/>
      <c r="J6" s="229"/>
      <c r="K6" s="229"/>
      <c r="L6" s="229"/>
      <c r="M6" s="229"/>
      <c r="N6" s="229"/>
      <c r="O6" s="229"/>
      <c r="P6" s="229"/>
      <c r="Q6" s="230"/>
      <c r="R6" s="211"/>
      <c r="S6" s="212"/>
      <c r="T6" s="213"/>
      <c r="U6" s="234"/>
      <c r="V6" s="235"/>
      <c r="W6" s="235"/>
      <c r="X6" s="235"/>
      <c r="Y6" s="235"/>
      <c r="Z6" s="236"/>
    </row>
    <row r="7" spans="2:28" s="7" customFormat="1" ht="17.100000000000001" customHeight="1">
      <c r="B7" s="10"/>
      <c r="C7" s="221"/>
      <c r="D7" s="221"/>
      <c r="E7" s="221"/>
      <c r="F7" s="221"/>
      <c r="G7" s="207" t="s">
        <v>439</v>
      </c>
      <c r="H7" s="207"/>
      <c r="I7" s="207"/>
      <c r="J7" s="207"/>
      <c r="K7" s="207"/>
      <c r="L7" s="207"/>
      <c r="M7" s="207"/>
      <c r="N7" s="207"/>
      <c r="O7" s="207"/>
      <c r="P7" s="207"/>
      <c r="Q7" s="207"/>
      <c r="R7" s="208" t="s">
        <v>363</v>
      </c>
      <c r="S7" s="209"/>
      <c r="T7" s="210"/>
      <c r="U7" s="214" t="s">
        <v>364</v>
      </c>
      <c r="V7" s="215"/>
      <c r="W7" s="215"/>
      <c r="X7" s="215"/>
      <c r="Y7" s="215"/>
      <c r="Z7" s="216"/>
    </row>
    <row r="8" spans="2:28" s="7" customFormat="1" ht="17.100000000000001" customHeight="1">
      <c r="B8" s="10"/>
      <c r="C8" s="221"/>
      <c r="D8" s="221"/>
      <c r="E8" s="221"/>
      <c r="F8" s="221"/>
      <c r="G8" s="253" t="s">
        <v>344</v>
      </c>
      <c r="H8" s="245"/>
      <c r="I8" s="245"/>
      <c r="J8" s="245"/>
      <c r="K8" s="245"/>
      <c r="L8" s="245"/>
      <c r="M8" s="245"/>
      <c r="N8" s="245"/>
      <c r="O8" s="245"/>
      <c r="P8" s="245"/>
      <c r="Q8" s="246"/>
      <c r="R8" s="211"/>
      <c r="S8" s="212"/>
      <c r="T8" s="213"/>
      <c r="U8" s="217"/>
      <c r="V8" s="218"/>
      <c r="W8" s="218"/>
      <c r="X8" s="218"/>
      <c r="Y8" s="218"/>
      <c r="Z8" s="219"/>
    </row>
    <row r="9" spans="2:28" s="7" customFormat="1" ht="17.100000000000001" customHeight="1">
      <c r="B9" s="10"/>
      <c r="C9" s="221"/>
      <c r="D9" s="221"/>
      <c r="E9" s="221"/>
      <c r="F9" s="221"/>
      <c r="G9" s="247"/>
      <c r="H9" s="248"/>
      <c r="I9" s="248"/>
      <c r="J9" s="248"/>
      <c r="K9" s="248"/>
      <c r="L9" s="248"/>
      <c r="M9" s="248"/>
      <c r="N9" s="248"/>
      <c r="O9" s="248"/>
      <c r="P9" s="248"/>
      <c r="Q9" s="249"/>
      <c r="R9" s="208" t="s">
        <v>365</v>
      </c>
      <c r="S9" s="209"/>
      <c r="T9" s="210"/>
      <c r="U9" s="214" t="s">
        <v>443</v>
      </c>
      <c r="V9" s="215"/>
      <c r="W9" s="215"/>
      <c r="X9" s="215"/>
      <c r="Y9" s="215"/>
      <c r="Z9" s="216"/>
    </row>
    <row r="10" spans="2:28" s="7" customFormat="1" ht="17.100000000000001" customHeight="1">
      <c r="B10" s="10"/>
      <c r="C10" s="221"/>
      <c r="D10" s="221"/>
      <c r="E10" s="221"/>
      <c r="F10" s="221"/>
      <c r="G10" s="250"/>
      <c r="H10" s="251"/>
      <c r="I10" s="251"/>
      <c r="J10" s="251"/>
      <c r="K10" s="251"/>
      <c r="L10" s="251"/>
      <c r="M10" s="251"/>
      <c r="N10" s="251"/>
      <c r="O10" s="251"/>
      <c r="P10" s="251"/>
      <c r="Q10" s="252"/>
      <c r="R10" s="211"/>
      <c r="S10" s="212"/>
      <c r="T10" s="213"/>
      <c r="U10" s="217"/>
      <c r="V10" s="218"/>
      <c r="W10" s="218"/>
      <c r="X10" s="218"/>
      <c r="Y10" s="218"/>
      <c r="Z10" s="219"/>
    </row>
    <row r="11" spans="2:28" s="7" customFormat="1" ht="33" customHeight="1">
      <c r="B11" s="10"/>
      <c r="C11" s="221"/>
      <c r="D11" s="221"/>
      <c r="E11" s="221"/>
      <c r="F11" s="221"/>
      <c r="G11" s="207" t="s">
        <v>366</v>
      </c>
      <c r="H11" s="207"/>
      <c r="I11" s="207"/>
      <c r="J11" s="207"/>
      <c r="K11" s="207"/>
      <c r="L11" s="207"/>
      <c r="M11" s="207"/>
      <c r="N11" s="207"/>
      <c r="O11" s="207"/>
      <c r="P11" s="207"/>
      <c r="Q11" s="207"/>
      <c r="R11" s="207"/>
      <c r="S11" s="207"/>
      <c r="T11" s="207"/>
      <c r="U11" s="254" t="s">
        <v>367</v>
      </c>
      <c r="V11" s="254"/>
      <c r="W11" s="254"/>
      <c r="X11" s="254" t="s">
        <v>368</v>
      </c>
      <c r="Y11" s="254"/>
      <c r="Z11" s="254"/>
    </row>
    <row r="12" spans="2:28" s="7" customFormat="1" ht="17.100000000000001" customHeight="1">
      <c r="B12" s="10"/>
      <c r="C12" s="221"/>
      <c r="D12" s="221"/>
      <c r="E12" s="221"/>
      <c r="F12" s="221"/>
      <c r="G12" s="244" t="s">
        <v>491</v>
      </c>
      <c r="H12" s="245"/>
      <c r="I12" s="245"/>
      <c r="J12" s="245"/>
      <c r="K12" s="245"/>
      <c r="L12" s="245"/>
      <c r="M12" s="245"/>
      <c r="N12" s="245"/>
      <c r="O12" s="245"/>
      <c r="P12" s="245"/>
      <c r="Q12" s="245"/>
      <c r="R12" s="245"/>
      <c r="S12" s="245"/>
      <c r="T12" s="246"/>
      <c r="U12" s="237" t="s">
        <v>489</v>
      </c>
      <c r="V12" s="237"/>
      <c r="W12" s="237"/>
      <c r="X12" s="237" t="s">
        <v>459</v>
      </c>
      <c r="Y12" s="237"/>
      <c r="Z12" s="237"/>
    </row>
    <row r="13" spans="2:28" s="7" customFormat="1" ht="17.100000000000001" customHeight="1">
      <c r="B13" s="10"/>
      <c r="C13" s="221"/>
      <c r="D13" s="221"/>
      <c r="E13" s="221"/>
      <c r="F13" s="221"/>
      <c r="G13" s="247"/>
      <c r="H13" s="248"/>
      <c r="I13" s="248"/>
      <c r="J13" s="248"/>
      <c r="K13" s="248"/>
      <c r="L13" s="248"/>
      <c r="M13" s="248"/>
      <c r="N13" s="248"/>
      <c r="O13" s="248"/>
      <c r="P13" s="248"/>
      <c r="Q13" s="248"/>
      <c r="R13" s="248"/>
      <c r="S13" s="248"/>
      <c r="T13" s="249"/>
      <c r="U13" s="237"/>
      <c r="V13" s="237"/>
      <c r="W13" s="237"/>
      <c r="X13" s="237"/>
      <c r="Y13" s="237"/>
      <c r="Z13" s="237"/>
    </row>
    <row r="14" spans="2:28" s="7" customFormat="1" ht="17.100000000000001" customHeight="1">
      <c r="B14" s="10"/>
      <c r="C14" s="221"/>
      <c r="D14" s="221"/>
      <c r="E14" s="221"/>
      <c r="F14" s="221"/>
      <c r="G14" s="247"/>
      <c r="H14" s="248"/>
      <c r="I14" s="248"/>
      <c r="J14" s="248"/>
      <c r="K14" s="248"/>
      <c r="L14" s="248"/>
      <c r="M14" s="248"/>
      <c r="N14" s="248"/>
      <c r="O14" s="248"/>
      <c r="P14" s="248"/>
      <c r="Q14" s="248"/>
      <c r="R14" s="248"/>
      <c r="S14" s="248"/>
      <c r="T14" s="249"/>
      <c r="U14" s="237"/>
      <c r="V14" s="237"/>
      <c r="W14" s="237"/>
      <c r="X14" s="237"/>
      <c r="Y14" s="237"/>
      <c r="Z14" s="237"/>
    </row>
    <row r="15" spans="2:28" s="7" customFormat="1" ht="17.100000000000001" customHeight="1">
      <c r="B15" s="10"/>
      <c r="C15" s="221"/>
      <c r="D15" s="221"/>
      <c r="E15" s="221"/>
      <c r="F15" s="221"/>
      <c r="G15" s="250"/>
      <c r="H15" s="251"/>
      <c r="I15" s="251"/>
      <c r="J15" s="251"/>
      <c r="K15" s="251"/>
      <c r="L15" s="251"/>
      <c r="M15" s="251"/>
      <c r="N15" s="251"/>
      <c r="O15" s="251"/>
      <c r="P15" s="251"/>
      <c r="Q15" s="251"/>
      <c r="R15" s="251"/>
      <c r="S15" s="251"/>
      <c r="T15" s="252"/>
      <c r="U15" s="237"/>
      <c r="V15" s="237"/>
      <c r="W15" s="237"/>
      <c r="X15" s="237"/>
      <c r="Y15" s="237"/>
      <c r="Z15" s="237"/>
    </row>
    <row r="16" spans="2:28" s="7" customFormat="1" ht="17.100000000000001" customHeight="1">
      <c r="B16" s="11"/>
      <c r="C16" s="221"/>
      <c r="D16" s="221"/>
      <c r="E16" s="221"/>
      <c r="F16" s="221"/>
      <c r="G16" s="238" t="s">
        <v>369</v>
      </c>
      <c r="H16" s="239"/>
      <c r="I16" s="239"/>
      <c r="J16" s="239"/>
      <c r="K16" s="240"/>
      <c r="L16" s="241">
        <v>21038</v>
      </c>
      <c r="M16" s="242"/>
      <c r="N16" s="242"/>
      <c r="O16" s="242"/>
      <c r="P16" s="242"/>
      <c r="Q16" s="242"/>
      <c r="R16" s="242"/>
      <c r="S16" s="242"/>
      <c r="T16" s="243"/>
      <c r="U16" s="237"/>
      <c r="V16" s="237"/>
      <c r="W16" s="237"/>
      <c r="X16" s="237"/>
      <c r="Y16" s="237"/>
      <c r="Z16" s="237"/>
    </row>
    <row r="17" spans="2:26" s="7" customFormat="1" ht="15.75" customHeight="1">
      <c r="B17" s="11"/>
      <c r="E17" s="12"/>
      <c r="L17" s="11"/>
    </row>
    <row r="18" spans="2:26" s="13" customFormat="1" ht="16.5">
      <c r="C18" s="14" t="s">
        <v>370</v>
      </c>
      <c r="D18" s="14"/>
      <c r="E18" s="14"/>
      <c r="F18" s="14"/>
      <c r="G18" s="14"/>
      <c r="H18" s="14"/>
      <c r="I18" s="14"/>
      <c r="J18" s="14"/>
      <c r="K18" s="14"/>
      <c r="L18" s="14"/>
      <c r="M18" s="14"/>
      <c r="N18" s="14"/>
      <c r="O18" s="14"/>
      <c r="P18" s="14"/>
      <c r="Q18" s="14"/>
      <c r="R18" s="14"/>
      <c r="S18" s="14"/>
      <c r="T18" s="14"/>
      <c r="U18" s="14"/>
      <c r="V18" s="14"/>
      <c r="W18" s="14"/>
      <c r="X18" s="14"/>
      <c r="Y18" s="14"/>
      <c r="Z18" s="14"/>
    </row>
    <row r="19" spans="2:26" ht="52.5" customHeight="1">
      <c r="C19" s="189" t="s">
        <v>371</v>
      </c>
      <c r="D19" s="189"/>
      <c r="E19" s="189"/>
      <c r="F19" s="189"/>
      <c r="G19" s="190" t="s">
        <v>355</v>
      </c>
      <c r="H19" s="190"/>
      <c r="I19" s="190"/>
      <c r="J19" s="190"/>
      <c r="K19" s="190"/>
      <c r="L19" s="190"/>
      <c r="M19" s="190"/>
      <c r="N19" s="190"/>
      <c r="O19" s="190"/>
      <c r="P19" s="190"/>
      <c r="Q19" s="190"/>
      <c r="R19" s="190"/>
      <c r="S19" s="190"/>
      <c r="T19" s="190"/>
      <c r="U19" s="190"/>
      <c r="V19" s="190"/>
      <c r="W19" s="190"/>
      <c r="X19" s="190"/>
      <c r="Y19" s="190"/>
      <c r="Z19" s="190"/>
    </row>
    <row r="20" spans="2:26" ht="16.5">
      <c r="C20" s="181" t="s">
        <v>372</v>
      </c>
      <c r="D20" s="181"/>
      <c r="E20" s="181"/>
      <c r="F20" s="181"/>
      <c r="G20" s="258" t="s">
        <v>294</v>
      </c>
      <c r="H20" s="258"/>
      <c r="I20" s="258"/>
      <c r="J20" s="258"/>
      <c r="K20" s="182" t="s">
        <v>438</v>
      </c>
      <c r="L20" s="183"/>
      <c r="M20" s="184"/>
      <c r="N20" s="188" t="s">
        <v>148</v>
      </c>
      <c r="O20" s="188"/>
      <c r="P20" s="188"/>
      <c r="Q20" s="188"/>
      <c r="R20" s="188"/>
      <c r="S20" s="188"/>
      <c r="T20" s="188"/>
    </row>
    <row r="21" spans="2:26" ht="27.75" customHeight="1">
      <c r="C21" s="191" t="s">
        <v>373</v>
      </c>
      <c r="D21" s="192"/>
      <c r="E21" s="192"/>
      <c r="F21" s="193"/>
      <c r="G21" s="259" t="s">
        <v>295</v>
      </c>
      <c r="H21" s="258"/>
      <c r="I21" s="258"/>
      <c r="J21" s="258"/>
      <c r="K21" s="182" t="s">
        <v>374</v>
      </c>
      <c r="L21" s="183"/>
      <c r="M21" s="184"/>
      <c r="N21" s="185" t="s">
        <v>343</v>
      </c>
      <c r="O21" s="186"/>
      <c r="P21" s="186"/>
      <c r="Q21" s="186"/>
      <c r="R21" s="186"/>
      <c r="S21" s="186"/>
      <c r="T21" s="187"/>
    </row>
    <row r="22" spans="2:26" s="13" customFormat="1" ht="16.5">
      <c r="C22" s="16" t="s">
        <v>375</v>
      </c>
      <c r="D22" s="16"/>
      <c r="E22" s="16"/>
      <c r="F22" s="16"/>
      <c r="G22" s="17"/>
      <c r="H22" s="18"/>
      <c r="I22" s="18"/>
      <c r="J22" s="18"/>
      <c r="K22" s="18"/>
      <c r="L22" s="18"/>
      <c r="M22" s="18"/>
      <c r="N22" s="18"/>
      <c r="O22" s="17"/>
      <c r="P22" s="17"/>
      <c r="Q22" s="19"/>
      <c r="R22" s="19"/>
      <c r="S22" s="19"/>
      <c r="T22" s="19"/>
      <c r="U22" s="19"/>
      <c r="V22" s="19"/>
      <c r="W22" s="19"/>
      <c r="X22" s="19"/>
      <c r="Y22" s="19"/>
      <c r="Z22" s="19"/>
    </row>
    <row r="23" spans="2:26" ht="31.5" customHeight="1">
      <c r="C23" s="315" t="s">
        <v>376</v>
      </c>
      <c r="D23" s="316"/>
      <c r="E23" s="316"/>
      <c r="F23" s="317"/>
      <c r="G23" s="194" t="s">
        <v>377</v>
      </c>
      <c r="H23" s="195"/>
      <c r="I23" s="196"/>
      <c r="J23" s="196"/>
      <c r="K23" s="197" t="s">
        <v>378</v>
      </c>
      <c r="L23" s="198"/>
      <c r="M23" s="196"/>
      <c r="N23" s="196"/>
      <c r="O23" s="197" t="s">
        <v>379</v>
      </c>
      <c r="P23" s="198"/>
      <c r="Q23" s="199"/>
      <c r="R23" s="200"/>
      <c r="S23" s="255" t="s">
        <v>380</v>
      </c>
      <c r="T23" s="256"/>
      <c r="U23" s="199" t="s">
        <v>460</v>
      </c>
      <c r="V23" s="257"/>
      <c r="W23" s="257"/>
      <c r="X23" s="257"/>
      <c r="Y23" s="257"/>
      <c r="Z23" s="200"/>
    </row>
    <row r="24" spans="2:26" ht="36" customHeight="1">
      <c r="C24" s="318"/>
      <c r="D24" s="319"/>
      <c r="E24" s="319"/>
      <c r="F24" s="320"/>
      <c r="G24" s="194" t="s">
        <v>381</v>
      </c>
      <c r="H24" s="195"/>
      <c r="I24" s="206" t="s">
        <v>461</v>
      </c>
      <c r="J24" s="206"/>
      <c r="K24" s="206"/>
      <c r="L24" s="206"/>
      <c r="M24" s="206"/>
      <c r="N24" s="206"/>
      <c r="O24" s="206"/>
      <c r="P24" s="206"/>
      <c r="Q24" s="206"/>
      <c r="R24" s="206"/>
      <c r="S24" s="206"/>
      <c r="T24" s="206"/>
      <c r="U24" s="206"/>
      <c r="V24" s="206"/>
      <c r="W24" s="206"/>
      <c r="X24" s="206"/>
      <c r="Y24" s="206"/>
      <c r="Z24" s="206"/>
    </row>
    <row r="25" spans="2:26" ht="61.5" customHeight="1">
      <c r="C25" s="189" t="s">
        <v>382</v>
      </c>
      <c r="D25" s="189"/>
      <c r="E25" s="189"/>
      <c r="F25" s="189"/>
      <c r="G25" s="156" t="s">
        <v>383</v>
      </c>
      <c r="H25" s="157"/>
      <c r="I25" s="272"/>
      <c r="J25" s="272"/>
      <c r="K25" s="194" t="s">
        <v>384</v>
      </c>
      <c r="L25" s="195"/>
      <c r="M25" s="261"/>
      <c r="N25" s="261"/>
      <c r="O25" s="156" t="s">
        <v>385</v>
      </c>
      <c r="P25" s="157"/>
      <c r="Q25" s="262"/>
      <c r="R25" s="263"/>
      <c r="S25" s="156" t="s">
        <v>386</v>
      </c>
      <c r="T25" s="156"/>
      <c r="U25" s="188"/>
      <c r="V25" s="188"/>
      <c r="W25" s="101" t="s">
        <v>387</v>
      </c>
      <c r="X25" s="264"/>
      <c r="Y25" s="265"/>
      <c r="Z25" s="266"/>
    </row>
    <row r="26" spans="2:26" ht="61.5" customHeight="1">
      <c r="C26" s="267" t="s">
        <v>388</v>
      </c>
      <c r="D26" s="268"/>
      <c r="E26" s="268"/>
      <c r="F26" s="169"/>
      <c r="G26" s="269" t="s">
        <v>389</v>
      </c>
      <c r="H26" s="270"/>
      <c r="I26" s="271" t="s">
        <v>462</v>
      </c>
      <c r="J26" s="271"/>
      <c r="K26" s="156" t="s">
        <v>390</v>
      </c>
      <c r="L26" s="157"/>
      <c r="M26" s="271" t="s">
        <v>463</v>
      </c>
      <c r="N26" s="271"/>
      <c r="O26" s="156" t="s">
        <v>391</v>
      </c>
      <c r="P26" s="156"/>
      <c r="Q26" s="188">
        <v>2</v>
      </c>
      <c r="R26" s="188"/>
      <c r="S26" s="156" t="s">
        <v>392</v>
      </c>
      <c r="T26" s="157"/>
      <c r="U26" s="260">
        <f>SUM(Z35:Z44)</f>
        <v>4</v>
      </c>
      <c r="V26" s="260"/>
      <c r="W26" s="20"/>
      <c r="X26" s="21"/>
      <c r="Y26" s="21"/>
      <c r="Z26" s="21"/>
    </row>
    <row r="27" spans="2:26" ht="16.5">
      <c r="C27" s="15" t="s">
        <v>393</v>
      </c>
    </row>
    <row r="28" spans="2:26" ht="69.75" customHeight="1">
      <c r="C28" s="287" t="s">
        <v>394</v>
      </c>
      <c r="D28" s="288"/>
      <c r="E28" s="288"/>
      <c r="F28" s="288"/>
      <c r="G28" s="289"/>
      <c r="H28" s="267" t="s">
        <v>395</v>
      </c>
      <c r="I28" s="285"/>
      <c r="J28" s="285"/>
      <c r="K28" s="285"/>
      <c r="L28" s="285"/>
      <c r="M28" s="286"/>
      <c r="N28" s="182" t="s">
        <v>396</v>
      </c>
      <c r="O28" s="201"/>
      <c r="P28" s="201"/>
      <c r="Q28" s="201"/>
      <c r="R28" s="201"/>
      <c r="S28" s="202"/>
      <c r="U28" s="111" t="s">
        <v>437</v>
      </c>
      <c r="V28" s="111" t="s">
        <v>436</v>
      </c>
      <c r="W28" s="311" t="s">
        <v>435</v>
      </c>
      <c r="X28" s="312"/>
      <c r="Y28" s="311" t="s">
        <v>434</v>
      </c>
      <c r="Z28" s="312"/>
    </row>
    <row r="29" spans="2:26" ht="39" customHeight="1">
      <c r="C29" s="290"/>
      <c r="D29" s="291"/>
      <c r="E29" s="291"/>
      <c r="F29" s="291"/>
      <c r="G29" s="292"/>
      <c r="H29" s="267" t="s">
        <v>397</v>
      </c>
      <c r="I29" s="169"/>
      <c r="J29" s="156" t="s">
        <v>398</v>
      </c>
      <c r="K29" s="157"/>
      <c r="L29" s="156" t="s">
        <v>399</v>
      </c>
      <c r="M29" s="157"/>
      <c r="N29" s="182" t="s">
        <v>397</v>
      </c>
      <c r="O29" s="184"/>
      <c r="P29" s="203" t="s">
        <v>398</v>
      </c>
      <c r="Q29" s="204"/>
      <c r="R29" s="203" t="s">
        <v>399</v>
      </c>
      <c r="S29" s="204"/>
      <c r="U29" s="110">
        <f>SUMIF($V$34:$V$45,$V29,T$34:T$45)</f>
        <v>0</v>
      </c>
      <c r="V29" s="111" t="s">
        <v>433</v>
      </c>
      <c r="W29" s="110">
        <f t="shared" ref="W29:Z31" si="0">SUMIF($V$34:$V$45,$V29,W$34:W$45)</f>
        <v>0</v>
      </c>
      <c r="X29" s="110">
        <f t="shared" si="0"/>
        <v>0</v>
      </c>
      <c r="Y29" s="109">
        <f t="shared" si="0"/>
        <v>0</v>
      </c>
      <c r="Z29" s="109">
        <f t="shared" si="0"/>
        <v>0</v>
      </c>
    </row>
    <row r="30" spans="2:26" ht="31.5" customHeight="1">
      <c r="C30" s="267" t="s">
        <v>400</v>
      </c>
      <c r="D30" s="268"/>
      <c r="E30" s="268"/>
      <c r="F30" s="268"/>
      <c r="G30" s="169"/>
      <c r="H30" s="279" t="s">
        <v>296</v>
      </c>
      <c r="I30" s="279"/>
      <c r="J30" s="279" t="s">
        <v>296</v>
      </c>
      <c r="K30" s="279"/>
      <c r="L30" s="279" t="s">
        <v>296</v>
      </c>
      <c r="M30" s="279"/>
      <c r="N30" s="205">
        <f>IFERROR(SUMIF(V34:V45,"Page",X34:X45)/SUMIF(V34:V45,"Page",T34:U45),0)</f>
        <v>0</v>
      </c>
      <c r="O30" s="205"/>
      <c r="P30" s="205">
        <f>IFERROR(SUMIF(V34:V45,"Line",X34:X45)/SUMIF(V34:V45,"Line",T34:U45),0)</f>
        <v>0</v>
      </c>
      <c r="Q30" s="205"/>
      <c r="R30" s="205">
        <f>IFERROR(SUMIF(V34:V45,"Number",X34:X45)/SUMIF(V34:V45,"Number",T34:U45),0)</f>
        <v>0</v>
      </c>
      <c r="S30" s="205"/>
      <c r="U30" s="110">
        <f>SUMIF($V$34:$V$45,$V30,T$34:T$45)</f>
        <v>0</v>
      </c>
      <c r="V30" s="111" t="s">
        <v>432</v>
      </c>
      <c r="W30" s="110">
        <f t="shared" si="0"/>
        <v>0</v>
      </c>
      <c r="X30" s="110">
        <f t="shared" si="0"/>
        <v>0</v>
      </c>
      <c r="Y30" s="109">
        <f t="shared" si="0"/>
        <v>0</v>
      </c>
      <c r="Z30" s="109">
        <f t="shared" si="0"/>
        <v>0</v>
      </c>
    </row>
    <row r="31" spans="2:26" ht="35.25" customHeight="1">
      <c r="C31" s="267" t="s">
        <v>401</v>
      </c>
      <c r="D31" s="268"/>
      <c r="E31" s="268"/>
      <c r="F31" s="268"/>
      <c r="G31" s="169"/>
      <c r="H31" s="280" t="s">
        <v>296</v>
      </c>
      <c r="I31" s="280"/>
      <c r="J31" s="280" t="s">
        <v>296</v>
      </c>
      <c r="K31" s="280"/>
      <c r="L31" s="280" t="s">
        <v>296</v>
      </c>
      <c r="M31" s="280"/>
      <c r="N31" s="297">
        <f>IFERROR(SUMIF(V34:V45,"Page",T34:U45)/SUMIF(V34:V45,"Page",Z34:Z45),0)</f>
        <v>0</v>
      </c>
      <c r="O31" s="297"/>
      <c r="P31" s="297">
        <f>IFERROR(SUMIF(V34:V45,"Line",T34:U45)/SUMIF(V34:V45,"Line",Z34:Z45),0)</f>
        <v>0</v>
      </c>
      <c r="Q31" s="297"/>
      <c r="R31" s="297">
        <f>IFERROR(SUMIF(V34:V45,"Number",T34:U45)/SUMIF(V34:V45,"Number",Z34:Z45),0)</f>
        <v>0</v>
      </c>
      <c r="S31" s="297"/>
      <c r="U31" s="110">
        <f>SUMIF($V$34:$V$45,$V31,T$34:T$45)</f>
        <v>0</v>
      </c>
      <c r="V31" s="111" t="s">
        <v>431</v>
      </c>
      <c r="W31" s="110">
        <f t="shared" si="0"/>
        <v>0</v>
      </c>
      <c r="X31" s="110">
        <f t="shared" si="0"/>
        <v>0</v>
      </c>
      <c r="Y31" s="109">
        <f t="shared" si="0"/>
        <v>0</v>
      </c>
      <c r="Z31" s="109">
        <f t="shared" si="0"/>
        <v>0</v>
      </c>
    </row>
    <row r="32" spans="2:26" ht="16.5" customHeight="1">
      <c r="C32" s="14" t="s">
        <v>402</v>
      </c>
      <c r="D32" s="14"/>
      <c r="E32" s="14"/>
      <c r="F32" s="14"/>
      <c r="G32" s="14"/>
      <c r="H32" s="14"/>
      <c r="I32" s="14"/>
      <c r="J32" s="14"/>
      <c r="K32" s="14"/>
      <c r="L32" s="14"/>
      <c r="M32" s="14"/>
      <c r="N32" s="14"/>
      <c r="O32" s="14"/>
      <c r="P32" s="14"/>
      <c r="Q32" s="14"/>
      <c r="R32" s="14"/>
      <c r="S32" s="14"/>
      <c r="T32" s="14"/>
      <c r="U32" s="14"/>
      <c r="V32" s="14"/>
      <c r="W32" s="22"/>
      <c r="X32" s="22"/>
      <c r="Y32" s="22"/>
      <c r="Z32" s="22"/>
    </row>
    <row r="33" spans="3:64" ht="39" customHeight="1">
      <c r="C33" s="281" t="s">
        <v>430</v>
      </c>
      <c r="D33" s="282"/>
      <c r="E33" s="315" t="s">
        <v>403</v>
      </c>
      <c r="F33" s="321"/>
      <c r="G33" s="321"/>
      <c r="H33" s="321"/>
      <c r="I33" s="321"/>
      <c r="J33" s="321"/>
      <c r="K33" s="321"/>
      <c r="L33" s="273" t="s">
        <v>404</v>
      </c>
      <c r="M33" s="274"/>
      <c r="N33" s="274"/>
      <c r="O33" s="274"/>
      <c r="P33" s="274"/>
      <c r="Q33" s="273" t="s">
        <v>405</v>
      </c>
      <c r="R33" s="274"/>
      <c r="S33" s="275"/>
      <c r="T33" s="293" t="s">
        <v>406</v>
      </c>
      <c r="U33" s="294"/>
      <c r="V33" s="166" t="s">
        <v>407</v>
      </c>
      <c r="W33" s="166" t="s">
        <v>408</v>
      </c>
      <c r="X33" s="166"/>
      <c r="Y33" s="166" t="s">
        <v>409</v>
      </c>
      <c r="Z33" s="167"/>
      <c r="BL33" s="15" t="s">
        <v>410</v>
      </c>
    </row>
    <row r="34" spans="3:64" ht="50.25" customHeight="1">
      <c r="C34" s="283"/>
      <c r="D34" s="284"/>
      <c r="E34" s="283"/>
      <c r="F34" s="322"/>
      <c r="G34" s="322"/>
      <c r="H34" s="322"/>
      <c r="I34" s="322"/>
      <c r="J34" s="322"/>
      <c r="K34" s="322"/>
      <c r="L34" s="276"/>
      <c r="M34" s="277"/>
      <c r="N34" s="277"/>
      <c r="O34" s="277"/>
      <c r="P34" s="277"/>
      <c r="Q34" s="276"/>
      <c r="R34" s="277"/>
      <c r="S34" s="278"/>
      <c r="T34" s="295"/>
      <c r="U34" s="296"/>
      <c r="V34" s="166"/>
      <c r="W34" s="102" t="s">
        <v>411</v>
      </c>
      <c r="X34" s="103" t="s">
        <v>412</v>
      </c>
      <c r="Y34" s="102" t="s">
        <v>411</v>
      </c>
      <c r="Z34" s="102" t="s">
        <v>412</v>
      </c>
    </row>
    <row r="35" spans="3:64" ht="18" customHeight="1">
      <c r="C35" s="168">
        <v>1</v>
      </c>
      <c r="D35" s="169"/>
      <c r="E35" s="170" t="s">
        <v>342</v>
      </c>
      <c r="F35" s="171"/>
      <c r="G35" s="171"/>
      <c r="H35" s="171"/>
      <c r="I35" s="171"/>
      <c r="J35" s="171"/>
      <c r="K35" s="172"/>
      <c r="L35" s="170" t="s">
        <v>464</v>
      </c>
      <c r="M35" s="171"/>
      <c r="N35" s="171"/>
      <c r="O35" s="171"/>
      <c r="P35" s="172"/>
      <c r="Q35" s="173" t="s">
        <v>492</v>
      </c>
      <c r="R35" s="174"/>
      <c r="S35" s="175"/>
      <c r="T35" s="176" t="s">
        <v>165</v>
      </c>
      <c r="U35" s="177"/>
      <c r="V35" s="51" t="s">
        <v>1</v>
      </c>
      <c r="W35" s="23" t="str">
        <f t="shared" ref="W35:W45" si="1">IF(V35="Page",$H$30*T35,IF(V35="Line",$J$30*T35,IF(V35="Number",$L$30*T35,"")))</f>
        <v/>
      </c>
      <c r="X35" s="24">
        <f>COUNTIF(AA$48:AA$99,C35)</f>
        <v>4</v>
      </c>
      <c r="Y35" s="23" t="str">
        <f t="shared" ref="Y35:Y45" si="2">IFERROR(IF(V35="Page",T35/$H$31,IF(V35="Line",T35/$J$31,IF(V35="Number",T35/$L$31,""))),"")</f>
        <v/>
      </c>
      <c r="Z35" s="52">
        <f>(4+4)/2</f>
        <v>4</v>
      </c>
    </row>
    <row r="36" spans="3:64" ht="18" customHeight="1">
      <c r="C36" s="168">
        <v>2</v>
      </c>
      <c r="D36" s="169"/>
      <c r="E36" s="170" t="s">
        <v>451</v>
      </c>
      <c r="F36" s="171"/>
      <c r="G36" s="171"/>
      <c r="H36" s="171"/>
      <c r="I36" s="171"/>
      <c r="J36" s="171"/>
      <c r="K36" s="172"/>
      <c r="L36" s="170" t="s">
        <v>465</v>
      </c>
      <c r="M36" s="171"/>
      <c r="N36" s="171"/>
      <c r="O36" s="171"/>
      <c r="P36" s="172"/>
      <c r="Q36" s="178">
        <v>1.1000000000000001</v>
      </c>
      <c r="R36" s="179"/>
      <c r="S36" s="180"/>
      <c r="T36" s="176" t="s">
        <v>165</v>
      </c>
      <c r="U36" s="177"/>
      <c r="V36" s="51" t="s">
        <v>1</v>
      </c>
      <c r="W36" s="23" t="str">
        <f t="shared" si="1"/>
        <v/>
      </c>
      <c r="X36" s="24">
        <f t="shared" ref="X36:X44" si="3">COUNTIF(AA$48:AA$99,C36)</f>
        <v>0</v>
      </c>
      <c r="Y36" s="23" t="str">
        <f t="shared" si="2"/>
        <v/>
      </c>
      <c r="Z36" s="52"/>
    </row>
    <row r="37" spans="3:64" ht="18" customHeight="1">
      <c r="C37" s="168">
        <v>3</v>
      </c>
      <c r="D37" s="169"/>
      <c r="E37" s="170" t="s">
        <v>452</v>
      </c>
      <c r="F37" s="171"/>
      <c r="G37" s="171"/>
      <c r="H37" s="171"/>
      <c r="I37" s="171"/>
      <c r="J37" s="171"/>
      <c r="K37" s="172"/>
      <c r="L37" s="170" t="s">
        <v>466</v>
      </c>
      <c r="M37" s="171"/>
      <c r="N37" s="171"/>
      <c r="O37" s="171"/>
      <c r="P37" s="172"/>
      <c r="Q37" s="178">
        <v>1.3</v>
      </c>
      <c r="R37" s="179"/>
      <c r="S37" s="180"/>
      <c r="T37" s="176" t="s">
        <v>165</v>
      </c>
      <c r="U37" s="177"/>
      <c r="V37" s="51" t="s">
        <v>1</v>
      </c>
      <c r="W37" s="23" t="str">
        <f t="shared" si="1"/>
        <v/>
      </c>
      <c r="X37" s="24">
        <f t="shared" si="3"/>
        <v>0</v>
      </c>
      <c r="Y37" s="23" t="str">
        <f t="shared" si="2"/>
        <v/>
      </c>
      <c r="Z37" s="52"/>
    </row>
    <row r="38" spans="3:64" ht="18" customHeight="1">
      <c r="C38" s="168">
        <v>4</v>
      </c>
      <c r="D38" s="169"/>
      <c r="E38" s="170" t="s">
        <v>450</v>
      </c>
      <c r="F38" s="171"/>
      <c r="G38" s="171"/>
      <c r="H38" s="171"/>
      <c r="I38" s="171"/>
      <c r="J38" s="171"/>
      <c r="K38" s="172"/>
      <c r="L38" s="170" t="s">
        <v>467</v>
      </c>
      <c r="M38" s="171"/>
      <c r="N38" s="171"/>
      <c r="O38" s="171"/>
      <c r="P38" s="172"/>
      <c r="Q38" s="173" t="s">
        <v>468</v>
      </c>
      <c r="R38" s="174"/>
      <c r="S38" s="175"/>
      <c r="T38" s="176" t="s">
        <v>165</v>
      </c>
      <c r="U38" s="177"/>
      <c r="V38" s="51" t="s">
        <v>1</v>
      </c>
      <c r="W38" s="23" t="str">
        <f t="shared" si="1"/>
        <v/>
      </c>
      <c r="X38" s="24">
        <f t="shared" si="3"/>
        <v>0</v>
      </c>
      <c r="Y38" s="23" t="str">
        <f t="shared" si="2"/>
        <v/>
      </c>
      <c r="Z38" s="52"/>
    </row>
    <row r="39" spans="3:64" ht="18" customHeight="1">
      <c r="C39" s="168">
        <v>5</v>
      </c>
      <c r="D39" s="169"/>
      <c r="E39" s="170" t="s">
        <v>445</v>
      </c>
      <c r="F39" s="171"/>
      <c r="G39" s="171"/>
      <c r="H39" s="171"/>
      <c r="I39" s="171"/>
      <c r="J39" s="171"/>
      <c r="K39" s="172"/>
      <c r="L39" s="170" t="s">
        <v>469</v>
      </c>
      <c r="M39" s="171"/>
      <c r="N39" s="171"/>
      <c r="O39" s="171"/>
      <c r="P39" s="172"/>
      <c r="Q39" s="173" t="s">
        <v>470</v>
      </c>
      <c r="R39" s="174"/>
      <c r="S39" s="175"/>
      <c r="T39" s="176" t="s">
        <v>165</v>
      </c>
      <c r="U39" s="177"/>
      <c r="V39" s="51" t="s">
        <v>1</v>
      </c>
      <c r="W39" s="23" t="str">
        <f t="shared" si="1"/>
        <v/>
      </c>
      <c r="X39" s="24">
        <f t="shared" si="3"/>
        <v>0</v>
      </c>
      <c r="Y39" s="23" t="str">
        <f t="shared" si="2"/>
        <v/>
      </c>
      <c r="Z39" s="52"/>
    </row>
    <row r="40" spans="3:64" ht="18" customHeight="1">
      <c r="C40" s="168">
        <v>6</v>
      </c>
      <c r="D40" s="169"/>
      <c r="E40" s="170" t="s">
        <v>449</v>
      </c>
      <c r="F40" s="171"/>
      <c r="G40" s="171"/>
      <c r="H40" s="171"/>
      <c r="I40" s="171"/>
      <c r="J40" s="171"/>
      <c r="K40" s="172"/>
      <c r="L40" s="170" t="s">
        <v>471</v>
      </c>
      <c r="M40" s="171"/>
      <c r="N40" s="171"/>
      <c r="O40" s="171"/>
      <c r="P40" s="172"/>
      <c r="Q40" s="178">
        <v>1.1000000000000001</v>
      </c>
      <c r="R40" s="179"/>
      <c r="S40" s="180"/>
      <c r="T40" s="176" t="s">
        <v>165</v>
      </c>
      <c r="U40" s="177"/>
      <c r="V40" s="51" t="s">
        <v>1</v>
      </c>
      <c r="W40" s="23" t="str">
        <f t="shared" si="1"/>
        <v/>
      </c>
      <c r="X40" s="24">
        <f t="shared" si="3"/>
        <v>0</v>
      </c>
      <c r="Y40" s="23" t="str">
        <f t="shared" si="2"/>
        <v/>
      </c>
      <c r="Z40" s="52"/>
    </row>
    <row r="41" spans="3:64" ht="18" customHeight="1">
      <c r="C41" s="168">
        <v>7</v>
      </c>
      <c r="D41" s="169"/>
      <c r="E41" s="170" t="s">
        <v>448</v>
      </c>
      <c r="F41" s="171"/>
      <c r="G41" s="171"/>
      <c r="H41" s="171"/>
      <c r="I41" s="171"/>
      <c r="J41" s="171"/>
      <c r="K41" s="172"/>
      <c r="L41" s="170" t="s">
        <v>472</v>
      </c>
      <c r="M41" s="171"/>
      <c r="N41" s="171"/>
      <c r="O41" s="171"/>
      <c r="P41" s="172"/>
      <c r="Q41" s="178">
        <v>1.1000000000000001</v>
      </c>
      <c r="R41" s="179"/>
      <c r="S41" s="180"/>
      <c r="T41" s="176" t="s">
        <v>165</v>
      </c>
      <c r="U41" s="177"/>
      <c r="V41" s="51" t="s">
        <v>1</v>
      </c>
      <c r="W41" s="23" t="str">
        <f t="shared" si="1"/>
        <v/>
      </c>
      <c r="X41" s="24">
        <f t="shared" si="3"/>
        <v>0</v>
      </c>
      <c r="Y41" s="23" t="str">
        <f t="shared" si="2"/>
        <v/>
      </c>
      <c r="Z41" s="52"/>
    </row>
    <row r="42" spans="3:64" ht="18" customHeight="1">
      <c r="C42" s="168">
        <v>8</v>
      </c>
      <c r="D42" s="169"/>
      <c r="E42" s="170"/>
      <c r="F42" s="171"/>
      <c r="G42" s="171"/>
      <c r="H42" s="171"/>
      <c r="I42" s="171"/>
      <c r="J42" s="171"/>
      <c r="K42" s="172"/>
      <c r="L42" s="170"/>
      <c r="M42" s="171"/>
      <c r="N42" s="171"/>
      <c r="O42" s="171"/>
      <c r="P42" s="172"/>
      <c r="Q42" s="308"/>
      <c r="R42" s="309"/>
      <c r="S42" s="310"/>
      <c r="T42" s="176"/>
      <c r="U42" s="177"/>
      <c r="V42" s="51" t="s">
        <v>1</v>
      </c>
      <c r="W42" s="23" t="str">
        <f t="shared" si="1"/>
        <v/>
      </c>
      <c r="X42" s="24">
        <f t="shared" si="3"/>
        <v>0</v>
      </c>
      <c r="Y42" s="23" t="str">
        <f t="shared" si="2"/>
        <v/>
      </c>
      <c r="Z42" s="52"/>
    </row>
    <row r="43" spans="3:64" ht="18" customHeight="1">
      <c r="C43" s="168">
        <v>9</v>
      </c>
      <c r="D43" s="169"/>
      <c r="E43" s="170"/>
      <c r="F43" s="171"/>
      <c r="G43" s="171"/>
      <c r="H43" s="171"/>
      <c r="I43" s="171"/>
      <c r="J43" s="171"/>
      <c r="K43" s="172"/>
      <c r="L43" s="170"/>
      <c r="M43" s="171"/>
      <c r="N43" s="171"/>
      <c r="O43" s="171"/>
      <c r="P43" s="172"/>
      <c r="Q43" s="303"/>
      <c r="R43" s="304"/>
      <c r="S43" s="305"/>
      <c r="T43" s="306"/>
      <c r="U43" s="307"/>
      <c r="V43" s="51" t="s">
        <v>1</v>
      </c>
      <c r="W43" s="23" t="str">
        <f t="shared" si="1"/>
        <v/>
      </c>
      <c r="X43" s="24">
        <f t="shared" si="3"/>
        <v>0</v>
      </c>
      <c r="Y43" s="23" t="str">
        <f t="shared" si="2"/>
        <v/>
      </c>
      <c r="Z43" s="52"/>
    </row>
    <row r="44" spans="3:64" ht="18" customHeight="1">
      <c r="C44" s="168">
        <v>10</v>
      </c>
      <c r="D44" s="169"/>
      <c r="E44" s="170"/>
      <c r="F44" s="171"/>
      <c r="G44" s="171"/>
      <c r="H44" s="171"/>
      <c r="I44" s="171"/>
      <c r="J44" s="171"/>
      <c r="K44" s="172"/>
      <c r="L44" s="170"/>
      <c r="M44" s="171"/>
      <c r="N44" s="171"/>
      <c r="O44" s="171"/>
      <c r="P44" s="172"/>
      <c r="Q44" s="303"/>
      <c r="R44" s="304"/>
      <c r="S44" s="305"/>
      <c r="T44" s="306"/>
      <c r="U44" s="307"/>
      <c r="V44" s="51" t="s">
        <v>1</v>
      </c>
      <c r="W44" s="23" t="str">
        <f t="shared" si="1"/>
        <v/>
      </c>
      <c r="X44" s="24">
        <f t="shared" si="3"/>
        <v>0</v>
      </c>
      <c r="Y44" s="23" t="str">
        <f t="shared" si="2"/>
        <v/>
      </c>
      <c r="Z44" s="52"/>
    </row>
    <row r="45" spans="3:64" ht="9.9499999999999993" customHeight="1">
      <c r="C45" s="162"/>
      <c r="D45" s="162"/>
      <c r="E45" s="165"/>
      <c r="F45" s="165"/>
      <c r="G45" s="165"/>
      <c r="H45" s="165"/>
      <c r="I45" s="165"/>
      <c r="J45" s="165"/>
      <c r="K45" s="165"/>
      <c r="L45" s="165"/>
      <c r="M45" s="165"/>
      <c r="N45" s="165"/>
      <c r="O45" s="165"/>
      <c r="P45" s="165"/>
      <c r="Q45" s="164"/>
      <c r="R45" s="164"/>
      <c r="S45" s="164"/>
      <c r="T45" s="163"/>
      <c r="U45" s="163"/>
      <c r="V45" s="105"/>
      <c r="W45" s="106" t="str">
        <f t="shared" si="1"/>
        <v/>
      </c>
      <c r="X45" s="108" t="str">
        <f>IF(AND($V45&lt;&gt;"(Select)",$V45&lt;&gt;""),COUNTIF(AA$48:AA$99,C45),"")</f>
        <v/>
      </c>
      <c r="Y45" s="106" t="str">
        <f t="shared" si="2"/>
        <v/>
      </c>
      <c r="Z45" s="106"/>
    </row>
    <row r="46" spans="3:64" s="13" customFormat="1" ht="18" customHeight="1">
      <c r="C46" s="13" t="s">
        <v>413</v>
      </c>
    </row>
    <row r="47" spans="3:64" ht="28.5" customHeight="1">
      <c r="C47" s="189" t="s">
        <v>429</v>
      </c>
      <c r="D47" s="189" t="s">
        <v>414</v>
      </c>
      <c r="E47" s="189"/>
      <c r="F47" s="189" t="s">
        <v>415</v>
      </c>
      <c r="G47" s="156" t="s">
        <v>416</v>
      </c>
      <c r="H47" s="203" t="s">
        <v>417</v>
      </c>
      <c r="I47" s="203"/>
      <c r="J47" s="203"/>
      <c r="K47" s="203"/>
      <c r="L47" s="203"/>
      <c r="M47" s="203"/>
      <c r="N47" s="203"/>
      <c r="O47" s="156" t="s">
        <v>418</v>
      </c>
      <c r="P47" s="156" t="s">
        <v>419</v>
      </c>
      <c r="Q47" s="156" t="s">
        <v>420</v>
      </c>
      <c r="R47" s="156"/>
      <c r="S47" s="203" t="s">
        <v>421</v>
      </c>
      <c r="T47" s="203"/>
      <c r="U47" s="203"/>
      <c r="V47" s="203"/>
      <c r="W47" s="203"/>
      <c r="X47" s="156" t="s">
        <v>422</v>
      </c>
      <c r="Y47" s="156" t="s">
        <v>423</v>
      </c>
      <c r="Z47" s="156"/>
    </row>
    <row r="48" spans="3:64" s="25" customFormat="1" ht="102.75" customHeight="1">
      <c r="C48" s="189"/>
      <c r="D48" s="103" t="s">
        <v>424</v>
      </c>
      <c r="E48" s="103" t="s">
        <v>425</v>
      </c>
      <c r="F48" s="189"/>
      <c r="G48" s="156"/>
      <c r="H48" s="203"/>
      <c r="I48" s="203"/>
      <c r="J48" s="203"/>
      <c r="K48" s="203"/>
      <c r="L48" s="203"/>
      <c r="M48" s="203"/>
      <c r="N48" s="203"/>
      <c r="O48" s="156"/>
      <c r="P48" s="156"/>
      <c r="Q48" s="156"/>
      <c r="R48" s="156"/>
      <c r="S48" s="203"/>
      <c r="T48" s="203"/>
      <c r="U48" s="203"/>
      <c r="V48" s="203"/>
      <c r="W48" s="203"/>
      <c r="X48" s="156"/>
      <c r="Y48" s="156"/>
      <c r="Z48" s="156"/>
    </row>
    <row r="49" spans="3:27" ht="41.25" customHeight="1">
      <c r="C49" s="107">
        <v>1</v>
      </c>
      <c r="D49" s="26">
        <v>1</v>
      </c>
      <c r="E49" s="97" t="s">
        <v>477</v>
      </c>
      <c r="F49" s="26" t="s">
        <v>461</v>
      </c>
      <c r="G49" s="26" t="s">
        <v>476</v>
      </c>
      <c r="H49" s="148" t="s">
        <v>478</v>
      </c>
      <c r="I49" s="148"/>
      <c r="J49" s="148"/>
      <c r="K49" s="148"/>
      <c r="L49" s="148"/>
      <c r="M49" s="148"/>
      <c r="N49" s="148"/>
      <c r="O49" s="26" t="s">
        <v>487</v>
      </c>
      <c r="P49" s="28" t="s">
        <v>460</v>
      </c>
      <c r="Q49" s="149" t="s">
        <v>463</v>
      </c>
      <c r="R49" s="149"/>
      <c r="S49" s="151" t="s">
        <v>488</v>
      </c>
      <c r="T49" s="151"/>
      <c r="U49" s="151"/>
      <c r="V49" s="151"/>
      <c r="W49" s="151"/>
      <c r="X49" s="29" t="s">
        <v>461</v>
      </c>
      <c r="Y49" s="149" t="s">
        <v>463</v>
      </c>
      <c r="Z49" s="149"/>
      <c r="AA49" s="15">
        <f t="shared" ref="AA49:AA80" si="4">IF(G49="Issue",D49,"")</f>
        <v>1</v>
      </c>
    </row>
    <row r="50" spans="3:27" ht="33" customHeight="1">
      <c r="C50" s="107">
        <v>2</v>
      </c>
      <c r="D50" s="26">
        <v>1</v>
      </c>
      <c r="E50" s="97" t="s">
        <v>479</v>
      </c>
      <c r="F50" s="26" t="s">
        <v>461</v>
      </c>
      <c r="G50" s="26" t="s">
        <v>476</v>
      </c>
      <c r="H50" s="148" t="s">
        <v>480</v>
      </c>
      <c r="I50" s="148"/>
      <c r="J50" s="148"/>
      <c r="K50" s="148"/>
      <c r="L50" s="148"/>
      <c r="M50" s="148"/>
      <c r="N50" s="148"/>
      <c r="O50" s="26" t="s">
        <v>487</v>
      </c>
      <c r="P50" s="28" t="s">
        <v>460</v>
      </c>
      <c r="Q50" s="149" t="s">
        <v>463</v>
      </c>
      <c r="R50" s="149"/>
      <c r="S50" s="151" t="s">
        <v>488</v>
      </c>
      <c r="T50" s="151"/>
      <c r="U50" s="151"/>
      <c r="V50" s="151"/>
      <c r="W50" s="151"/>
      <c r="X50" s="29" t="s">
        <v>461</v>
      </c>
      <c r="Y50" s="149" t="s">
        <v>463</v>
      </c>
      <c r="Z50" s="149"/>
      <c r="AA50" s="15">
        <f t="shared" si="4"/>
        <v>1</v>
      </c>
    </row>
    <row r="51" spans="3:27" ht="38.25" customHeight="1">
      <c r="C51" s="107">
        <v>3</v>
      </c>
      <c r="D51" s="26">
        <v>1</v>
      </c>
      <c r="E51" s="97" t="s">
        <v>481</v>
      </c>
      <c r="F51" s="26" t="s">
        <v>461</v>
      </c>
      <c r="G51" s="26" t="s">
        <v>476</v>
      </c>
      <c r="H51" s="152" t="s">
        <v>482</v>
      </c>
      <c r="I51" s="148"/>
      <c r="J51" s="148"/>
      <c r="K51" s="148"/>
      <c r="L51" s="148"/>
      <c r="M51" s="148"/>
      <c r="N51" s="148"/>
      <c r="O51" s="26" t="s">
        <v>487</v>
      </c>
      <c r="P51" s="28" t="s">
        <v>460</v>
      </c>
      <c r="Q51" s="149" t="s">
        <v>463</v>
      </c>
      <c r="R51" s="149"/>
      <c r="S51" s="151" t="s">
        <v>488</v>
      </c>
      <c r="T51" s="151"/>
      <c r="U51" s="151"/>
      <c r="V51" s="151"/>
      <c r="W51" s="151"/>
      <c r="X51" s="29" t="s">
        <v>461</v>
      </c>
      <c r="Y51" s="149" t="s">
        <v>463</v>
      </c>
      <c r="Z51" s="149"/>
      <c r="AA51" s="15">
        <f t="shared" si="4"/>
        <v>1</v>
      </c>
    </row>
    <row r="52" spans="3:27" ht="32.25" customHeight="1">
      <c r="C52" s="107">
        <v>4</v>
      </c>
      <c r="D52" s="26">
        <v>1</v>
      </c>
      <c r="E52" s="97" t="s">
        <v>485</v>
      </c>
      <c r="F52" s="26" t="s">
        <v>461</v>
      </c>
      <c r="G52" s="26" t="s">
        <v>476</v>
      </c>
      <c r="H52" s="148" t="s">
        <v>486</v>
      </c>
      <c r="I52" s="148"/>
      <c r="J52" s="148"/>
      <c r="K52" s="148"/>
      <c r="L52" s="148"/>
      <c r="M52" s="148"/>
      <c r="N52" s="148"/>
      <c r="O52" s="26" t="s">
        <v>487</v>
      </c>
      <c r="P52" s="28" t="s">
        <v>460</v>
      </c>
      <c r="Q52" s="149" t="s">
        <v>463</v>
      </c>
      <c r="R52" s="149"/>
      <c r="S52" s="151" t="s">
        <v>488</v>
      </c>
      <c r="T52" s="151"/>
      <c r="U52" s="151"/>
      <c r="V52" s="151"/>
      <c r="W52" s="151"/>
      <c r="X52" s="29" t="s">
        <v>461</v>
      </c>
      <c r="Y52" s="149" t="s">
        <v>463</v>
      </c>
      <c r="Z52" s="149"/>
      <c r="AA52" s="15">
        <f>IF(G52="Issue",D52,"")</f>
        <v>1</v>
      </c>
    </row>
    <row r="53" spans="3:27" ht="33" customHeight="1">
      <c r="C53" s="107">
        <v>5</v>
      </c>
      <c r="D53" s="26" t="s">
        <v>165</v>
      </c>
      <c r="E53" s="97" t="s">
        <v>165</v>
      </c>
      <c r="F53" s="26" t="s">
        <v>461</v>
      </c>
      <c r="G53" s="26" t="s">
        <v>441</v>
      </c>
      <c r="H53" s="148" t="s">
        <v>458</v>
      </c>
      <c r="I53" s="148"/>
      <c r="J53" s="148"/>
      <c r="K53" s="148"/>
      <c r="L53" s="148"/>
      <c r="M53" s="148"/>
      <c r="N53" s="148"/>
      <c r="O53" s="26" t="s">
        <v>1</v>
      </c>
      <c r="P53" s="28"/>
      <c r="Q53" s="149"/>
      <c r="R53" s="149"/>
      <c r="S53" s="151"/>
      <c r="T53" s="151"/>
      <c r="U53" s="151"/>
      <c r="V53" s="151"/>
      <c r="W53" s="151"/>
      <c r="X53" s="29"/>
      <c r="Y53" s="150"/>
      <c r="Z53" s="150"/>
      <c r="AA53" s="15" t="str">
        <f t="shared" si="4"/>
        <v/>
      </c>
    </row>
    <row r="54" spans="3:27" ht="33" customHeight="1">
      <c r="C54" s="107">
        <v>6</v>
      </c>
      <c r="D54" s="26" t="s">
        <v>165</v>
      </c>
      <c r="E54" s="97" t="s">
        <v>165</v>
      </c>
      <c r="F54" s="26" t="s">
        <v>461</v>
      </c>
      <c r="G54" s="26" t="s">
        <v>441</v>
      </c>
      <c r="H54" s="153" t="s">
        <v>483</v>
      </c>
      <c r="I54" s="154"/>
      <c r="J54" s="154"/>
      <c r="K54" s="154"/>
      <c r="L54" s="154"/>
      <c r="M54" s="154"/>
      <c r="N54" s="155"/>
      <c r="O54" s="26" t="s">
        <v>1</v>
      </c>
      <c r="P54" s="28"/>
      <c r="Q54" s="149"/>
      <c r="R54" s="149"/>
      <c r="S54" s="151"/>
      <c r="T54" s="151"/>
      <c r="U54" s="151"/>
      <c r="V54" s="151"/>
      <c r="W54" s="151"/>
      <c r="X54" s="29"/>
      <c r="Y54" s="150"/>
      <c r="Z54" s="150"/>
      <c r="AA54" s="15" t="str">
        <f t="shared" si="4"/>
        <v/>
      </c>
    </row>
    <row r="55" spans="3:27" ht="33" customHeight="1">
      <c r="C55" s="107">
        <v>7</v>
      </c>
      <c r="D55" s="26" t="s">
        <v>165</v>
      </c>
      <c r="E55" s="97" t="s">
        <v>165</v>
      </c>
      <c r="F55" s="26" t="s">
        <v>461</v>
      </c>
      <c r="G55" s="26" t="s">
        <v>441</v>
      </c>
      <c r="H55" s="152" t="s">
        <v>484</v>
      </c>
      <c r="I55" s="148"/>
      <c r="J55" s="148"/>
      <c r="K55" s="148"/>
      <c r="L55" s="148"/>
      <c r="M55" s="148"/>
      <c r="N55" s="148"/>
      <c r="O55" s="26" t="s">
        <v>1</v>
      </c>
      <c r="P55" s="28"/>
      <c r="Q55" s="149"/>
      <c r="R55" s="149"/>
      <c r="S55" s="151"/>
      <c r="T55" s="151"/>
      <c r="U55" s="151"/>
      <c r="V55" s="151"/>
      <c r="W55" s="151"/>
      <c r="X55" s="29"/>
      <c r="Y55" s="150"/>
      <c r="Z55" s="150"/>
      <c r="AA55" s="15" t="str">
        <f t="shared" si="4"/>
        <v/>
      </c>
    </row>
    <row r="56" spans="3:27" ht="33" customHeight="1">
      <c r="C56" s="107">
        <v>8</v>
      </c>
      <c r="D56" s="26"/>
      <c r="E56" s="97"/>
      <c r="F56" s="26"/>
      <c r="G56" s="26" t="s">
        <v>1</v>
      </c>
      <c r="H56" s="153"/>
      <c r="I56" s="154"/>
      <c r="J56" s="154"/>
      <c r="K56" s="154"/>
      <c r="L56" s="154"/>
      <c r="M56" s="154"/>
      <c r="N56" s="155"/>
      <c r="O56" s="26" t="s">
        <v>1</v>
      </c>
      <c r="P56" s="28"/>
      <c r="Q56" s="149"/>
      <c r="R56" s="149"/>
      <c r="S56" s="151"/>
      <c r="T56" s="151"/>
      <c r="U56" s="151"/>
      <c r="V56" s="151"/>
      <c r="W56" s="151"/>
      <c r="X56" s="29"/>
      <c r="Y56" s="150"/>
      <c r="Z56" s="150"/>
      <c r="AA56" s="15" t="str">
        <f t="shared" si="4"/>
        <v/>
      </c>
    </row>
    <row r="57" spans="3:27" ht="33" customHeight="1">
      <c r="C57" s="107">
        <v>9</v>
      </c>
      <c r="D57" s="26"/>
      <c r="E57" s="97"/>
      <c r="F57" s="26"/>
      <c r="G57" s="26" t="s">
        <v>1</v>
      </c>
      <c r="H57" s="152"/>
      <c r="I57" s="148"/>
      <c r="J57" s="148"/>
      <c r="K57" s="148"/>
      <c r="L57" s="148"/>
      <c r="M57" s="148"/>
      <c r="N57" s="148"/>
      <c r="O57" s="26" t="s">
        <v>1</v>
      </c>
      <c r="P57" s="28"/>
      <c r="Q57" s="149"/>
      <c r="R57" s="149"/>
      <c r="S57" s="151"/>
      <c r="T57" s="151"/>
      <c r="U57" s="151"/>
      <c r="V57" s="151"/>
      <c r="W57" s="151"/>
      <c r="X57" s="29"/>
      <c r="Y57" s="150"/>
      <c r="Z57" s="150"/>
      <c r="AA57" s="15" t="str">
        <f t="shared" si="4"/>
        <v/>
      </c>
    </row>
    <row r="58" spans="3:27" ht="33" customHeight="1">
      <c r="C58" s="107">
        <v>10</v>
      </c>
      <c r="D58" s="26"/>
      <c r="E58" s="97"/>
      <c r="F58" s="26"/>
      <c r="G58" s="26" t="s">
        <v>1</v>
      </c>
      <c r="H58" s="148"/>
      <c r="I58" s="148"/>
      <c r="J58" s="148"/>
      <c r="K58" s="148"/>
      <c r="L58" s="148"/>
      <c r="M58" s="148"/>
      <c r="N58" s="148"/>
      <c r="O58" s="26" t="s">
        <v>1</v>
      </c>
      <c r="P58" s="28"/>
      <c r="Q58" s="149"/>
      <c r="R58" s="149"/>
      <c r="S58" s="151"/>
      <c r="T58" s="151"/>
      <c r="U58" s="151"/>
      <c r="V58" s="151"/>
      <c r="W58" s="151"/>
      <c r="X58" s="29"/>
      <c r="Y58" s="150"/>
      <c r="Z58" s="150"/>
      <c r="AA58" s="15" t="str">
        <f t="shared" si="4"/>
        <v/>
      </c>
    </row>
    <row r="59" spans="3:27" ht="33" customHeight="1">
      <c r="C59" s="107">
        <v>11</v>
      </c>
      <c r="D59" s="26"/>
      <c r="E59" s="97"/>
      <c r="F59" s="26"/>
      <c r="G59" s="26" t="s">
        <v>1</v>
      </c>
      <c r="H59" s="153"/>
      <c r="I59" s="154"/>
      <c r="J59" s="154"/>
      <c r="K59" s="154"/>
      <c r="L59" s="154"/>
      <c r="M59" s="154"/>
      <c r="N59" s="155"/>
      <c r="O59" s="26" t="s">
        <v>1</v>
      </c>
      <c r="P59" s="28"/>
      <c r="Q59" s="149"/>
      <c r="R59" s="149"/>
      <c r="S59" s="151"/>
      <c r="T59" s="151"/>
      <c r="U59" s="151"/>
      <c r="V59" s="151"/>
      <c r="W59" s="151"/>
      <c r="X59" s="29"/>
      <c r="Y59" s="150"/>
      <c r="Z59" s="150"/>
      <c r="AA59" s="15" t="str">
        <f t="shared" si="4"/>
        <v/>
      </c>
    </row>
    <row r="60" spans="3:27" ht="33" customHeight="1">
      <c r="C60" s="107">
        <v>12</v>
      </c>
      <c r="D60" s="26"/>
      <c r="E60" s="97"/>
      <c r="F60" s="26"/>
      <c r="G60" s="26" t="s">
        <v>1</v>
      </c>
      <c r="H60" s="152"/>
      <c r="I60" s="148"/>
      <c r="J60" s="148"/>
      <c r="K60" s="148"/>
      <c r="L60" s="148"/>
      <c r="M60" s="148"/>
      <c r="N60" s="148"/>
      <c r="O60" s="26" t="s">
        <v>1</v>
      </c>
      <c r="P60" s="28"/>
      <c r="Q60" s="149"/>
      <c r="R60" s="149"/>
      <c r="S60" s="151"/>
      <c r="T60" s="151"/>
      <c r="U60" s="151"/>
      <c r="V60" s="151"/>
      <c r="W60" s="151"/>
      <c r="X60" s="29"/>
      <c r="Y60" s="150"/>
      <c r="Z60" s="150"/>
      <c r="AA60" s="15" t="str">
        <f t="shared" si="4"/>
        <v/>
      </c>
    </row>
    <row r="61" spans="3:27" ht="33" customHeight="1">
      <c r="C61" s="107">
        <v>13</v>
      </c>
      <c r="D61" s="26"/>
      <c r="E61" s="27"/>
      <c r="F61" s="26"/>
      <c r="G61" s="26" t="s">
        <v>1</v>
      </c>
      <c r="H61" s="148"/>
      <c r="I61" s="148"/>
      <c r="J61" s="148"/>
      <c r="K61" s="148"/>
      <c r="L61" s="148"/>
      <c r="M61" s="148"/>
      <c r="N61" s="148"/>
      <c r="O61" s="26" t="s">
        <v>1</v>
      </c>
      <c r="P61" s="28"/>
      <c r="Q61" s="149"/>
      <c r="R61" s="149"/>
      <c r="S61" s="151"/>
      <c r="T61" s="151"/>
      <c r="U61" s="151"/>
      <c r="V61" s="151"/>
      <c r="W61" s="151"/>
      <c r="X61" s="29"/>
      <c r="Y61" s="150"/>
      <c r="Z61" s="150"/>
      <c r="AA61" s="15" t="str">
        <f t="shared" si="4"/>
        <v/>
      </c>
    </row>
    <row r="62" spans="3:27" ht="33" customHeight="1">
      <c r="C62" s="107">
        <v>14</v>
      </c>
      <c r="D62" s="26"/>
      <c r="E62" s="27"/>
      <c r="F62" s="26"/>
      <c r="G62" s="26" t="s">
        <v>1</v>
      </c>
      <c r="H62" s="148"/>
      <c r="I62" s="148"/>
      <c r="J62" s="148"/>
      <c r="K62" s="148"/>
      <c r="L62" s="148"/>
      <c r="M62" s="148"/>
      <c r="N62" s="148"/>
      <c r="O62" s="26" t="s">
        <v>1</v>
      </c>
      <c r="P62" s="28"/>
      <c r="Q62" s="149"/>
      <c r="R62" s="149"/>
      <c r="S62" s="151"/>
      <c r="T62" s="151"/>
      <c r="U62" s="151"/>
      <c r="V62" s="151"/>
      <c r="W62" s="151"/>
      <c r="X62" s="29"/>
      <c r="Y62" s="150"/>
      <c r="Z62" s="150"/>
      <c r="AA62" s="15" t="str">
        <f t="shared" si="4"/>
        <v/>
      </c>
    </row>
    <row r="63" spans="3:27" ht="33" customHeight="1">
      <c r="C63" s="107">
        <v>15</v>
      </c>
      <c r="D63" s="26"/>
      <c r="E63" s="27"/>
      <c r="F63" s="26"/>
      <c r="G63" s="26" t="s">
        <v>1</v>
      </c>
      <c r="H63" s="148"/>
      <c r="I63" s="148"/>
      <c r="J63" s="148"/>
      <c r="K63" s="148"/>
      <c r="L63" s="148"/>
      <c r="M63" s="148"/>
      <c r="N63" s="148"/>
      <c r="O63" s="26" t="s">
        <v>1</v>
      </c>
      <c r="P63" s="28"/>
      <c r="Q63" s="149"/>
      <c r="R63" s="149"/>
      <c r="S63" s="151"/>
      <c r="T63" s="151"/>
      <c r="U63" s="151"/>
      <c r="V63" s="151"/>
      <c r="W63" s="151"/>
      <c r="X63" s="29"/>
      <c r="Y63" s="150"/>
      <c r="Z63" s="150"/>
      <c r="AA63" s="15" t="str">
        <f t="shared" si="4"/>
        <v/>
      </c>
    </row>
    <row r="64" spans="3:27" ht="33" customHeight="1">
      <c r="C64" s="107">
        <v>16</v>
      </c>
      <c r="D64" s="26"/>
      <c r="E64" s="27"/>
      <c r="F64" s="26"/>
      <c r="G64" s="26" t="s">
        <v>1</v>
      </c>
      <c r="H64" s="148"/>
      <c r="I64" s="148"/>
      <c r="J64" s="148"/>
      <c r="K64" s="148"/>
      <c r="L64" s="148"/>
      <c r="M64" s="148"/>
      <c r="N64" s="148"/>
      <c r="O64" s="26" t="s">
        <v>1</v>
      </c>
      <c r="P64" s="28"/>
      <c r="Q64" s="149"/>
      <c r="R64" s="149"/>
      <c r="S64" s="151"/>
      <c r="T64" s="151"/>
      <c r="U64" s="151"/>
      <c r="V64" s="151"/>
      <c r="W64" s="151"/>
      <c r="X64" s="29"/>
      <c r="Y64" s="150"/>
      <c r="Z64" s="150"/>
      <c r="AA64" s="15" t="str">
        <f t="shared" si="4"/>
        <v/>
      </c>
    </row>
    <row r="65" spans="3:27" ht="33" customHeight="1">
      <c r="C65" s="107">
        <v>17</v>
      </c>
      <c r="D65" s="26"/>
      <c r="E65" s="27"/>
      <c r="F65" s="26"/>
      <c r="G65" s="26" t="s">
        <v>1</v>
      </c>
      <c r="H65" s="148"/>
      <c r="I65" s="148"/>
      <c r="J65" s="148"/>
      <c r="K65" s="148"/>
      <c r="L65" s="148"/>
      <c r="M65" s="148"/>
      <c r="N65" s="148"/>
      <c r="O65" s="26" t="s">
        <v>1</v>
      </c>
      <c r="P65" s="28"/>
      <c r="Q65" s="149"/>
      <c r="R65" s="149"/>
      <c r="S65" s="151"/>
      <c r="T65" s="151"/>
      <c r="U65" s="151"/>
      <c r="V65" s="151"/>
      <c r="W65" s="151"/>
      <c r="X65" s="29"/>
      <c r="Y65" s="150"/>
      <c r="Z65" s="150"/>
      <c r="AA65" s="15" t="str">
        <f t="shared" si="4"/>
        <v/>
      </c>
    </row>
    <row r="66" spans="3:27" ht="33" customHeight="1">
      <c r="C66" s="107">
        <v>18</v>
      </c>
      <c r="D66" s="26"/>
      <c r="E66" s="27"/>
      <c r="F66" s="26"/>
      <c r="G66" s="26" t="s">
        <v>1</v>
      </c>
      <c r="H66" s="148"/>
      <c r="I66" s="148"/>
      <c r="J66" s="148"/>
      <c r="K66" s="148"/>
      <c r="L66" s="148"/>
      <c r="M66" s="148"/>
      <c r="N66" s="148"/>
      <c r="O66" s="26" t="s">
        <v>1</v>
      </c>
      <c r="P66" s="28"/>
      <c r="Q66" s="149"/>
      <c r="R66" s="149"/>
      <c r="S66" s="151"/>
      <c r="T66" s="151"/>
      <c r="U66" s="151"/>
      <c r="V66" s="151"/>
      <c r="W66" s="151"/>
      <c r="X66" s="29"/>
      <c r="Y66" s="150"/>
      <c r="Z66" s="150"/>
      <c r="AA66" s="15" t="str">
        <f t="shared" si="4"/>
        <v/>
      </c>
    </row>
    <row r="67" spans="3:27" ht="33" customHeight="1">
      <c r="C67" s="107">
        <v>19</v>
      </c>
      <c r="D67" s="26"/>
      <c r="E67" s="27"/>
      <c r="F67" s="26"/>
      <c r="G67" s="26" t="s">
        <v>1</v>
      </c>
      <c r="H67" s="148"/>
      <c r="I67" s="148"/>
      <c r="J67" s="148"/>
      <c r="K67" s="148"/>
      <c r="L67" s="148"/>
      <c r="M67" s="148"/>
      <c r="N67" s="148"/>
      <c r="O67" s="26" t="s">
        <v>1</v>
      </c>
      <c r="P67" s="28"/>
      <c r="Q67" s="149"/>
      <c r="R67" s="149"/>
      <c r="S67" s="151"/>
      <c r="T67" s="151"/>
      <c r="U67" s="151"/>
      <c r="V67" s="151"/>
      <c r="W67" s="151"/>
      <c r="X67" s="29"/>
      <c r="Y67" s="150"/>
      <c r="Z67" s="150"/>
      <c r="AA67" s="15" t="str">
        <f t="shared" si="4"/>
        <v/>
      </c>
    </row>
    <row r="68" spans="3:27" ht="33" customHeight="1">
      <c r="C68" s="107">
        <v>20</v>
      </c>
      <c r="D68" s="26"/>
      <c r="E68" s="27"/>
      <c r="F68" s="26"/>
      <c r="G68" s="26" t="s">
        <v>1</v>
      </c>
      <c r="H68" s="148"/>
      <c r="I68" s="148"/>
      <c r="J68" s="148"/>
      <c r="K68" s="148"/>
      <c r="L68" s="148"/>
      <c r="M68" s="148"/>
      <c r="N68" s="148"/>
      <c r="O68" s="26" t="s">
        <v>1</v>
      </c>
      <c r="P68" s="28"/>
      <c r="Q68" s="149"/>
      <c r="R68" s="149"/>
      <c r="S68" s="151"/>
      <c r="T68" s="151"/>
      <c r="U68" s="151"/>
      <c r="V68" s="151"/>
      <c r="W68" s="151"/>
      <c r="X68" s="29"/>
      <c r="Y68" s="150"/>
      <c r="Z68" s="150"/>
      <c r="AA68" s="15" t="str">
        <f t="shared" si="4"/>
        <v/>
      </c>
    </row>
    <row r="69" spans="3:27" ht="33" customHeight="1">
      <c r="C69" s="107">
        <v>21</v>
      </c>
      <c r="D69" s="26"/>
      <c r="E69" s="27"/>
      <c r="F69" s="26"/>
      <c r="G69" s="26" t="s">
        <v>1</v>
      </c>
      <c r="H69" s="148"/>
      <c r="I69" s="148"/>
      <c r="J69" s="148"/>
      <c r="K69" s="148"/>
      <c r="L69" s="148"/>
      <c r="M69" s="148"/>
      <c r="N69" s="148"/>
      <c r="O69" s="26" t="s">
        <v>1</v>
      </c>
      <c r="P69" s="28"/>
      <c r="Q69" s="149"/>
      <c r="R69" s="149"/>
      <c r="S69" s="151"/>
      <c r="T69" s="151"/>
      <c r="U69" s="151"/>
      <c r="V69" s="151"/>
      <c r="W69" s="151"/>
      <c r="X69" s="29"/>
      <c r="Y69" s="150"/>
      <c r="Z69" s="150"/>
      <c r="AA69" s="15" t="str">
        <f t="shared" si="4"/>
        <v/>
      </c>
    </row>
    <row r="70" spans="3:27" ht="33" customHeight="1">
      <c r="C70" s="107">
        <v>22</v>
      </c>
      <c r="D70" s="26"/>
      <c r="E70" s="27"/>
      <c r="F70" s="26"/>
      <c r="G70" s="26" t="s">
        <v>1</v>
      </c>
      <c r="H70" s="148"/>
      <c r="I70" s="148"/>
      <c r="J70" s="148"/>
      <c r="K70" s="148"/>
      <c r="L70" s="148"/>
      <c r="M70" s="148"/>
      <c r="N70" s="148"/>
      <c r="O70" s="26" t="s">
        <v>1</v>
      </c>
      <c r="P70" s="28"/>
      <c r="Q70" s="149"/>
      <c r="R70" s="149"/>
      <c r="S70" s="151"/>
      <c r="T70" s="151"/>
      <c r="U70" s="151"/>
      <c r="V70" s="151"/>
      <c r="W70" s="151"/>
      <c r="X70" s="29"/>
      <c r="Y70" s="150"/>
      <c r="Z70" s="150"/>
      <c r="AA70" s="15" t="str">
        <f t="shared" si="4"/>
        <v/>
      </c>
    </row>
    <row r="71" spans="3:27" ht="33" customHeight="1">
      <c r="C71" s="107">
        <v>23</v>
      </c>
      <c r="D71" s="26"/>
      <c r="E71" s="27"/>
      <c r="F71" s="26"/>
      <c r="G71" s="26" t="s">
        <v>1</v>
      </c>
      <c r="H71" s="148"/>
      <c r="I71" s="148"/>
      <c r="J71" s="148"/>
      <c r="K71" s="148"/>
      <c r="L71" s="148"/>
      <c r="M71" s="148"/>
      <c r="N71" s="148"/>
      <c r="O71" s="26" t="s">
        <v>1</v>
      </c>
      <c r="P71" s="28"/>
      <c r="Q71" s="149"/>
      <c r="R71" s="149"/>
      <c r="S71" s="151"/>
      <c r="T71" s="151"/>
      <c r="U71" s="151"/>
      <c r="V71" s="151"/>
      <c r="W71" s="151"/>
      <c r="X71" s="29"/>
      <c r="Y71" s="150"/>
      <c r="Z71" s="150"/>
      <c r="AA71" s="15" t="str">
        <f t="shared" si="4"/>
        <v/>
      </c>
    </row>
    <row r="72" spans="3:27" ht="33" customHeight="1">
      <c r="C72" s="107">
        <v>24</v>
      </c>
      <c r="D72" s="26"/>
      <c r="E72" s="27"/>
      <c r="F72" s="26"/>
      <c r="G72" s="26" t="s">
        <v>1</v>
      </c>
      <c r="H72" s="148"/>
      <c r="I72" s="148"/>
      <c r="J72" s="148"/>
      <c r="K72" s="148"/>
      <c r="L72" s="148"/>
      <c r="M72" s="148"/>
      <c r="N72" s="148"/>
      <c r="O72" s="26" t="s">
        <v>1</v>
      </c>
      <c r="P72" s="28"/>
      <c r="Q72" s="149"/>
      <c r="R72" s="149"/>
      <c r="S72" s="151"/>
      <c r="T72" s="151"/>
      <c r="U72" s="151"/>
      <c r="V72" s="151"/>
      <c r="W72" s="151"/>
      <c r="X72" s="29"/>
      <c r="Y72" s="150"/>
      <c r="Z72" s="150"/>
      <c r="AA72" s="15" t="str">
        <f t="shared" si="4"/>
        <v/>
      </c>
    </row>
    <row r="73" spans="3:27" ht="33" customHeight="1">
      <c r="C73" s="107">
        <v>25</v>
      </c>
      <c r="D73" s="26"/>
      <c r="E73" s="27"/>
      <c r="F73" s="26"/>
      <c r="G73" s="26" t="s">
        <v>1</v>
      </c>
      <c r="H73" s="148"/>
      <c r="I73" s="148"/>
      <c r="J73" s="148"/>
      <c r="K73" s="148"/>
      <c r="L73" s="148"/>
      <c r="M73" s="148"/>
      <c r="N73" s="148"/>
      <c r="O73" s="26" t="s">
        <v>1</v>
      </c>
      <c r="P73" s="28"/>
      <c r="Q73" s="149"/>
      <c r="R73" s="149"/>
      <c r="S73" s="151"/>
      <c r="T73" s="151"/>
      <c r="U73" s="151"/>
      <c r="V73" s="151"/>
      <c r="W73" s="151"/>
      <c r="X73" s="29"/>
      <c r="Y73" s="150"/>
      <c r="Z73" s="150"/>
      <c r="AA73" s="15" t="str">
        <f t="shared" si="4"/>
        <v/>
      </c>
    </row>
    <row r="74" spans="3:27" ht="33" customHeight="1">
      <c r="C74" s="107">
        <v>26</v>
      </c>
      <c r="D74" s="26"/>
      <c r="E74" s="27"/>
      <c r="F74" s="26"/>
      <c r="G74" s="26" t="s">
        <v>1</v>
      </c>
      <c r="H74" s="148"/>
      <c r="I74" s="148"/>
      <c r="J74" s="148"/>
      <c r="K74" s="148"/>
      <c r="L74" s="148"/>
      <c r="M74" s="148"/>
      <c r="N74" s="148"/>
      <c r="O74" s="26" t="s">
        <v>1</v>
      </c>
      <c r="P74" s="28"/>
      <c r="Q74" s="149"/>
      <c r="R74" s="149"/>
      <c r="S74" s="151"/>
      <c r="T74" s="151"/>
      <c r="U74" s="151"/>
      <c r="V74" s="151"/>
      <c r="W74" s="151"/>
      <c r="X74" s="29"/>
      <c r="Y74" s="150"/>
      <c r="Z74" s="150"/>
      <c r="AA74" s="15" t="str">
        <f t="shared" si="4"/>
        <v/>
      </c>
    </row>
    <row r="75" spans="3:27" ht="33" customHeight="1">
      <c r="C75" s="107">
        <v>27</v>
      </c>
      <c r="D75" s="26"/>
      <c r="E75" s="27"/>
      <c r="F75" s="26"/>
      <c r="G75" s="26" t="s">
        <v>1</v>
      </c>
      <c r="H75" s="148"/>
      <c r="I75" s="148"/>
      <c r="J75" s="148"/>
      <c r="K75" s="148"/>
      <c r="L75" s="148"/>
      <c r="M75" s="148"/>
      <c r="N75" s="148"/>
      <c r="O75" s="26" t="s">
        <v>1</v>
      </c>
      <c r="P75" s="28"/>
      <c r="Q75" s="149"/>
      <c r="R75" s="149"/>
      <c r="S75" s="151"/>
      <c r="T75" s="151"/>
      <c r="U75" s="151"/>
      <c r="V75" s="151"/>
      <c r="W75" s="151"/>
      <c r="X75" s="29"/>
      <c r="Y75" s="150"/>
      <c r="Z75" s="150"/>
      <c r="AA75" s="15" t="str">
        <f t="shared" si="4"/>
        <v/>
      </c>
    </row>
    <row r="76" spans="3:27" ht="33" customHeight="1">
      <c r="C76" s="107">
        <v>28</v>
      </c>
      <c r="D76" s="26"/>
      <c r="E76" s="27"/>
      <c r="F76" s="26"/>
      <c r="G76" s="26" t="s">
        <v>1</v>
      </c>
      <c r="H76" s="148"/>
      <c r="I76" s="148"/>
      <c r="J76" s="148"/>
      <c r="K76" s="148"/>
      <c r="L76" s="148"/>
      <c r="M76" s="148"/>
      <c r="N76" s="148"/>
      <c r="O76" s="26" t="s">
        <v>1</v>
      </c>
      <c r="P76" s="28"/>
      <c r="Q76" s="149"/>
      <c r="R76" s="149"/>
      <c r="S76" s="151"/>
      <c r="T76" s="151"/>
      <c r="U76" s="151"/>
      <c r="V76" s="151"/>
      <c r="W76" s="151"/>
      <c r="X76" s="29"/>
      <c r="Y76" s="150"/>
      <c r="Z76" s="150"/>
      <c r="AA76" s="15" t="str">
        <f t="shared" si="4"/>
        <v/>
      </c>
    </row>
    <row r="77" spans="3:27" ht="33" customHeight="1">
      <c r="C77" s="107">
        <v>29</v>
      </c>
      <c r="D77" s="26"/>
      <c r="E77" s="27"/>
      <c r="F77" s="26"/>
      <c r="G77" s="26" t="s">
        <v>1</v>
      </c>
      <c r="H77" s="148"/>
      <c r="I77" s="148"/>
      <c r="J77" s="148"/>
      <c r="K77" s="148"/>
      <c r="L77" s="148"/>
      <c r="M77" s="148"/>
      <c r="N77" s="148"/>
      <c r="O77" s="26" t="s">
        <v>1</v>
      </c>
      <c r="P77" s="28"/>
      <c r="Q77" s="149"/>
      <c r="R77" s="149"/>
      <c r="S77" s="151"/>
      <c r="T77" s="151"/>
      <c r="U77" s="151"/>
      <c r="V77" s="151"/>
      <c r="W77" s="151"/>
      <c r="X77" s="29"/>
      <c r="Y77" s="150"/>
      <c r="Z77" s="150"/>
      <c r="AA77" s="15" t="str">
        <f t="shared" si="4"/>
        <v/>
      </c>
    </row>
    <row r="78" spans="3:27" ht="33" customHeight="1">
      <c r="C78" s="107">
        <v>30</v>
      </c>
      <c r="D78" s="26"/>
      <c r="E78" s="27"/>
      <c r="F78" s="26"/>
      <c r="G78" s="26" t="s">
        <v>1</v>
      </c>
      <c r="H78" s="148"/>
      <c r="I78" s="148"/>
      <c r="J78" s="148"/>
      <c r="K78" s="148"/>
      <c r="L78" s="148"/>
      <c r="M78" s="148"/>
      <c r="N78" s="148"/>
      <c r="O78" s="26" t="s">
        <v>1</v>
      </c>
      <c r="P78" s="28"/>
      <c r="Q78" s="149"/>
      <c r="R78" s="149"/>
      <c r="S78" s="151"/>
      <c r="T78" s="151"/>
      <c r="U78" s="151"/>
      <c r="V78" s="151"/>
      <c r="W78" s="151"/>
      <c r="X78" s="29"/>
      <c r="Y78" s="150"/>
      <c r="Z78" s="150"/>
      <c r="AA78" s="15" t="str">
        <f t="shared" si="4"/>
        <v/>
      </c>
    </row>
    <row r="79" spans="3:27" ht="33" customHeight="1">
      <c r="C79" s="107">
        <v>31</v>
      </c>
      <c r="D79" s="26"/>
      <c r="E79" s="27"/>
      <c r="F79" s="26"/>
      <c r="G79" s="26" t="s">
        <v>1</v>
      </c>
      <c r="H79" s="148"/>
      <c r="I79" s="148"/>
      <c r="J79" s="148"/>
      <c r="K79" s="148"/>
      <c r="L79" s="148"/>
      <c r="M79" s="148"/>
      <c r="N79" s="148"/>
      <c r="O79" s="26" t="s">
        <v>1</v>
      </c>
      <c r="P79" s="28"/>
      <c r="Q79" s="149"/>
      <c r="R79" s="149"/>
      <c r="S79" s="151"/>
      <c r="T79" s="151"/>
      <c r="U79" s="151"/>
      <c r="V79" s="151"/>
      <c r="W79" s="151"/>
      <c r="X79" s="29"/>
      <c r="Y79" s="150"/>
      <c r="Z79" s="150"/>
      <c r="AA79" s="15" t="str">
        <f t="shared" si="4"/>
        <v/>
      </c>
    </row>
    <row r="80" spans="3:27" ht="33" customHeight="1">
      <c r="C80" s="107">
        <v>32</v>
      </c>
      <c r="D80" s="26"/>
      <c r="E80" s="27"/>
      <c r="F80" s="26"/>
      <c r="G80" s="26" t="s">
        <v>1</v>
      </c>
      <c r="H80" s="148"/>
      <c r="I80" s="148"/>
      <c r="J80" s="148"/>
      <c r="K80" s="148"/>
      <c r="L80" s="148"/>
      <c r="M80" s="148"/>
      <c r="N80" s="148"/>
      <c r="O80" s="26" t="s">
        <v>1</v>
      </c>
      <c r="P80" s="28"/>
      <c r="Q80" s="149"/>
      <c r="R80" s="149"/>
      <c r="S80" s="151"/>
      <c r="T80" s="151"/>
      <c r="U80" s="151"/>
      <c r="V80" s="151"/>
      <c r="W80" s="151"/>
      <c r="X80" s="29"/>
      <c r="Y80" s="150"/>
      <c r="Z80" s="150"/>
      <c r="AA80" s="15" t="str">
        <f t="shared" si="4"/>
        <v/>
      </c>
    </row>
    <row r="81" spans="3:27" ht="33" customHeight="1">
      <c r="C81" s="107">
        <v>33</v>
      </c>
      <c r="D81" s="26"/>
      <c r="E81" s="27"/>
      <c r="F81" s="26"/>
      <c r="G81" s="26" t="s">
        <v>1</v>
      </c>
      <c r="H81" s="148"/>
      <c r="I81" s="148"/>
      <c r="J81" s="148"/>
      <c r="K81" s="148"/>
      <c r="L81" s="148"/>
      <c r="M81" s="148"/>
      <c r="N81" s="148"/>
      <c r="O81" s="26" t="s">
        <v>1</v>
      </c>
      <c r="P81" s="28"/>
      <c r="Q81" s="149"/>
      <c r="R81" s="149"/>
      <c r="S81" s="151"/>
      <c r="T81" s="151"/>
      <c r="U81" s="151"/>
      <c r="V81" s="151"/>
      <c r="W81" s="151"/>
      <c r="X81" s="29"/>
      <c r="Y81" s="150"/>
      <c r="Z81" s="150"/>
      <c r="AA81" s="15" t="str">
        <f t="shared" ref="AA81:AA99" si="5">IF(G81="Issue",D81,"")</f>
        <v/>
      </c>
    </row>
    <row r="82" spans="3:27" ht="33" customHeight="1">
      <c r="C82" s="107">
        <v>34</v>
      </c>
      <c r="D82" s="26"/>
      <c r="E82" s="27"/>
      <c r="F82" s="26"/>
      <c r="G82" s="26" t="s">
        <v>1</v>
      </c>
      <c r="H82" s="148"/>
      <c r="I82" s="148"/>
      <c r="J82" s="148"/>
      <c r="K82" s="148"/>
      <c r="L82" s="148"/>
      <c r="M82" s="148"/>
      <c r="N82" s="148"/>
      <c r="O82" s="26" t="s">
        <v>1</v>
      </c>
      <c r="P82" s="28"/>
      <c r="Q82" s="149"/>
      <c r="R82" s="149"/>
      <c r="S82" s="151"/>
      <c r="T82" s="151"/>
      <c r="U82" s="151"/>
      <c r="V82" s="151"/>
      <c r="W82" s="151"/>
      <c r="X82" s="29"/>
      <c r="Y82" s="150"/>
      <c r="Z82" s="150"/>
      <c r="AA82" s="15" t="str">
        <f t="shared" si="5"/>
        <v/>
      </c>
    </row>
    <row r="83" spans="3:27" ht="33" customHeight="1">
      <c r="C83" s="107">
        <v>35</v>
      </c>
      <c r="D83" s="26"/>
      <c r="E83" s="27"/>
      <c r="F83" s="26"/>
      <c r="G83" s="26" t="s">
        <v>1</v>
      </c>
      <c r="H83" s="148"/>
      <c r="I83" s="148"/>
      <c r="J83" s="148"/>
      <c r="K83" s="148"/>
      <c r="L83" s="148"/>
      <c r="M83" s="148"/>
      <c r="N83" s="148"/>
      <c r="O83" s="26" t="s">
        <v>1</v>
      </c>
      <c r="P83" s="28"/>
      <c r="Q83" s="149"/>
      <c r="R83" s="149"/>
      <c r="S83" s="151"/>
      <c r="T83" s="151"/>
      <c r="U83" s="151"/>
      <c r="V83" s="151"/>
      <c r="W83" s="151"/>
      <c r="X83" s="29"/>
      <c r="Y83" s="150"/>
      <c r="Z83" s="150"/>
      <c r="AA83" s="15" t="str">
        <f t="shared" si="5"/>
        <v/>
      </c>
    </row>
    <row r="84" spans="3:27" ht="33" customHeight="1">
      <c r="C84" s="107">
        <v>36</v>
      </c>
      <c r="D84" s="26"/>
      <c r="E84" s="27"/>
      <c r="F84" s="26"/>
      <c r="G84" s="26" t="s">
        <v>1</v>
      </c>
      <c r="H84" s="148"/>
      <c r="I84" s="148"/>
      <c r="J84" s="148"/>
      <c r="K84" s="148"/>
      <c r="L84" s="148"/>
      <c r="M84" s="148"/>
      <c r="N84" s="148"/>
      <c r="O84" s="26" t="s">
        <v>1</v>
      </c>
      <c r="P84" s="28"/>
      <c r="Q84" s="149"/>
      <c r="R84" s="149"/>
      <c r="S84" s="151"/>
      <c r="T84" s="151"/>
      <c r="U84" s="151"/>
      <c r="V84" s="151"/>
      <c r="W84" s="151"/>
      <c r="X84" s="29"/>
      <c r="Y84" s="150"/>
      <c r="Z84" s="150"/>
      <c r="AA84" s="15" t="str">
        <f t="shared" si="5"/>
        <v/>
      </c>
    </row>
    <row r="85" spans="3:27" ht="33" customHeight="1">
      <c r="C85" s="107">
        <v>37</v>
      </c>
      <c r="D85" s="26"/>
      <c r="E85" s="27"/>
      <c r="F85" s="26"/>
      <c r="G85" s="26" t="s">
        <v>1</v>
      </c>
      <c r="H85" s="148"/>
      <c r="I85" s="148"/>
      <c r="J85" s="148"/>
      <c r="K85" s="148"/>
      <c r="L85" s="148"/>
      <c r="M85" s="148"/>
      <c r="N85" s="148"/>
      <c r="O85" s="26" t="s">
        <v>1</v>
      </c>
      <c r="P85" s="28"/>
      <c r="Q85" s="149"/>
      <c r="R85" s="149"/>
      <c r="S85" s="151"/>
      <c r="T85" s="151"/>
      <c r="U85" s="151"/>
      <c r="V85" s="151"/>
      <c r="W85" s="151"/>
      <c r="X85" s="29"/>
      <c r="Y85" s="150"/>
      <c r="Z85" s="150"/>
      <c r="AA85" s="15" t="str">
        <f t="shared" si="5"/>
        <v/>
      </c>
    </row>
    <row r="86" spans="3:27" ht="33" customHeight="1">
      <c r="C86" s="107">
        <v>38</v>
      </c>
      <c r="D86" s="26"/>
      <c r="E86" s="27"/>
      <c r="F86" s="26"/>
      <c r="G86" s="26" t="s">
        <v>1</v>
      </c>
      <c r="H86" s="148"/>
      <c r="I86" s="148"/>
      <c r="J86" s="148"/>
      <c r="K86" s="148"/>
      <c r="L86" s="148"/>
      <c r="M86" s="148"/>
      <c r="N86" s="148"/>
      <c r="O86" s="26" t="s">
        <v>1</v>
      </c>
      <c r="P86" s="28"/>
      <c r="Q86" s="149"/>
      <c r="R86" s="149"/>
      <c r="S86" s="151"/>
      <c r="T86" s="151"/>
      <c r="U86" s="151"/>
      <c r="V86" s="151"/>
      <c r="W86" s="151"/>
      <c r="X86" s="29"/>
      <c r="Y86" s="150"/>
      <c r="Z86" s="150"/>
      <c r="AA86" s="15" t="str">
        <f t="shared" si="5"/>
        <v/>
      </c>
    </row>
    <row r="87" spans="3:27" ht="33" customHeight="1">
      <c r="C87" s="107">
        <v>39</v>
      </c>
      <c r="D87" s="26"/>
      <c r="E87" s="27"/>
      <c r="F87" s="26"/>
      <c r="G87" s="26" t="s">
        <v>1</v>
      </c>
      <c r="H87" s="148"/>
      <c r="I87" s="148"/>
      <c r="J87" s="148"/>
      <c r="K87" s="148"/>
      <c r="L87" s="148"/>
      <c r="M87" s="148"/>
      <c r="N87" s="148"/>
      <c r="O87" s="26" t="s">
        <v>1</v>
      </c>
      <c r="P87" s="28"/>
      <c r="Q87" s="149"/>
      <c r="R87" s="149"/>
      <c r="S87" s="151"/>
      <c r="T87" s="151"/>
      <c r="U87" s="151"/>
      <c r="V87" s="151"/>
      <c r="W87" s="151"/>
      <c r="X87" s="29"/>
      <c r="Y87" s="150"/>
      <c r="Z87" s="150"/>
      <c r="AA87" s="15" t="str">
        <f t="shared" si="5"/>
        <v/>
      </c>
    </row>
    <row r="88" spans="3:27" ht="33" customHeight="1">
      <c r="C88" s="107">
        <v>40</v>
      </c>
      <c r="D88" s="26"/>
      <c r="E88" s="27"/>
      <c r="F88" s="26"/>
      <c r="G88" s="26" t="s">
        <v>1</v>
      </c>
      <c r="H88" s="148"/>
      <c r="I88" s="148"/>
      <c r="J88" s="148"/>
      <c r="K88" s="148"/>
      <c r="L88" s="148"/>
      <c r="M88" s="148"/>
      <c r="N88" s="148"/>
      <c r="O88" s="26" t="s">
        <v>1</v>
      </c>
      <c r="P88" s="28"/>
      <c r="Q88" s="149"/>
      <c r="R88" s="149"/>
      <c r="S88" s="151"/>
      <c r="T88" s="151"/>
      <c r="U88" s="151"/>
      <c r="V88" s="151"/>
      <c r="W88" s="151"/>
      <c r="X88" s="29"/>
      <c r="Y88" s="150"/>
      <c r="Z88" s="150"/>
      <c r="AA88" s="15" t="str">
        <f t="shared" si="5"/>
        <v/>
      </c>
    </row>
    <row r="89" spans="3:27" ht="33" customHeight="1">
      <c r="C89" s="107">
        <v>41</v>
      </c>
      <c r="D89" s="26"/>
      <c r="E89" s="27"/>
      <c r="F89" s="26"/>
      <c r="G89" s="26" t="s">
        <v>1</v>
      </c>
      <c r="H89" s="148"/>
      <c r="I89" s="148"/>
      <c r="J89" s="148"/>
      <c r="K89" s="148"/>
      <c r="L89" s="148"/>
      <c r="M89" s="148"/>
      <c r="N89" s="148"/>
      <c r="O89" s="26" t="s">
        <v>1</v>
      </c>
      <c r="P89" s="28"/>
      <c r="Q89" s="149"/>
      <c r="R89" s="149"/>
      <c r="S89" s="151"/>
      <c r="T89" s="151"/>
      <c r="U89" s="151"/>
      <c r="V89" s="151"/>
      <c r="W89" s="151"/>
      <c r="X89" s="29"/>
      <c r="Y89" s="150"/>
      <c r="Z89" s="150"/>
      <c r="AA89" s="15" t="str">
        <f t="shared" si="5"/>
        <v/>
      </c>
    </row>
    <row r="90" spans="3:27" ht="33" customHeight="1">
      <c r="C90" s="107">
        <v>42</v>
      </c>
      <c r="D90" s="26"/>
      <c r="E90" s="27"/>
      <c r="F90" s="26"/>
      <c r="G90" s="26" t="s">
        <v>1</v>
      </c>
      <c r="H90" s="148"/>
      <c r="I90" s="148"/>
      <c r="J90" s="148"/>
      <c r="K90" s="148"/>
      <c r="L90" s="148"/>
      <c r="M90" s="148"/>
      <c r="N90" s="148"/>
      <c r="O90" s="26" t="s">
        <v>1</v>
      </c>
      <c r="P90" s="28"/>
      <c r="Q90" s="149"/>
      <c r="R90" s="149"/>
      <c r="S90" s="151"/>
      <c r="T90" s="151"/>
      <c r="U90" s="151"/>
      <c r="V90" s="151"/>
      <c r="W90" s="151"/>
      <c r="X90" s="29"/>
      <c r="Y90" s="150"/>
      <c r="Z90" s="150"/>
      <c r="AA90" s="15" t="str">
        <f t="shared" si="5"/>
        <v/>
      </c>
    </row>
    <row r="91" spans="3:27" ht="33" customHeight="1">
      <c r="C91" s="107">
        <v>43</v>
      </c>
      <c r="D91" s="26"/>
      <c r="E91" s="27"/>
      <c r="F91" s="26"/>
      <c r="G91" s="26" t="s">
        <v>1</v>
      </c>
      <c r="H91" s="148"/>
      <c r="I91" s="148"/>
      <c r="J91" s="148"/>
      <c r="K91" s="148"/>
      <c r="L91" s="148"/>
      <c r="M91" s="148"/>
      <c r="N91" s="148"/>
      <c r="O91" s="26" t="s">
        <v>1</v>
      </c>
      <c r="P91" s="28"/>
      <c r="Q91" s="149"/>
      <c r="R91" s="149"/>
      <c r="S91" s="151"/>
      <c r="T91" s="151"/>
      <c r="U91" s="151"/>
      <c r="V91" s="151"/>
      <c r="W91" s="151"/>
      <c r="X91" s="29"/>
      <c r="Y91" s="150"/>
      <c r="Z91" s="150"/>
      <c r="AA91" s="15" t="str">
        <f t="shared" si="5"/>
        <v/>
      </c>
    </row>
    <row r="92" spans="3:27" ht="33" customHeight="1">
      <c r="C92" s="107">
        <v>44</v>
      </c>
      <c r="D92" s="26"/>
      <c r="E92" s="27"/>
      <c r="F92" s="26"/>
      <c r="G92" s="26" t="s">
        <v>1</v>
      </c>
      <c r="H92" s="148"/>
      <c r="I92" s="148"/>
      <c r="J92" s="148"/>
      <c r="K92" s="148"/>
      <c r="L92" s="148"/>
      <c r="M92" s="148"/>
      <c r="N92" s="148"/>
      <c r="O92" s="26" t="s">
        <v>1</v>
      </c>
      <c r="P92" s="28"/>
      <c r="Q92" s="149"/>
      <c r="R92" s="149"/>
      <c r="S92" s="151"/>
      <c r="T92" s="151"/>
      <c r="U92" s="151"/>
      <c r="V92" s="151"/>
      <c r="W92" s="151"/>
      <c r="X92" s="29"/>
      <c r="Y92" s="150"/>
      <c r="Z92" s="150"/>
      <c r="AA92" s="15" t="str">
        <f t="shared" si="5"/>
        <v/>
      </c>
    </row>
    <row r="93" spans="3:27" ht="33" customHeight="1">
      <c r="C93" s="107">
        <v>45</v>
      </c>
      <c r="D93" s="26"/>
      <c r="E93" s="27"/>
      <c r="F93" s="26"/>
      <c r="G93" s="26" t="s">
        <v>1</v>
      </c>
      <c r="H93" s="148"/>
      <c r="I93" s="148"/>
      <c r="J93" s="148"/>
      <c r="K93" s="148"/>
      <c r="L93" s="148"/>
      <c r="M93" s="148"/>
      <c r="N93" s="148"/>
      <c r="O93" s="26" t="s">
        <v>1</v>
      </c>
      <c r="P93" s="28"/>
      <c r="Q93" s="149"/>
      <c r="R93" s="149"/>
      <c r="S93" s="151"/>
      <c r="T93" s="151"/>
      <c r="U93" s="151"/>
      <c r="V93" s="151"/>
      <c r="W93" s="151"/>
      <c r="X93" s="29"/>
      <c r="Y93" s="150"/>
      <c r="Z93" s="150"/>
      <c r="AA93" s="15" t="str">
        <f t="shared" si="5"/>
        <v/>
      </c>
    </row>
    <row r="94" spans="3:27" ht="33" customHeight="1">
      <c r="C94" s="107">
        <v>46</v>
      </c>
      <c r="D94" s="26"/>
      <c r="E94" s="27"/>
      <c r="F94" s="26"/>
      <c r="G94" s="26" t="s">
        <v>1</v>
      </c>
      <c r="H94" s="148"/>
      <c r="I94" s="148"/>
      <c r="J94" s="148"/>
      <c r="K94" s="148"/>
      <c r="L94" s="148"/>
      <c r="M94" s="148"/>
      <c r="N94" s="148"/>
      <c r="O94" s="26" t="s">
        <v>1</v>
      </c>
      <c r="P94" s="28"/>
      <c r="Q94" s="149"/>
      <c r="R94" s="149"/>
      <c r="S94" s="151"/>
      <c r="T94" s="151"/>
      <c r="U94" s="151"/>
      <c r="V94" s="151"/>
      <c r="W94" s="151"/>
      <c r="X94" s="29"/>
      <c r="Y94" s="150"/>
      <c r="Z94" s="150"/>
      <c r="AA94" s="15" t="str">
        <f t="shared" si="5"/>
        <v/>
      </c>
    </row>
    <row r="95" spans="3:27" ht="33" customHeight="1">
      <c r="C95" s="107">
        <v>47</v>
      </c>
      <c r="D95" s="26"/>
      <c r="E95" s="27"/>
      <c r="F95" s="26"/>
      <c r="G95" s="26" t="s">
        <v>1</v>
      </c>
      <c r="H95" s="148"/>
      <c r="I95" s="148"/>
      <c r="J95" s="148"/>
      <c r="K95" s="148"/>
      <c r="L95" s="148"/>
      <c r="M95" s="148"/>
      <c r="N95" s="148"/>
      <c r="O95" s="26" t="s">
        <v>1</v>
      </c>
      <c r="P95" s="28"/>
      <c r="Q95" s="149"/>
      <c r="R95" s="149"/>
      <c r="S95" s="151"/>
      <c r="T95" s="151"/>
      <c r="U95" s="151"/>
      <c r="V95" s="151"/>
      <c r="W95" s="151"/>
      <c r="X95" s="29"/>
      <c r="Y95" s="150"/>
      <c r="Z95" s="150"/>
      <c r="AA95" s="15" t="str">
        <f t="shared" si="5"/>
        <v/>
      </c>
    </row>
    <row r="96" spans="3:27" ht="33" customHeight="1">
      <c r="C96" s="107">
        <v>48</v>
      </c>
      <c r="D96" s="26"/>
      <c r="E96" s="27"/>
      <c r="F96" s="26"/>
      <c r="G96" s="26" t="s">
        <v>1</v>
      </c>
      <c r="H96" s="148"/>
      <c r="I96" s="148"/>
      <c r="J96" s="148"/>
      <c r="K96" s="148"/>
      <c r="L96" s="148"/>
      <c r="M96" s="148"/>
      <c r="N96" s="148"/>
      <c r="O96" s="26" t="s">
        <v>1</v>
      </c>
      <c r="P96" s="28"/>
      <c r="Q96" s="149"/>
      <c r="R96" s="149"/>
      <c r="S96" s="151"/>
      <c r="T96" s="151"/>
      <c r="U96" s="151"/>
      <c r="V96" s="151"/>
      <c r="W96" s="151"/>
      <c r="X96" s="29"/>
      <c r="Y96" s="150"/>
      <c r="Z96" s="150"/>
      <c r="AA96" s="15" t="str">
        <f t="shared" si="5"/>
        <v/>
      </c>
    </row>
    <row r="97" spans="3:28" ht="33" customHeight="1">
      <c r="C97" s="107">
        <v>49</v>
      </c>
      <c r="D97" s="26"/>
      <c r="E97" s="27"/>
      <c r="F97" s="26"/>
      <c r="G97" s="26" t="s">
        <v>1</v>
      </c>
      <c r="H97" s="148"/>
      <c r="I97" s="148"/>
      <c r="J97" s="148"/>
      <c r="K97" s="148"/>
      <c r="L97" s="148"/>
      <c r="M97" s="148"/>
      <c r="N97" s="148"/>
      <c r="O97" s="26" t="s">
        <v>1</v>
      </c>
      <c r="P97" s="28"/>
      <c r="Q97" s="149"/>
      <c r="R97" s="149"/>
      <c r="S97" s="151"/>
      <c r="T97" s="151"/>
      <c r="U97" s="151"/>
      <c r="V97" s="151"/>
      <c r="W97" s="151"/>
      <c r="X97" s="29"/>
      <c r="Y97" s="150"/>
      <c r="Z97" s="150"/>
      <c r="AA97" s="15" t="str">
        <f t="shared" si="5"/>
        <v/>
      </c>
    </row>
    <row r="98" spans="3:28" ht="33" customHeight="1">
      <c r="C98" s="107">
        <v>50</v>
      </c>
      <c r="D98" s="26"/>
      <c r="E98" s="27"/>
      <c r="F98" s="26"/>
      <c r="G98" s="26" t="s">
        <v>1</v>
      </c>
      <c r="H98" s="148"/>
      <c r="I98" s="148"/>
      <c r="J98" s="148"/>
      <c r="K98" s="148"/>
      <c r="L98" s="148"/>
      <c r="M98" s="148"/>
      <c r="N98" s="148"/>
      <c r="O98" s="26" t="s">
        <v>1</v>
      </c>
      <c r="P98" s="28"/>
      <c r="Q98" s="149"/>
      <c r="R98" s="149"/>
      <c r="S98" s="151"/>
      <c r="T98" s="151"/>
      <c r="U98" s="151"/>
      <c r="V98" s="151"/>
      <c r="W98" s="151"/>
      <c r="X98" s="29"/>
      <c r="Y98" s="150"/>
      <c r="Z98" s="150"/>
      <c r="AA98" s="15" t="str">
        <f t="shared" si="5"/>
        <v/>
      </c>
    </row>
    <row r="99" spans="3:28" ht="9.9499999999999993" customHeight="1">
      <c r="C99" s="30"/>
      <c r="D99" s="31"/>
      <c r="E99" s="32"/>
      <c r="F99" s="31"/>
      <c r="G99" s="31"/>
      <c r="H99" s="301"/>
      <c r="I99" s="301"/>
      <c r="J99" s="301"/>
      <c r="K99" s="301"/>
      <c r="L99" s="301"/>
      <c r="M99" s="301"/>
      <c r="N99" s="301"/>
      <c r="O99" s="31"/>
      <c r="P99" s="33"/>
      <c r="Q99" s="302"/>
      <c r="R99" s="302"/>
      <c r="S99" s="161"/>
      <c r="T99" s="161"/>
      <c r="U99" s="161"/>
      <c r="V99" s="161"/>
      <c r="W99" s="161"/>
      <c r="X99" s="34"/>
      <c r="Y99" s="160"/>
      <c r="Z99" s="160"/>
      <c r="AA99" s="35" t="str">
        <f t="shared" si="5"/>
        <v/>
      </c>
      <c r="AB99" s="35"/>
    </row>
    <row r="100" spans="3:28" s="13" customFormat="1" ht="16.5">
      <c r="C100" s="13" t="s">
        <v>426</v>
      </c>
    </row>
    <row r="101" spans="3:28" ht="52.5" customHeight="1">
      <c r="C101" s="156" t="s">
        <v>427</v>
      </c>
      <c r="D101" s="157"/>
      <c r="E101" s="157"/>
      <c r="F101" s="157"/>
      <c r="G101" s="157"/>
      <c r="H101" s="158" t="s">
        <v>347</v>
      </c>
      <c r="I101" s="159"/>
      <c r="J101" s="159"/>
      <c r="K101" s="159"/>
      <c r="L101" s="159"/>
      <c r="M101" s="159"/>
      <c r="N101" s="159"/>
      <c r="O101" s="159"/>
      <c r="P101" s="159"/>
      <c r="Q101" s="159"/>
      <c r="R101" s="159"/>
      <c r="S101" s="159"/>
      <c r="T101" s="159"/>
      <c r="U101" s="159"/>
      <c r="V101" s="159"/>
      <c r="W101" s="159"/>
      <c r="X101" s="159"/>
      <c r="Y101" s="159"/>
      <c r="Z101" s="159"/>
    </row>
    <row r="102" spans="3:28">
      <c r="K102" s="36"/>
      <c r="L102" s="36"/>
      <c r="M102" s="36"/>
      <c r="N102" s="36"/>
      <c r="O102" s="36"/>
      <c r="P102" s="36"/>
      <c r="Q102" s="36"/>
      <c r="R102" s="36"/>
      <c r="S102" s="36"/>
      <c r="T102" s="36"/>
      <c r="U102" s="36"/>
      <c r="V102" s="36"/>
      <c r="W102" s="36"/>
      <c r="X102" s="36"/>
      <c r="Y102" s="36"/>
      <c r="Z102" s="36"/>
    </row>
    <row r="103" spans="3:28" ht="16.5">
      <c r="C103" s="15" t="s">
        <v>428</v>
      </c>
      <c r="K103" s="37"/>
      <c r="L103" s="37"/>
      <c r="M103" s="37"/>
      <c r="N103" s="37"/>
      <c r="O103" s="37"/>
      <c r="P103" s="37"/>
      <c r="Q103" s="37"/>
      <c r="R103" s="37"/>
      <c r="S103" s="37"/>
      <c r="T103" s="37"/>
      <c r="U103" s="37"/>
      <c r="V103" s="37"/>
      <c r="W103" s="37"/>
      <c r="X103" s="37"/>
      <c r="Y103" s="37"/>
      <c r="Z103" s="37"/>
    </row>
    <row r="104" spans="3:28" ht="52.5" customHeight="1">
      <c r="C104" s="298" t="s">
        <v>345</v>
      </c>
      <c r="D104" s="299"/>
      <c r="E104" s="299"/>
      <c r="F104" s="299"/>
      <c r="G104" s="299"/>
      <c r="H104" s="299"/>
      <c r="I104" s="299"/>
      <c r="J104" s="299"/>
      <c r="K104" s="299"/>
      <c r="L104" s="299"/>
      <c r="M104" s="299"/>
      <c r="N104" s="299"/>
      <c r="O104" s="299"/>
      <c r="P104" s="299"/>
      <c r="Q104" s="299"/>
      <c r="R104" s="299"/>
      <c r="S104" s="299"/>
      <c r="T104" s="299"/>
      <c r="U104" s="299"/>
      <c r="V104" s="299"/>
      <c r="W104" s="299"/>
      <c r="X104" s="299"/>
      <c r="Y104" s="299"/>
      <c r="Z104" s="300"/>
    </row>
  </sheetData>
  <dataConsolidate/>
  <mergeCells count="369">
    <mergeCell ref="Q38:S38"/>
    <mergeCell ref="E40:K40"/>
    <mergeCell ref="Q43:S43"/>
    <mergeCell ref="W28:X28"/>
    <mergeCell ref="Y28:Z28"/>
    <mergeCell ref="J2:X2"/>
    <mergeCell ref="C23:F24"/>
    <mergeCell ref="X47:X48"/>
    <mergeCell ref="Y47:Z48"/>
    <mergeCell ref="C47:C48"/>
    <mergeCell ref="D47:E47"/>
    <mergeCell ref="F47:F48"/>
    <mergeCell ref="G47:G48"/>
    <mergeCell ref="T38:U38"/>
    <mergeCell ref="P47:P48"/>
    <mergeCell ref="S47:W48"/>
    <mergeCell ref="J30:K30"/>
    <mergeCell ref="J31:K31"/>
    <mergeCell ref="L30:M30"/>
    <mergeCell ref="L31:M31"/>
    <mergeCell ref="E33:K34"/>
    <mergeCell ref="L33:P34"/>
    <mergeCell ref="N31:O31"/>
    <mergeCell ref="P31:Q31"/>
    <mergeCell ref="C44:D44"/>
    <mergeCell ref="E44:K44"/>
    <mergeCell ref="L44:P44"/>
    <mergeCell ref="Q44:S44"/>
    <mergeCell ref="T44:U44"/>
    <mergeCell ref="T41:U41"/>
    <mergeCell ref="T42:U42"/>
    <mergeCell ref="T43:U43"/>
    <mergeCell ref="Q42:S42"/>
    <mergeCell ref="C42:D42"/>
    <mergeCell ref="C43:D43"/>
    <mergeCell ref="E42:K42"/>
    <mergeCell ref="E43:K43"/>
    <mergeCell ref="L42:P42"/>
    <mergeCell ref="L43:P43"/>
    <mergeCell ref="Q56:R56"/>
    <mergeCell ref="H49:N49"/>
    <mergeCell ref="Q49:R49"/>
    <mergeCell ref="S49:W49"/>
    <mergeCell ref="S69:W69"/>
    <mergeCell ref="Q47:R48"/>
    <mergeCell ref="H88:N88"/>
    <mergeCell ref="Q88:R88"/>
    <mergeCell ref="H80:N80"/>
    <mergeCell ref="Q80:R80"/>
    <mergeCell ref="Q59:R59"/>
    <mergeCell ref="H62:N62"/>
    <mergeCell ref="Q62:R62"/>
    <mergeCell ref="S60:W60"/>
    <mergeCell ref="H74:N74"/>
    <mergeCell ref="H65:N65"/>
    <mergeCell ref="Q65:R65"/>
    <mergeCell ref="S65:W65"/>
    <mergeCell ref="S72:W72"/>
    <mergeCell ref="H83:N83"/>
    <mergeCell ref="H81:N81"/>
    <mergeCell ref="H84:N84"/>
    <mergeCell ref="H47:N48"/>
    <mergeCell ref="O47:O48"/>
    <mergeCell ref="Q74:R74"/>
    <mergeCell ref="S74:W74"/>
    <mergeCell ref="Y74:Z74"/>
    <mergeCell ref="S85:W85"/>
    <mergeCell ref="Y85:Z85"/>
    <mergeCell ref="S78:W78"/>
    <mergeCell ref="S82:W82"/>
    <mergeCell ref="Y82:Z82"/>
    <mergeCell ref="S88:W88"/>
    <mergeCell ref="Y88:Z88"/>
    <mergeCell ref="Q83:R83"/>
    <mergeCell ref="S83:W83"/>
    <mergeCell ref="Y83:Z83"/>
    <mergeCell ref="S80:W80"/>
    <mergeCell ref="Y80:Z80"/>
    <mergeCell ref="S86:W86"/>
    <mergeCell ref="Y86:Z86"/>
    <mergeCell ref="S87:W87"/>
    <mergeCell ref="Y87:Z87"/>
    <mergeCell ref="Q84:R84"/>
    <mergeCell ref="S84:W84"/>
    <mergeCell ref="Y84:Z84"/>
    <mergeCell ref="S75:W75"/>
    <mergeCell ref="H59:N59"/>
    <mergeCell ref="S50:W50"/>
    <mergeCell ref="H56:N56"/>
    <mergeCell ref="Y92:Z92"/>
    <mergeCell ref="Y93:Z93"/>
    <mergeCell ref="H90:N90"/>
    <mergeCell ref="H91:N91"/>
    <mergeCell ref="H92:N92"/>
    <mergeCell ref="H93:N93"/>
    <mergeCell ref="Q86:R86"/>
    <mergeCell ref="H87:N87"/>
    <mergeCell ref="Q87:R87"/>
    <mergeCell ref="Y60:Z60"/>
    <mergeCell ref="H61:N61"/>
    <mergeCell ref="Q61:R61"/>
    <mergeCell ref="Y63:Z63"/>
    <mergeCell ref="H64:N64"/>
    <mergeCell ref="Q64:R64"/>
    <mergeCell ref="S73:W73"/>
    <mergeCell ref="Y55:Z55"/>
    <mergeCell ref="Y91:Z91"/>
    <mergeCell ref="H73:N73"/>
    <mergeCell ref="Q73:R73"/>
    <mergeCell ref="Q89:R89"/>
    <mergeCell ref="C104:Z104"/>
    <mergeCell ref="C35:D35"/>
    <mergeCell ref="E35:K35"/>
    <mergeCell ref="L35:P35"/>
    <mergeCell ref="Q35:S35"/>
    <mergeCell ref="T35:U35"/>
    <mergeCell ref="C36:D36"/>
    <mergeCell ref="E36:K36"/>
    <mergeCell ref="L36:P36"/>
    <mergeCell ref="Q36:S36"/>
    <mergeCell ref="Q95:R95"/>
    <mergeCell ref="H72:N72"/>
    <mergeCell ref="Q72:R72"/>
    <mergeCell ref="Y94:Z94"/>
    <mergeCell ref="Y95:Z95"/>
    <mergeCell ref="Y69:Z69"/>
    <mergeCell ref="Y73:Z73"/>
    <mergeCell ref="Y89:Z89"/>
    <mergeCell ref="Y90:Z90"/>
    <mergeCell ref="H98:N98"/>
    <mergeCell ref="H99:N99"/>
    <mergeCell ref="Q97:R97"/>
    <mergeCell ref="Q98:R98"/>
    <mergeCell ref="Q99:R99"/>
    <mergeCell ref="C26:F26"/>
    <mergeCell ref="G26:H26"/>
    <mergeCell ref="I26:J26"/>
    <mergeCell ref="K26:L26"/>
    <mergeCell ref="M26:N26"/>
    <mergeCell ref="O26:P26"/>
    <mergeCell ref="G25:H25"/>
    <mergeCell ref="I25:J25"/>
    <mergeCell ref="Q33:S34"/>
    <mergeCell ref="C30:G30"/>
    <mergeCell ref="C31:G31"/>
    <mergeCell ref="H30:I30"/>
    <mergeCell ref="H31:I31"/>
    <mergeCell ref="C33:D34"/>
    <mergeCell ref="Q26:R26"/>
    <mergeCell ref="S26:T26"/>
    <mergeCell ref="H29:I29"/>
    <mergeCell ref="J29:K29"/>
    <mergeCell ref="L29:M29"/>
    <mergeCell ref="H28:M28"/>
    <mergeCell ref="C28:G29"/>
    <mergeCell ref="T33:U34"/>
    <mergeCell ref="R31:S31"/>
    <mergeCell ref="C25:F25"/>
    <mergeCell ref="S23:T23"/>
    <mergeCell ref="U23:Z23"/>
    <mergeCell ref="G20:J20"/>
    <mergeCell ref="G21:J21"/>
    <mergeCell ref="U26:V26"/>
    <mergeCell ref="K25:L25"/>
    <mergeCell ref="M25:N25"/>
    <mergeCell ref="O25:P25"/>
    <mergeCell ref="Q25:R25"/>
    <mergeCell ref="S25:T25"/>
    <mergeCell ref="U25:V25"/>
    <mergeCell ref="X25:Z25"/>
    <mergeCell ref="C3:F3"/>
    <mergeCell ref="G3:Q3"/>
    <mergeCell ref="R3:T4"/>
    <mergeCell ref="U3:Z4"/>
    <mergeCell ref="C4:F16"/>
    <mergeCell ref="G4:Q6"/>
    <mergeCell ref="R5:T6"/>
    <mergeCell ref="U5:Z6"/>
    <mergeCell ref="G7:Q7"/>
    <mergeCell ref="R7:T8"/>
    <mergeCell ref="U12:W16"/>
    <mergeCell ref="X12:Z16"/>
    <mergeCell ref="G16:K16"/>
    <mergeCell ref="L16:T16"/>
    <mergeCell ref="G12:T15"/>
    <mergeCell ref="U7:Z8"/>
    <mergeCell ref="G8:Q10"/>
    <mergeCell ref="R9:T10"/>
    <mergeCell ref="U9:Z10"/>
    <mergeCell ref="G11:T11"/>
    <mergeCell ref="U11:W11"/>
    <mergeCell ref="X11:Z11"/>
    <mergeCell ref="C20:F20"/>
    <mergeCell ref="K21:M21"/>
    <mergeCell ref="N21:T21"/>
    <mergeCell ref="K20:M20"/>
    <mergeCell ref="N20:T20"/>
    <mergeCell ref="E38:K38"/>
    <mergeCell ref="C19:F19"/>
    <mergeCell ref="G19:Z19"/>
    <mergeCell ref="C21:F21"/>
    <mergeCell ref="G23:H23"/>
    <mergeCell ref="I23:J23"/>
    <mergeCell ref="K23:L23"/>
    <mergeCell ref="M23:N23"/>
    <mergeCell ref="O23:P23"/>
    <mergeCell ref="Q23:R23"/>
    <mergeCell ref="N28:S28"/>
    <mergeCell ref="N29:O29"/>
    <mergeCell ref="P29:Q29"/>
    <mergeCell ref="R29:S29"/>
    <mergeCell ref="N30:O30"/>
    <mergeCell ref="P30:Q30"/>
    <mergeCell ref="R30:S30"/>
    <mergeCell ref="G24:H24"/>
    <mergeCell ref="I24:Z24"/>
    <mergeCell ref="V33:V34"/>
    <mergeCell ref="W33:X33"/>
    <mergeCell ref="Y33:Z33"/>
    <mergeCell ref="C40:D40"/>
    <mergeCell ref="C41:D41"/>
    <mergeCell ref="E39:K39"/>
    <mergeCell ref="L39:P39"/>
    <mergeCell ref="Q39:S39"/>
    <mergeCell ref="T39:U39"/>
    <mergeCell ref="T36:U36"/>
    <mergeCell ref="C37:D37"/>
    <mergeCell ref="E37:K37"/>
    <mergeCell ref="L37:P37"/>
    <mergeCell ref="Q37:S37"/>
    <mergeCell ref="T37:U37"/>
    <mergeCell ref="E41:K41"/>
    <mergeCell ref="L40:P40"/>
    <mergeCell ref="L41:P41"/>
    <mergeCell ref="T40:U40"/>
    <mergeCell ref="C38:D38"/>
    <mergeCell ref="Q40:S40"/>
    <mergeCell ref="Q41:S41"/>
    <mergeCell ref="C39:D39"/>
    <mergeCell ref="L38:P38"/>
    <mergeCell ref="C45:D45"/>
    <mergeCell ref="T45:U45"/>
    <mergeCell ref="Q45:S45"/>
    <mergeCell ref="L45:P45"/>
    <mergeCell ref="E45:K45"/>
    <mergeCell ref="H94:N94"/>
    <mergeCell ref="H95:N95"/>
    <mergeCell ref="Q91:R91"/>
    <mergeCell ref="Q92:R92"/>
    <mergeCell ref="Q93:R93"/>
    <mergeCell ref="Q94:R94"/>
    <mergeCell ref="H69:N69"/>
    <mergeCell ref="Q69:R69"/>
    <mergeCell ref="H75:N75"/>
    <mergeCell ref="Q75:R75"/>
    <mergeCell ref="H71:N71"/>
    <mergeCell ref="Q71:R71"/>
    <mergeCell ref="Q78:R78"/>
    <mergeCell ref="H86:N86"/>
    <mergeCell ref="S63:W63"/>
    <mergeCell ref="S61:W61"/>
    <mergeCell ref="H67:N67"/>
    <mergeCell ref="Q67:R67"/>
    <mergeCell ref="H70:N70"/>
    <mergeCell ref="C101:G101"/>
    <mergeCell ref="H101:Z101"/>
    <mergeCell ref="S89:W89"/>
    <mergeCell ref="S90:W90"/>
    <mergeCell ref="S91:W91"/>
    <mergeCell ref="S92:W92"/>
    <mergeCell ref="S93:W93"/>
    <mergeCell ref="S94:W94"/>
    <mergeCell ref="S95:W95"/>
    <mergeCell ref="S96:W96"/>
    <mergeCell ref="Y99:Z99"/>
    <mergeCell ref="S99:W99"/>
    <mergeCell ref="Y96:Z96"/>
    <mergeCell ref="Y97:Z97"/>
    <mergeCell ref="Y98:Z98"/>
    <mergeCell ref="H96:N96"/>
    <mergeCell ref="Q96:R96"/>
    <mergeCell ref="S97:W97"/>
    <mergeCell ref="S98:W98"/>
    <mergeCell ref="H97:N97"/>
    <mergeCell ref="Q90:R90"/>
    <mergeCell ref="H89:N89"/>
    <mergeCell ref="H53:N53"/>
    <mergeCell ref="Q53:R53"/>
    <mergeCell ref="S53:W53"/>
    <mergeCell ref="Y53:Z53"/>
    <mergeCell ref="H54:N54"/>
    <mergeCell ref="Q54:R54"/>
    <mergeCell ref="Q70:R70"/>
    <mergeCell ref="S70:W70"/>
    <mergeCell ref="Y70:Z70"/>
    <mergeCell ref="S62:W62"/>
    <mergeCell ref="Y62:Z62"/>
    <mergeCell ref="H63:N63"/>
    <mergeCell ref="Q63:R63"/>
    <mergeCell ref="Y57:Z57"/>
    <mergeCell ref="H58:N58"/>
    <mergeCell ref="Q58:R58"/>
    <mergeCell ref="Y61:Z61"/>
    <mergeCell ref="S64:W64"/>
    <mergeCell ref="Y64:Z64"/>
    <mergeCell ref="S59:W59"/>
    <mergeCell ref="Y59:Z59"/>
    <mergeCell ref="H60:N60"/>
    <mergeCell ref="Q60:R60"/>
    <mergeCell ref="Y65:Z65"/>
    <mergeCell ref="Y49:Z49"/>
    <mergeCell ref="H50:N50"/>
    <mergeCell ref="Q50:R50"/>
    <mergeCell ref="S58:W58"/>
    <mergeCell ref="Y58:Z58"/>
    <mergeCell ref="S54:W54"/>
    <mergeCell ref="Y54:Z54"/>
    <mergeCell ref="H52:N52"/>
    <mergeCell ref="Q52:R52"/>
    <mergeCell ref="S52:W52"/>
    <mergeCell ref="Y52:Z52"/>
    <mergeCell ref="H55:N55"/>
    <mergeCell ref="Q55:R55"/>
    <mergeCell ref="S56:W56"/>
    <mergeCell ref="Y56:Z56"/>
    <mergeCell ref="H57:N57"/>
    <mergeCell ref="Q57:R57"/>
    <mergeCell ref="S57:W57"/>
    <mergeCell ref="Y50:Z50"/>
    <mergeCell ref="H51:N51"/>
    <mergeCell ref="Q51:R51"/>
    <mergeCell ref="S51:W51"/>
    <mergeCell ref="Y51:Z51"/>
    <mergeCell ref="S55:W55"/>
    <mergeCell ref="H66:N66"/>
    <mergeCell ref="S67:W67"/>
    <mergeCell ref="H68:N68"/>
    <mergeCell ref="Q68:R68"/>
    <mergeCell ref="S68:W68"/>
    <mergeCell ref="Y68:Z68"/>
    <mergeCell ref="S71:W71"/>
    <mergeCell ref="Y71:Z71"/>
    <mergeCell ref="Y72:Z72"/>
    <mergeCell ref="Q66:R66"/>
    <mergeCell ref="S66:W66"/>
    <mergeCell ref="Y66:Z66"/>
    <mergeCell ref="Y67:Z67"/>
    <mergeCell ref="H82:N82"/>
    <mergeCell ref="Q82:R82"/>
    <mergeCell ref="Y75:Z75"/>
    <mergeCell ref="H85:N85"/>
    <mergeCell ref="Q85:R85"/>
    <mergeCell ref="Y79:Z79"/>
    <mergeCell ref="H76:N76"/>
    <mergeCell ref="Q76:R76"/>
    <mergeCell ref="S76:W76"/>
    <mergeCell ref="Y76:Z76"/>
    <mergeCell ref="H77:N77"/>
    <mergeCell ref="Q77:R77"/>
    <mergeCell ref="S77:W77"/>
    <mergeCell ref="Y77:Z77"/>
    <mergeCell ref="H78:N78"/>
    <mergeCell ref="H79:N79"/>
    <mergeCell ref="Q79:R79"/>
    <mergeCell ref="S79:W79"/>
    <mergeCell ref="Y78:Z78"/>
    <mergeCell ref="Q81:R81"/>
    <mergeCell ref="S81:W81"/>
    <mergeCell ref="Y81:Z81"/>
  </mergeCells>
  <conditionalFormatting sqref="O23:R23">
    <cfRule type="expression" dxfId="204" priority="262">
      <formula>$G$20="Team"</formula>
    </cfRule>
  </conditionalFormatting>
  <conditionalFormatting sqref="C25:Z25 G23:R23">
    <cfRule type="expression" dxfId="203" priority="264">
      <formula>$G$20="Pass-around"</formula>
    </cfRule>
  </conditionalFormatting>
  <conditionalFormatting sqref="C26:H26 G23:J23 O23:R23 K26:L26 O26:P26 S26:V26">
    <cfRule type="expression" dxfId="202" priority="263">
      <formula>$G$20="Walk-through"</formula>
    </cfRule>
  </conditionalFormatting>
  <conditionalFormatting sqref="O55:R99 X54:Z99 P54:R54 O53:O54">
    <cfRule type="expression" dxfId="201" priority="261">
      <formula>$G53="Q&amp;A"</formula>
    </cfRule>
  </conditionalFormatting>
  <conditionalFormatting sqref="A1:XFD1 AA2:XFD2 A3:XFD4 A2:J2 A23:C23 A24:B24 G24:H24 A22:XFD22 A20:J20 A25:XFD25 A28:T29 AA28:XFD31 A32:XFD34 A17:XFD18 A12:F15 A16:K16 AA12:XFD16 A11:XFD11 A5:T10 AA5:XFD10 A19:F19 AA19:XFD19 A21:M21 U20:XFD21 G23:T23 AA23:XFD24 A27:XFD27 A26:H26 K26:L26 O26:P26 S26:XFD26 A30:G31 N30:T31 A45:XFD48 V35:XFD35 A102:XFD103 A101:G101 AA101:XFD101 A105:XFD1048576 A104:B104 AA104:XFD104 P54:XFD54 S52:W52 A44:W44 X36:XFD44 Q43:W43 V36:W42 O53:O54 A43:K43 A35:D42 A61:XFD100 A49:C60 O55:XFD60 AA49:XFD53 G56:G60">
    <cfRule type="cellIs" dxfId="200" priority="265" operator="equal">
      <formula>"(Select)"</formula>
    </cfRule>
  </conditionalFormatting>
  <conditionalFormatting sqref="K21:M21">
    <cfRule type="expression" dxfId="199" priority="260">
      <formula>$G21="use 'Peer Review Checklist' sheet"</formula>
    </cfRule>
  </conditionalFormatting>
  <conditionalFormatting sqref="N20">
    <cfRule type="cellIs" dxfId="198" priority="259" operator="equal">
      <formula>"(Select)"</formula>
    </cfRule>
  </conditionalFormatting>
  <conditionalFormatting sqref="K20:M20">
    <cfRule type="cellIs" dxfId="197" priority="258" operator="equal">
      <formula>"(Select)"</formula>
    </cfRule>
  </conditionalFormatting>
  <conditionalFormatting sqref="K20:M20">
    <cfRule type="expression" dxfId="196" priority="257">
      <formula>$G20="use 'Peer Review Checklist' sheet"</formula>
    </cfRule>
  </conditionalFormatting>
  <conditionalFormatting sqref="O55:Z98 S52:W52 P54:Z54 O53:O54">
    <cfRule type="expression" dxfId="195" priority="255">
      <formula>$G52="proceedings"</formula>
    </cfRule>
  </conditionalFormatting>
  <conditionalFormatting sqref="O55:Z98 S52:W52 P54:Z54 O53:O54">
    <cfRule type="expression" dxfId="194" priority="254">
      <formula>$G52="proceedings"</formula>
    </cfRule>
  </conditionalFormatting>
  <conditionalFormatting sqref="O55:Z98 S52:W52 P54:Z54 O53:O54">
    <cfRule type="expression" dxfId="193" priority="253">
      <formula>$G52="proceedings"</formula>
    </cfRule>
  </conditionalFormatting>
  <conditionalFormatting sqref="U28:Z31">
    <cfRule type="cellIs" dxfId="192" priority="252" operator="equal">
      <formula>"(Select)"</formula>
    </cfRule>
  </conditionalFormatting>
  <conditionalFormatting sqref="G12:T15">
    <cfRule type="cellIs" dxfId="191" priority="251" operator="equal">
      <formula>"(Select)"</formula>
    </cfRule>
  </conditionalFormatting>
  <conditionalFormatting sqref="L16:T16">
    <cfRule type="cellIs" dxfId="190" priority="250" operator="equal">
      <formula>"(Select)"</formula>
    </cfRule>
  </conditionalFormatting>
  <conditionalFormatting sqref="U5:Z10">
    <cfRule type="cellIs" dxfId="189" priority="249" operator="equal">
      <formula>"(Select)"</formula>
    </cfRule>
  </conditionalFormatting>
  <conditionalFormatting sqref="U12:Z16">
    <cfRule type="cellIs" dxfId="188" priority="248" operator="equal">
      <formula>"(Select)"</formula>
    </cfRule>
  </conditionalFormatting>
  <conditionalFormatting sqref="G19:Z19">
    <cfRule type="cellIs" dxfId="187" priority="247" operator="equal">
      <formula>"(Select)"</formula>
    </cfRule>
  </conditionalFormatting>
  <conditionalFormatting sqref="N21:T21">
    <cfRule type="cellIs" dxfId="186" priority="246" operator="equal">
      <formula>"(Select)"</formula>
    </cfRule>
  </conditionalFormatting>
  <conditionalFormatting sqref="N21:T21">
    <cfRule type="expression" dxfId="185" priority="245">
      <formula>$G21="use 'Peer Review Checklist' sheet"</formula>
    </cfRule>
  </conditionalFormatting>
  <conditionalFormatting sqref="U23:Z23">
    <cfRule type="cellIs" dxfId="184" priority="244" operator="equal">
      <formula>"(Select)"</formula>
    </cfRule>
  </conditionalFormatting>
  <conditionalFormatting sqref="I24:Z24">
    <cfRule type="cellIs" dxfId="183" priority="243" operator="equal">
      <formula>"(Select)"</formula>
    </cfRule>
  </conditionalFormatting>
  <conditionalFormatting sqref="I26:J26">
    <cfRule type="expression" dxfId="182" priority="241">
      <formula>$G$20="Walk-through"</formula>
    </cfRule>
  </conditionalFormatting>
  <conditionalFormatting sqref="I26:J26">
    <cfRule type="cellIs" dxfId="181" priority="242" operator="equal">
      <formula>"(Select)"</formula>
    </cfRule>
  </conditionalFormatting>
  <conditionalFormatting sqref="Q26:R26">
    <cfRule type="expression" dxfId="180" priority="237">
      <formula>$G$20="Walk-through"</formula>
    </cfRule>
  </conditionalFormatting>
  <conditionalFormatting sqref="Q26:R26">
    <cfRule type="cellIs" dxfId="179" priority="238" operator="equal">
      <formula>"(Select)"</formula>
    </cfRule>
  </conditionalFormatting>
  <conditionalFormatting sqref="H30:M31">
    <cfRule type="cellIs" dxfId="178" priority="236" operator="equal">
      <formula>"(Select)"</formula>
    </cfRule>
  </conditionalFormatting>
  <conditionalFormatting sqref="Q35:U35">
    <cfRule type="cellIs" dxfId="177" priority="235" operator="equal">
      <formula>"(Select)"</formula>
    </cfRule>
  </conditionalFormatting>
  <conditionalFormatting sqref="E35:P35">
    <cfRule type="cellIs" dxfId="176" priority="234" operator="equal">
      <formula>"(Select)"</formula>
    </cfRule>
  </conditionalFormatting>
  <conditionalFormatting sqref="T36:U36">
    <cfRule type="cellIs" dxfId="175" priority="233" operator="equal">
      <formula>"(Select)"</formula>
    </cfRule>
  </conditionalFormatting>
  <conditionalFormatting sqref="T37:U37">
    <cfRule type="cellIs" dxfId="174" priority="232" operator="equal">
      <formula>"(Select)"</formula>
    </cfRule>
  </conditionalFormatting>
  <conditionalFormatting sqref="D49:E49">
    <cfRule type="cellIs" dxfId="173" priority="224" operator="equal">
      <formula>"(Select)"</formula>
    </cfRule>
  </conditionalFormatting>
  <conditionalFormatting sqref="F49:F50">
    <cfRule type="cellIs" dxfId="172" priority="218" operator="equal">
      <formula>"(Select)"</formula>
    </cfRule>
  </conditionalFormatting>
  <conditionalFormatting sqref="S50:W50">
    <cfRule type="cellIs" dxfId="171" priority="210" operator="equal">
      <formula>"(Select)"</formula>
    </cfRule>
  </conditionalFormatting>
  <conditionalFormatting sqref="S50:W50">
    <cfRule type="expression" dxfId="170" priority="208">
      <formula>$G50="proceedings"</formula>
    </cfRule>
  </conditionalFormatting>
  <conditionalFormatting sqref="S50:W50">
    <cfRule type="expression" dxfId="169" priority="207">
      <formula>$G50="proceedings"</formula>
    </cfRule>
  </conditionalFormatting>
  <conditionalFormatting sqref="S50:W50">
    <cfRule type="expression" dxfId="168" priority="206">
      <formula>$G50="proceedings"</formula>
    </cfRule>
  </conditionalFormatting>
  <conditionalFormatting sqref="P53:R53">
    <cfRule type="expression" dxfId="167" priority="191">
      <formula>$G53="Q&amp;A"</formula>
    </cfRule>
  </conditionalFormatting>
  <conditionalFormatting sqref="P53:W53 S51:W51">
    <cfRule type="cellIs" dxfId="166" priority="192" operator="equal">
      <formula>"(Select)"</formula>
    </cfRule>
  </conditionalFormatting>
  <conditionalFormatting sqref="P53:W53 S51:W51">
    <cfRule type="expression" dxfId="165" priority="190">
      <formula>$G51="proceedings"</formula>
    </cfRule>
  </conditionalFormatting>
  <conditionalFormatting sqref="P53:W53 S51:W51">
    <cfRule type="expression" dxfId="164" priority="189">
      <formula>$G51="proceedings"</formula>
    </cfRule>
  </conditionalFormatting>
  <conditionalFormatting sqref="P53:W53 S51:W51">
    <cfRule type="expression" dxfId="163" priority="188">
      <formula>$G51="proceedings"</formula>
    </cfRule>
  </conditionalFormatting>
  <conditionalFormatting sqref="X53:Z53">
    <cfRule type="expression" dxfId="162" priority="186">
      <formula>$G53="Q&amp;A"</formula>
    </cfRule>
  </conditionalFormatting>
  <conditionalFormatting sqref="X53:Z53">
    <cfRule type="cellIs" dxfId="161" priority="187" operator="equal">
      <formula>"(Select)"</formula>
    </cfRule>
  </conditionalFormatting>
  <conditionalFormatting sqref="X53:Z53">
    <cfRule type="expression" dxfId="160" priority="185">
      <formula>$G53="proceedings"</formula>
    </cfRule>
  </conditionalFormatting>
  <conditionalFormatting sqref="X53:Z53">
    <cfRule type="expression" dxfId="159" priority="184">
      <formula>$G53="proceedings"</formula>
    </cfRule>
  </conditionalFormatting>
  <conditionalFormatting sqref="X53:Z53">
    <cfRule type="expression" dxfId="158" priority="183">
      <formula>$G53="proceedings"</formula>
    </cfRule>
  </conditionalFormatting>
  <conditionalFormatting sqref="H101:Z101">
    <cfRule type="cellIs" dxfId="157" priority="177" operator="equal">
      <formula>"(Select)"</formula>
    </cfRule>
  </conditionalFormatting>
  <conditionalFormatting sqref="C104:Z104">
    <cfRule type="cellIs" dxfId="156" priority="176" operator="equal">
      <formula>"(Select)"</formula>
    </cfRule>
  </conditionalFormatting>
  <conditionalFormatting sqref="M26:N26">
    <cfRule type="expression" dxfId="155" priority="174">
      <formula>$G$20="Walk-through"</formula>
    </cfRule>
  </conditionalFormatting>
  <conditionalFormatting sqref="M26:N26">
    <cfRule type="cellIs" dxfId="154" priority="175" operator="equal">
      <formula>"(Select)"</formula>
    </cfRule>
  </conditionalFormatting>
  <conditionalFormatting sqref="O49:O52">
    <cfRule type="expression" dxfId="153" priority="172">
      <formula>$G49="Q&amp;A"</formula>
    </cfRule>
  </conditionalFormatting>
  <conditionalFormatting sqref="H51:N51 G49 O49:O52">
    <cfRule type="cellIs" dxfId="152" priority="173" operator="equal">
      <formula>"(Select)"</formula>
    </cfRule>
  </conditionalFormatting>
  <conditionalFormatting sqref="O49:O52">
    <cfRule type="expression" dxfId="151" priority="171">
      <formula>$G49="proceedings"</formula>
    </cfRule>
  </conditionalFormatting>
  <conditionalFormatting sqref="O49:O52">
    <cfRule type="expression" dxfId="150" priority="170">
      <formula>$G49="proceedings"</formula>
    </cfRule>
  </conditionalFormatting>
  <conditionalFormatting sqref="O49:O52">
    <cfRule type="expression" dxfId="149" priority="169">
      <formula>$G49="proceedings"</formula>
    </cfRule>
  </conditionalFormatting>
  <conditionalFormatting sqref="D50:E50">
    <cfRule type="cellIs" dxfId="148" priority="168" operator="equal">
      <formula>"(Select)"</formula>
    </cfRule>
  </conditionalFormatting>
  <conditionalFormatting sqref="G50">
    <cfRule type="cellIs" dxfId="147" priority="166" operator="equal">
      <formula>"(Select)"</formula>
    </cfRule>
  </conditionalFormatting>
  <conditionalFormatting sqref="D51:E51">
    <cfRule type="cellIs" dxfId="146" priority="165" operator="equal">
      <formula>"(Select)"</formula>
    </cfRule>
  </conditionalFormatting>
  <conditionalFormatting sqref="F51">
    <cfRule type="cellIs" dxfId="145" priority="164" operator="equal">
      <formula>"(Select)"</formula>
    </cfRule>
  </conditionalFormatting>
  <conditionalFormatting sqref="G51">
    <cfRule type="cellIs" dxfId="144" priority="163" operator="equal">
      <formula>"(Select)"</formula>
    </cfRule>
  </conditionalFormatting>
  <conditionalFormatting sqref="L43:P43">
    <cfRule type="cellIs" dxfId="143" priority="130" operator="equal">
      <formula>"(Select)"</formula>
    </cfRule>
  </conditionalFormatting>
  <conditionalFormatting sqref="T38:U42">
    <cfRule type="cellIs" dxfId="142" priority="129" operator="equal">
      <formula>"(Select)"</formula>
    </cfRule>
  </conditionalFormatting>
  <conditionalFormatting sqref="D49:E49">
    <cfRule type="cellIs" dxfId="141" priority="118" operator="equal">
      <formula>"(Select)"</formula>
    </cfRule>
  </conditionalFormatting>
  <conditionalFormatting sqref="F49:F50">
    <cfRule type="cellIs" dxfId="140" priority="117" operator="equal">
      <formula>"(Select)"</formula>
    </cfRule>
  </conditionalFormatting>
  <conditionalFormatting sqref="D50:E50">
    <cfRule type="cellIs" dxfId="139" priority="116" operator="equal">
      <formula>"(Select)"</formula>
    </cfRule>
  </conditionalFormatting>
  <conditionalFormatting sqref="S49:W49">
    <cfRule type="cellIs" dxfId="138" priority="114" operator="equal">
      <formula>"(Select)"</formula>
    </cfRule>
  </conditionalFormatting>
  <conditionalFormatting sqref="S49:W49">
    <cfRule type="expression" dxfId="137" priority="113">
      <formula>$G49="proceedings"</formula>
    </cfRule>
  </conditionalFormatting>
  <conditionalFormatting sqref="S49:W49">
    <cfRule type="expression" dxfId="136" priority="112">
      <formula>$G49="proceedings"</formula>
    </cfRule>
  </conditionalFormatting>
  <conditionalFormatting sqref="S49:W49">
    <cfRule type="expression" dxfId="135" priority="111">
      <formula>$G49="proceedings"</formula>
    </cfRule>
  </conditionalFormatting>
  <conditionalFormatting sqref="Q49:R49">
    <cfRule type="expression" dxfId="134" priority="109">
      <formula>$G49="Q&amp;A"</formula>
    </cfRule>
  </conditionalFormatting>
  <conditionalFormatting sqref="Q49:R49">
    <cfRule type="cellIs" dxfId="133" priority="110" operator="equal">
      <formula>"(Select)"</formula>
    </cfRule>
  </conditionalFormatting>
  <conditionalFormatting sqref="Q49:R49">
    <cfRule type="expression" dxfId="132" priority="108">
      <formula>$G49="proceedings"</formula>
    </cfRule>
  </conditionalFormatting>
  <conditionalFormatting sqref="Q49:R49">
    <cfRule type="expression" dxfId="131" priority="107">
      <formula>$G49="proceedings"</formula>
    </cfRule>
  </conditionalFormatting>
  <conditionalFormatting sqref="Q49:R49">
    <cfRule type="expression" dxfId="130" priority="106">
      <formula>$G49="proceedings"</formula>
    </cfRule>
  </conditionalFormatting>
  <conditionalFormatting sqref="P49">
    <cfRule type="expression" dxfId="129" priority="104">
      <formula>$G49="Q&amp;A"</formula>
    </cfRule>
  </conditionalFormatting>
  <conditionalFormatting sqref="P49">
    <cfRule type="cellIs" dxfId="128" priority="105" operator="equal">
      <formula>"(Select)"</formula>
    </cfRule>
  </conditionalFormatting>
  <conditionalFormatting sqref="P49">
    <cfRule type="expression" dxfId="127" priority="103">
      <formula>$G49="proceedings"</formula>
    </cfRule>
  </conditionalFormatting>
  <conditionalFormatting sqref="P49">
    <cfRule type="expression" dxfId="126" priority="102">
      <formula>$G49="proceedings"</formula>
    </cfRule>
  </conditionalFormatting>
  <conditionalFormatting sqref="P49">
    <cfRule type="expression" dxfId="125" priority="101">
      <formula>$G49="proceedings"</formula>
    </cfRule>
  </conditionalFormatting>
  <conditionalFormatting sqref="Y49:Z52">
    <cfRule type="expression" dxfId="124" priority="99">
      <formula>$G49="Q&amp;A"</formula>
    </cfRule>
  </conditionalFormatting>
  <conditionalFormatting sqref="Y49:Z52">
    <cfRule type="cellIs" dxfId="123" priority="100" operator="equal">
      <formula>"(Select)"</formula>
    </cfRule>
  </conditionalFormatting>
  <conditionalFormatting sqref="Y49:Z52">
    <cfRule type="expression" dxfId="122" priority="98">
      <formula>$G49="proceedings"</formula>
    </cfRule>
  </conditionalFormatting>
  <conditionalFormatting sqref="Y49:Z52">
    <cfRule type="expression" dxfId="121" priority="97">
      <formula>$G49="proceedings"</formula>
    </cfRule>
  </conditionalFormatting>
  <conditionalFormatting sqref="Y49:Z52">
    <cfRule type="expression" dxfId="120" priority="96">
      <formula>$G49="proceedings"</formula>
    </cfRule>
  </conditionalFormatting>
  <conditionalFormatting sqref="X49:X52">
    <cfRule type="expression" dxfId="119" priority="94">
      <formula>$G49="Q&amp;A"</formula>
    </cfRule>
  </conditionalFormatting>
  <conditionalFormatting sqref="X49:X52">
    <cfRule type="cellIs" dxfId="118" priority="95" operator="equal">
      <formula>"(Select)"</formula>
    </cfRule>
  </conditionalFormatting>
  <conditionalFormatting sqref="X49:X52">
    <cfRule type="expression" dxfId="117" priority="93">
      <formula>$G49="proceedings"</formula>
    </cfRule>
  </conditionalFormatting>
  <conditionalFormatting sqref="X49:X52">
    <cfRule type="expression" dxfId="116" priority="92">
      <formula>$G49="proceedings"</formula>
    </cfRule>
  </conditionalFormatting>
  <conditionalFormatting sqref="X49:X52">
    <cfRule type="expression" dxfId="115" priority="91">
      <formula>$G49="proceedings"</formula>
    </cfRule>
  </conditionalFormatting>
  <conditionalFormatting sqref="Q41:S41">
    <cfRule type="cellIs" dxfId="114" priority="90" operator="equal">
      <formula>"(Select)"</formula>
    </cfRule>
  </conditionalFormatting>
  <conditionalFormatting sqref="E41:P41">
    <cfRule type="cellIs" dxfId="113" priority="89" operator="equal">
      <formula>"(Select)"</formula>
    </cfRule>
  </conditionalFormatting>
  <conditionalFormatting sqref="E42:S42">
    <cfRule type="cellIs" dxfId="112" priority="88" operator="equal">
      <formula>"(Select)"</formula>
    </cfRule>
  </conditionalFormatting>
  <conditionalFormatting sqref="Q40:S40">
    <cfRule type="cellIs" dxfId="111" priority="87" operator="equal">
      <formula>"(Select)"</formula>
    </cfRule>
  </conditionalFormatting>
  <conditionalFormatting sqref="E40:P40">
    <cfRule type="cellIs" dxfId="110" priority="86" operator="equal">
      <formula>"(Select)"</formula>
    </cfRule>
  </conditionalFormatting>
  <conditionalFormatting sqref="Q39:S39">
    <cfRule type="cellIs" dxfId="109" priority="85" operator="equal">
      <formula>"(Select)"</formula>
    </cfRule>
  </conditionalFormatting>
  <conditionalFormatting sqref="E39:P39">
    <cfRule type="cellIs" dxfId="108" priority="84" operator="equal">
      <formula>"(Select)"</formula>
    </cfRule>
  </conditionalFormatting>
  <conditionalFormatting sqref="Q38:S38">
    <cfRule type="cellIs" dxfId="107" priority="83" operator="equal">
      <formula>"(Select)"</formula>
    </cfRule>
  </conditionalFormatting>
  <conditionalFormatting sqref="E38:P38">
    <cfRule type="cellIs" dxfId="106" priority="82" operator="equal">
      <formula>"(Select)"</formula>
    </cfRule>
  </conditionalFormatting>
  <conditionalFormatting sqref="Q36:S37">
    <cfRule type="cellIs" dxfId="105" priority="81" operator="equal">
      <formula>"(Select)"</formula>
    </cfRule>
  </conditionalFormatting>
  <conditionalFormatting sqref="E36:P37">
    <cfRule type="cellIs" dxfId="104" priority="80" operator="equal">
      <formula>"(Select)"</formula>
    </cfRule>
  </conditionalFormatting>
  <conditionalFormatting sqref="H49:N49">
    <cfRule type="cellIs" dxfId="103" priority="79" operator="equal">
      <formula>"(Select)"</formula>
    </cfRule>
  </conditionalFormatting>
  <conditionalFormatting sqref="H50:N50">
    <cfRule type="cellIs" dxfId="102" priority="78" operator="equal">
      <formula>"(Select)"</formula>
    </cfRule>
  </conditionalFormatting>
  <conditionalFormatting sqref="H49:N49">
    <cfRule type="cellIs" dxfId="101" priority="77" operator="equal">
      <formula>"(Select)"</formula>
    </cfRule>
  </conditionalFormatting>
  <conditionalFormatting sqref="H50:N50">
    <cfRule type="cellIs" dxfId="100" priority="76" operator="equal">
      <formula>"(Select)"</formula>
    </cfRule>
  </conditionalFormatting>
  <conditionalFormatting sqref="F52">
    <cfRule type="cellIs" dxfId="99" priority="66" operator="equal">
      <formula>"(Select)"</formula>
    </cfRule>
  </conditionalFormatting>
  <conditionalFormatting sqref="D52:E52">
    <cfRule type="cellIs" dxfId="98" priority="65" operator="equal">
      <formula>"(Select)"</formula>
    </cfRule>
  </conditionalFormatting>
  <conditionalFormatting sqref="G52">
    <cfRule type="cellIs" dxfId="97" priority="64" operator="equal">
      <formula>"(Select)"</formula>
    </cfRule>
  </conditionalFormatting>
  <conditionalFormatting sqref="F52">
    <cfRule type="cellIs" dxfId="96" priority="63" operator="equal">
      <formula>"(Select)"</formula>
    </cfRule>
  </conditionalFormatting>
  <conditionalFormatting sqref="D52:E52">
    <cfRule type="cellIs" dxfId="95" priority="62" operator="equal">
      <formula>"(Select)"</formula>
    </cfRule>
  </conditionalFormatting>
  <conditionalFormatting sqref="H52:N52">
    <cfRule type="cellIs" dxfId="94" priority="61" operator="equal">
      <formula>"(Select)"</formula>
    </cfRule>
  </conditionalFormatting>
  <conditionalFormatting sqref="H52:N52">
    <cfRule type="cellIs" dxfId="93" priority="60" operator="equal">
      <formula>"(Select)"</formula>
    </cfRule>
  </conditionalFormatting>
  <conditionalFormatting sqref="F56:F57">
    <cfRule type="cellIs" dxfId="92" priority="57" operator="equal">
      <formula>"(Select)"</formula>
    </cfRule>
  </conditionalFormatting>
  <conditionalFormatting sqref="D56:E57">
    <cfRule type="cellIs" dxfId="91" priority="56" operator="equal">
      <formula>"(Select)"</formula>
    </cfRule>
  </conditionalFormatting>
  <conditionalFormatting sqref="F56:F57">
    <cfRule type="cellIs" dxfId="90" priority="54" operator="equal">
      <formula>"(Select)"</formula>
    </cfRule>
  </conditionalFormatting>
  <conditionalFormatting sqref="D56:E57">
    <cfRule type="cellIs" dxfId="89" priority="53" operator="equal">
      <formula>"(Select)"</formula>
    </cfRule>
  </conditionalFormatting>
  <conditionalFormatting sqref="H57:N57 H56">
    <cfRule type="cellIs" dxfId="88" priority="50" operator="equal">
      <formula>"(Select)"</formula>
    </cfRule>
  </conditionalFormatting>
  <conditionalFormatting sqref="F58:F60">
    <cfRule type="cellIs" dxfId="87" priority="48" operator="equal">
      <formula>"(Select)"</formula>
    </cfRule>
  </conditionalFormatting>
  <conditionalFormatting sqref="D58:E60">
    <cfRule type="cellIs" dxfId="86" priority="47" operator="equal">
      <formula>"(Select)"</formula>
    </cfRule>
  </conditionalFormatting>
  <conditionalFormatting sqref="F58:F60">
    <cfRule type="cellIs" dxfId="85" priority="45" operator="equal">
      <formula>"(Select)"</formula>
    </cfRule>
  </conditionalFormatting>
  <conditionalFormatting sqref="D58:E60">
    <cfRule type="cellIs" dxfId="84" priority="44" operator="equal">
      <formula>"(Select)"</formula>
    </cfRule>
  </conditionalFormatting>
  <conditionalFormatting sqref="H58:N58">
    <cfRule type="cellIs" dxfId="83" priority="43" operator="equal">
      <formula>"(Select)"</formula>
    </cfRule>
  </conditionalFormatting>
  <conditionalFormatting sqref="H58:N58">
    <cfRule type="cellIs" dxfId="82" priority="42" operator="equal">
      <formula>"(Select)"</formula>
    </cfRule>
  </conditionalFormatting>
  <conditionalFormatting sqref="H60:N60 H59">
    <cfRule type="cellIs" dxfId="81" priority="41" operator="equal">
      <formula>"(Select)"</formula>
    </cfRule>
  </conditionalFormatting>
  <conditionalFormatting sqref="F53:F55">
    <cfRule type="cellIs" dxfId="80" priority="39" operator="equal">
      <formula>"(Select)"</formula>
    </cfRule>
  </conditionalFormatting>
  <conditionalFormatting sqref="D53:E55">
    <cfRule type="cellIs" dxfId="79" priority="38" operator="equal">
      <formula>"(Select)"</formula>
    </cfRule>
  </conditionalFormatting>
  <conditionalFormatting sqref="G53">
    <cfRule type="cellIs" dxfId="78" priority="37" operator="equal">
      <formula>"(Select)"</formula>
    </cfRule>
  </conditionalFormatting>
  <conditionalFormatting sqref="F53:F55">
    <cfRule type="cellIs" dxfId="77" priority="36" operator="equal">
      <formula>"(Select)"</formula>
    </cfRule>
  </conditionalFormatting>
  <conditionalFormatting sqref="D53:E55">
    <cfRule type="cellIs" dxfId="76" priority="35" operator="equal">
      <formula>"(Select)"</formula>
    </cfRule>
  </conditionalFormatting>
  <conditionalFormatting sqref="H53:N53">
    <cfRule type="cellIs" dxfId="75" priority="34" operator="equal">
      <formula>"(Select)"</formula>
    </cfRule>
  </conditionalFormatting>
  <conditionalFormatting sqref="H53:N53">
    <cfRule type="cellIs" dxfId="74" priority="33" operator="equal">
      <formula>"(Select)"</formula>
    </cfRule>
  </conditionalFormatting>
  <conditionalFormatting sqref="H55:N55 G54:H54">
    <cfRule type="cellIs" dxfId="73" priority="32" operator="equal">
      <formula>"(Select)"</formula>
    </cfRule>
  </conditionalFormatting>
  <conditionalFormatting sqref="G55">
    <cfRule type="cellIs" dxfId="72" priority="31" operator="equal">
      <formula>"(Select)"</formula>
    </cfRule>
  </conditionalFormatting>
  <conditionalFormatting sqref="Q50:R50">
    <cfRule type="expression" dxfId="71" priority="29">
      <formula>$G50="Q&amp;A"</formula>
    </cfRule>
  </conditionalFormatting>
  <conditionalFormatting sqref="Q50:R50">
    <cfRule type="cellIs" dxfId="70" priority="30" operator="equal">
      <formula>"(Select)"</formula>
    </cfRule>
  </conditionalFormatting>
  <conditionalFormatting sqref="Q50:R50">
    <cfRule type="expression" dxfId="69" priority="28">
      <formula>$G50="proceedings"</formula>
    </cfRule>
  </conditionalFormatting>
  <conditionalFormatting sqref="Q50:R50">
    <cfRule type="expression" dxfId="68" priority="27">
      <formula>$G50="proceedings"</formula>
    </cfRule>
  </conditionalFormatting>
  <conditionalFormatting sqref="Q50:R50">
    <cfRule type="expression" dxfId="67" priority="26">
      <formula>$G50="proceedings"</formula>
    </cfRule>
  </conditionalFormatting>
  <conditionalFormatting sqref="P50">
    <cfRule type="expression" dxfId="66" priority="24">
      <formula>$G50="Q&amp;A"</formula>
    </cfRule>
  </conditionalFormatting>
  <conditionalFormatting sqref="P50">
    <cfRule type="cellIs" dxfId="65" priority="25" operator="equal">
      <formula>"(Select)"</formula>
    </cfRule>
  </conditionalFormatting>
  <conditionalFormatting sqref="P50">
    <cfRule type="expression" dxfId="64" priority="23">
      <formula>$G50="proceedings"</formula>
    </cfRule>
  </conditionalFormatting>
  <conditionalFormatting sqref="P50">
    <cfRule type="expression" dxfId="63" priority="22">
      <formula>$G50="proceedings"</formula>
    </cfRule>
  </conditionalFormatting>
  <conditionalFormatting sqref="P50">
    <cfRule type="expression" dxfId="62" priority="21">
      <formula>$G50="proceedings"</formula>
    </cfRule>
  </conditionalFormatting>
  <conditionalFormatting sqref="Q51:R51">
    <cfRule type="expression" dxfId="61" priority="19">
      <formula>$G51="Q&amp;A"</formula>
    </cfRule>
  </conditionalFormatting>
  <conditionalFormatting sqref="Q51:R51">
    <cfRule type="cellIs" dxfId="60" priority="20" operator="equal">
      <formula>"(Select)"</formula>
    </cfRule>
  </conditionalFormatting>
  <conditionalFormatting sqref="Q51:R51">
    <cfRule type="expression" dxfId="59" priority="18">
      <formula>$G51="proceedings"</formula>
    </cfRule>
  </conditionalFormatting>
  <conditionalFormatting sqref="Q51:R51">
    <cfRule type="expression" dxfId="58" priority="17">
      <formula>$G51="proceedings"</formula>
    </cfRule>
  </conditionalFormatting>
  <conditionalFormatting sqref="Q51:R51">
    <cfRule type="expression" dxfId="57" priority="16">
      <formula>$G51="proceedings"</formula>
    </cfRule>
  </conditionalFormatting>
  <conditionalFormatting sqref="P51">
    <cfRule type="expression" dxfId="56" priority="14">
      <formula>$G51="Q&amp;A"</formula>
    </cfRule>
  </conditionalFormatting>
  <conditionalFormatting sqref="P51">
    <cfRule type="cellIs" dxfId="55" priority="15" operator="equal">
      <formula>"(Select)"</formula>
    </cfRule>
  </conditionalFormatting>
  <conditionalFormatting sqref="P51">
    <cfRule type="expression" dxfId="54" priority="13">
      <formula>$G51="proceedings"</formula>
    </cfRule>
  </conditionalFormatting>
  <conditionalFormatting sqref="P51">
    <cfRule type="expression" dxfId="53" priority="12">
      <formula>$G51="proceedings"</formula>
    </cfRule>
  </conditionalFormatting>
  <conditionalFormatting sqref="P51">
    <cfRule type="expression" dxfId="52" priority="11">
      <formula>$G51="proceedings"</formula>
    </cfRule>
  </conditionalFormatting>
  <conditionalFormatting sqref="Q52:R52">
    <cfRule type="expression" dxfId="51" priority="9">
      <formula>$G52="Q&amp;A"</formula>
    </cfRule>
  </conditionalFormatting>
  <conditionalFormatting sqref="Q52:R52">
    <cfRule type="cellIs" dxfId="50" priority="10" operator="equal">
      <formula>"(Select)"</formula>
    </cfRule>
  </conditionalFormatting>
  <conditionalFormatting sqref="Q52:R52">
    <cfRule type="expression" dxfId="49" priority="8">
      <formula>$G52="proceedings"</formula>
    </cfRule>
  </conditionalFormatting>
  <conditionalFormatting sqref="Q52:R52">
    <cfRule type="expression" dxfId="48" priority="7">
      <formula>$G52="proceedings"</formula>
    </cfRule>
  </conditionalFormatting>
  <conditionalFormatting sqref="Q52:R52">
    <cfRule type="expression" dxfId="47" priority="6">
      <formula>$G52="proceedings"</formula>
    </cfRule>
  </conditionalFormatting>
  <conditionalFormatting sqref="P52">
    <cfRule type="expression" dxfId="46" priority="4">
      <formula>$G52="Q&amp;A"</formula>
    </cfRule>
  </conditionalFormatting>
  <conditionalFormatting sqref="P52">
    <cfRule type="cellIs" dxfId="45" priority="5" operator="equal">
      <formula>"(Select)"</formula>
    </cfRule>
  </conditionalFormatting>
  <conditionalFormatting sqref="P52">
    <cfRule type="expression" dxfId="44" priority="3">
      <formula>$G52="proceedings"</formula>
    </cfRule>
  </conditionalFormatting>
  <conditionalFormatting sqref="P52">
    <cfRule type="expression" dxfId="43" priority="2">
      <formula>$G52="proceedings"</formula>
    </cfRule>
  </conditionalFormatting>
  <conditionalFormatting sqref="P52">
    <cfRule type="expression" dxfId="42" priority="1">
      <formula>$G52="proceedings"</formula>
    </cfRule>
  </conditionalFormatting>
  <dataValidations count="8">
    <dataValidation type="list" allowBlank="1" sqref="G49:G98" xr:uid="{00000000-0002-0000-0000-000000000000}">
      <formula1>"(Select),Issue,Q&amp;A,proceedings"</formula1>
    </dataValidation>
    <dataValidation type="list" allowBlank="1" showInputMessage="1" showErrorMessage="1" sqref="N20:T20" xr:uid="{00000000-0002-0000-0000-000001000000}">
      <formula1>"(Select),1st review,Re-review"</formula1>
    </dataValidation>
    <dataValidation type="list" allowBlank="1" sqref="G8:Q10" xr:uid="{00000000-0002-0000-0000-000002000000}">
      <formula1>"(Select), Project planning process, Requirements development process, Architecture design process, Unit design process, Coding process, Unit test process, Integration test process, Validation test process, -"</formula1>
    </dataValidation>
    <dataValidation type="list" allowBlank="1" sqref="V35:V45" xr:uid="{00000000-0002-0000-0000-000003000000}">
      <formula1>"(Select),Page,Line,Number"</formula1>
    </dataValidation>
    <dataValidation type="list" allowBlank="1" sqref="O49:O99" xr:uid="{00000000-0002-0000-0000-000004000000}">
      <formula1>"(Select),Defect,Risk,Problem,AI"</formula1>
    </dataValidation>
    <dataValidation type="list" allowBlank="1" sqref="G99" xr:uid="{00000000-0002-0000-0000-000005000000}">
      <formula1>"(Select),Issue,Q&amp;A"</formula1>
    </dataValidation>
    <dataValidation type="list" allowBlank="1" sqref="G20:J20" xr:uid="{00000000-0002-0000-0000-000006000000}">
      <formula1>"(Select),Inspection,Team,Walk-through,Pass-around"</formula1>
    </dataValidation>
    <dataValidation type="list" allowBlank="1" sqref="G21:J21" xr:uid="{00000000-0002-0000-0000-000007000000}">
      <formula1>"(Select), use department checklist, use 'Peer Review Checklist' sheet"</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71"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18447" r:id="rId4" name="Button 15">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M57"/>
  <sheetViews>
    <sheetView showGridLines="0" tabSelected="1" zoomScale="70" zoomScaleNormal="70" workbookViewId="0">
      <selection activeCell="D10" sqref="D10"/>
    </sheetView>
  </sheetViews>
  <sheetFormatPr defaultRowHeight="12.75"/>
  <cols>
    <col min="1" max="1" width="1.21875" style="25" customWidth="1"/>
    <col min="2" max="2" width="6.109375" style="25" customWidth="1"/>
    <col min="3" max="3" width="11.44140625" style="25" customWidth="1"/>
    <col min="4" max="4" width="62.88671875" style="25" customWidth="1"/>
    <col min="5" max="5" width="11" style="25" customWidth="1"/>
    <col min="6" max="6" width="9.44140625" style="78" customWidth="1"/>
    <col min="7" max="7" width="10.88671875" style="79" bestFit="1" customWidth="1"/>
    <col min="8" max="9" width="9.44140625" style="25" customWidth="1"/>
    <col min="10" max="10" width="10.6640625" style="79" bestFit="1" customWidth="1"/>
    <col min="11" max="11" width="9.44140625" style="25" customWidth="1"/>
    <col min="12" max="13" width="27.21875" style="25" customWidth="1"/>
    <col min="14" max="256" width="9" style="25"/>
    <col min="257" max="257" width="1.21875" style="25" customWidth="1"/>
    <col min="258" max="258" width="6.109375" style="25" customWidth="1"/>
    <col min="259" max="259" width="11.44140625" style="25" customWidth="1"/>
    <col min="260" max="260" width="62.88671875" style="25" customWidth="1"/>
    <col min="261" max="261" width="11" style="25" customWidth="1"/>
    <col min="262" max="262" width="9.44140625" style="25" customWidth="1"/>
    <col min="263" max="263" width="10.88671875" style="25" bestFit="1" customWidth="1"/>
    <col min="264" max="267" width="9.44140625" style="25" customWidth="1"/>
    <col min="268" max="269" width="27.21875" style="25" customWidth="1"/>
    <col min="270" max="512" width="9" style="25"/>
    <col min="513" max="513" width="1.21875" style="25" customWidth="1"/>
    <col min="514" max="514" width="6.109375" style="25" customWidth="1"/>
    <col min="515" max="515" width="11.44140625" style="25" customWidth="1"/>
    <col min="516" max="516" width="62.88671875" style="25" customWidth="1"/>
    <col min="517" max="517" width="11" style="25" customWidth="1"/>
    <col min="518" max="518" width="9.44140625" style="25" customWidth="1"/>
    <col min="519" max="519" width="10.88671875" style="25" bestFit="1" customWidth="1"/>
    <col min="520" max="523" width="9.44140625" style="25" customWidth="1"/>
    <col min="524" max="525" width="27.21875" style="25" customWidth="1"/>
    <col min="526" max="768" width="9" style="25"/>
    <col min="769" max="769" width="1.21875" style="25" customWidth="1"/>
    <col min="770" max="770" width="6.109375" style="25" customWidth="1"/>
    <col min="771" max="771" width="11.44140625" style="25" customWidth="1"/>
    <col min="772" max="772" width="62.88671875" style="25" customWidth="1"/>
    <col min="773" max="773" width="11" style="25" customWidth="1"/>
    <col min="774" max="774" width="9.44140625" style="25" customWidth="1"/>
    <col min="775" max="775" width="10.88671875" style="25" bestFit="1" customWidth="1"/>
    <col min="776" max="779" width="9.44140625" style="25" customWidth="1"/>
    <col min="780" max="781" width="27.21875" style="25" customWidth="1"/>
    <col min="782" max="1024" width="9" style="25"/>
    <col min="1025" max="1025" width="1.21875" style="25" customWidth="1"/>
    <col min="1026" max="1026" width="6.109375" style="25" customWidth="1"/>
    <col min="1027" max="1027" width="11.44140625" style="25" customWidth="1"/>
    <col min="1028" max="1028" width="62.88671875" style="25" customWidth="1"/>
    <col min="1029" max="1029" width="11" style="25" customWidth="1"/>
    <col min="1030" max="1030" width="9.44140625" style="25" customWidth="1"/>
    <col min="1031" max="1031" width="10.88671875" style="25" bestFit="1" customWidth="1"/>
    <col min="1032" max="1035" width="9.44140625" style="25" customWidth="1"/>
    <col min="1036" max="1037" width="27.21875" style="25" customWidth="1"/>
    <col min="1038" max="1280" width="9" style="25"/>
    <col min="1281" max="1281" width="1.21875" style="25" customWidth="1"/>
    <col min="1282" max="1282" width="6.109375" style="25" customWidth="1"/>
    <col min="1283" max="1283" width="11.44140625" style="25" customWidth="1"/>
    <col min="1284" max="1284" width="62.88671875" style="25" customWidth="1"/>
    <col min="1285" max="1285" width="11" style="25" customWidth="1"/>
    <col min="1286" max="1286" width="9.44140625" style="25" customWidth="1"/>
    <col min="1287" max="1287" width="10.88671875" style="25" bestFit="1" customWidth="1"/>
    <col min="1288" max="1291" width="9.44140625" style="25" customWidth="1"/>
    <col min="1292" max="1293" width="27.21875" style="25" customWidth="1"/>
    <col min="1294" max="1536" width="9" style="25"/>
    <col min="1537" max="1537" width="1.21875" style="25" customWidth="1"/>
    <col min="1538" max="1538" width="6.109375" style="25" customWidth="1"/>
    <col min="1539" max="1539" width="11.44140625" style="25" customWidth="1"/>
    <col min="1540" max="1540" width="62.88671875" style="25" customWidth="1"/>
    <col min="1541" max="1541" width="11" style="25" customWidth="1"/>
    <col min="1542" max="1542" width="9.44140625" style="25" customWidth="1"/>
    <col min="1543" max="1543" width="10.88671875" style="25" bestFit="1" customWidth="1"/>
    <col min="1544" max="1547" width="9.44140625" style="25" customWidth="1"/>
    <col min="1548" max="1549" width="27.21875" style="25" customWidth="1"/>
    <col min="1550" max="1792" width="9" style="25"/>
    <col min="1793" max="1793" width="1.21875" style="25" customWidth="1"/>
    <col min="1794" max="1794" width="6.109375" style="25" customWidth="1"/>
    <col min="1795" max="1795" width="11.44140625" style="25" customWidth="1"/>
    <col min="1796" max="1796" width="62.88671875" style="25" customWidth="1"/>
    <col min="1797" max="1797" width="11" style="25" customWidth="1"/>
    <col min="1798" max="1798" width="9.44140625" style="25" customWidth="1"/>
    <col min="1799" max="1799" width="10.88671875" style="25" bestFit="1" customWidth="1"/>
    <col min="1800" max="1803" width="9.44140625" style="25" customWidth="1"/>
    <col min="1804" max="1805" width="27.21875" style="25" customWidth="1"/>
    <col min="1806" max="2048" width="9" style="25"/>
    <col min="2049" max="2049" width="1.21875" style="25" customWidth="1"/>
    <col min="2050" max="2050" width="6.109375" style="25" customWidth="1"/>
    <col min="2051" max="2051" width="11.44140625" style="25" customWidth="1"/>
    <col min="2052" max="2052" width="62.88671875" style="25" customWidth="1"/>
    <col min="2053" max="2053" width="11" style="25" customWidth="1"/>
    <col min="2054" max="2054" width="9.44140625" style="25" customWidth="1"/>
    <col min="2055" max="2055" width="10.88671875" style="25" bestFit="1" customWidth="1"/>
    <col min="2056" max="2059" width="9.44140625" style="25" customWidth="1"/>
    <col min="2060" max="2061" width="27.21875" style="25" customWidth="1"/>
    <col min="2062" max="2304" width="9" style="25"/>
    <col min="2305" max="2305" width="1.21875" style="25" customWidth="1"/>
    <col min="2306" max="2306" width="6.109375" style="25" customWidth="1"/>
    <col min="2307" max="2307" width="11.44140625" style="25" customWidth="1"/>
    <col min="2308" max="2308" width="62.88671875" style="25" customWidth="1"/>
    <col min="2309" max="2309" width="11" style="25" customWidth="1"/>
    <col min="2310" max="2310" width="9.44140625" style="25" customWidth="1"/>
    <col min="2311" max="2311" width="10.88671875" style="25" bestFit="1" customWidth="1"/>
    <col min="2312" max="2315" width="9.44140625" style="25" customWidth="1"/>
    <col min="2316" max="2317" width="27.21875" style="25" customWidth="1"/>
    <col min="2318" max="2560" width="9" style="25"/>
    <col min="2561" max="2561" width="1.21875" style="25" customWidth="1"/>
    <col min="2562" max="2562" width="6.109375" style="25" customWidth="1"/>
    <col min="2563" max="2563" width="11.44140625" style="25" customWidth="1"/>
    <col min="2564" max="2564" width="62.88671875" style="25" customWidth="1"/>
    <col min="2565" max="2565" width="11" style="25" customWidth="1"/>
    <col min="2566" max="2566" width="9.44140625" style="25" customWidth="1"/>
    <col min="2567" max="2567" width="10.88671875" style="25" bestFit="1" customWidth="1"/>
    <col min="2568" max="2571" width="9.44140625" style="25" customWidth="1"/>
    <col min="2572" max="2573" width="27.21875" style="25" customWidth="1"/>
    <col min="2574" max="2816" width="9" style="25"/>
    <col min="2817" max="2817" width="1.21875" style="25" customWidth="1"/>
    <col min="2818" max="2818" width="6.109375" style="25" customWidth="1"/>
    <col min="2819" max="2819" width="11.44140625" style="25" customWidth="1"/>
    <col min="2820" max="2820" width="62.88671875" style="25" customWidth="1"/>
    <col min="2821" max="2821" width="11" style="25" customWidth="1"/>
    <col min="2822" max="2822" width="9.44140625" style="25" customWidth="1"/>
    <col min="2823" max="2823" width="10.88671875" style="25" bestFit="1" customWidth="1"/>
    <col min="2824" max="2827" width="9.44140625" style="25" customWidth="1"/>
    <col min="2828" max="2829" width="27.21875" style="25" customWidth="1"/>
    <col min="2830" max="3072" width="9" style="25"/>
    <col min="3073" max="3073" width="1.21875" style="25" customWidth="1"/>
    <col min="3074" max="3074" width="6.109375" style="25" customWidth="1"/>
    <col min="3075" max="3075" width="11.44140625" style="25" customWidth="1"/>
    <col min="3076" max="3076" width="62.88671875" style="25" customWidth="1"/>
    <col min="3077" max="3077" width="11" style="25" customWidth="1"/>
    <col min="3078" max="3078" width="9.44140625" style="25" customWidth="1"/>
    <col min="3079" max="3079" width="10.88671875" style="25" bestFit="1" customWidth="1"/>
    <col min="3080" max="3083" width="9.44140625" style="25" customWidth="1"/>
    <col min="3084" max="3085" width="27.21875" style="25" customWidth="1"/>
    <col min="3086" max="3328" width="9" style="25"/>
    <col min="3329" max="3329" width="1.21875" style="25" customWidth="1"/>
    <col min="3330" max="3330" width="6.109375" style="25" customWidth="1"/>
    <col min="3331" max="3331" width="11.44140625" style="25" customWidth="1"/>
    <col min="3332" max="3332" width="62.88671875" style="25" customWidth="1"/>
    <col min="3333" max="3333" width="11" style="25" customWidth="1"/>
    <col min="3334" max="3334" width="9.44140625" style="25" customWidth="1"/>
    <col min="3335" max="3335" width="10.88671875" style="25" bestFit="1" customWidth="1"/>
    <col min="3336" max="3339" width="9.44140625" style="25" customWidth="1"/>
    <col min="3340" max="3341" width="27.21875" style="25" customWidth="1"/>
    <col min="3342" max="3584" width="9" style="25"/>
    <col min="3585" max="3585" width="1.21875" style="25" customWidth="1"/>
    <col min="3586" max="3586" width="6.109375" style="25" customWidth="1"/>
    <col min="3587" max="3587" width="11.44140625" style="25" customWidth="1"/>
    <col min="3588" max="3588" width="62.88671875" style="25" customWidth="1"/>
    <col min="3589" max="3589" width="11" style="25" customWidth="1"/>
    <col min="3590" max="3590" width="9.44140625" style="25" customWidth="1"/>
    <col min="3591" max="3591" width="10.88671875" style="25" bestFit="1" customWidth="1"/>
    <col min="3592" max="3595" width="9.44140625" style="25" customWidth="1"/>
    <col min="3596" max="3597" width="27.21875" style="25" customWidth="1"/>
    <col min="3598" max="3840" width="9" style="25"/>
    <col min="3841" max="3841" width="1.21875" style="25" customWidth="1"/>
    <col min="3842" max="3842" width="6.109375" style="25" customWidth="1"/>
    <col min="3843" max="3843" width="11.44140625" style="25" customWidth="1"/>
    <col min="3844" max="3844" width="62.88671875" style="25" customWidth="1"/>
    <col min="3845" max="3845" width="11" style="25" customWidth="1"/>
    <col min="3846" max="3846" width="9.44140625" style="25" customWidth="1"/>
    <col min="3847" max="3847" width="10.88671875" style="25" bestFit="1" customWidth="1"/>
    <col min="3848" max="3851" width="9.44140625" style="25" customWidth="1"/>
    <col min="3852" max="3853" width="27.21875" style="25" customWidth="1"/>
    <col min="3854" max="4096" width="9" style="25"/>
    <col min="4097" max="4097" width="1.21875" style="25" customWidth="1"/>
    <col min="4098" max="4098" width="6.109375" style="25" customWidth="1"/>
    <col min="4099" max="4099" width="11.44140625" style="25" customWidth="1"/>
    <col min="4100" max="4100" width="62.88671875" style="25" customWidth="1"/>
    <col min="4101" max="4101" width="11" style="25" customWidth="1"/>
    <col min="4102" max="4102" width="9.44140625" style="25" customWidth="1"/>
    <col min="4103" max="4103" width="10.88671875" style="25" bestFit="1" customWidth="1"/>
    <col min="4104" max="4107" width="9.44140625" style="25" customWidth="1"/>
    <col min="4108" max="4109" width="27.21875" style="25" customWidth="1"/>
    <col min="4110" max="4352" width="9" style="25"/>
    <col min="4353" max="4353" width="1.21875" style="25" customWidth="1"/>
    <col min="4354" max="4354" width="6.109375" style="25" customWidth="1"/>
    <col min="4355" max="4355" width="11.44140625" style="25" customWidth="1"/>
    <col min="4356" max="4356" width="62.88671875" style="25" customWidth="1"/>
    <col min="4357" max="4357" width="11" style="25" customWidth="1"/>
    <col min="4358" max="4358" width="9.44140625" style="25" customWidth="1"/>
    <col min="4359" max="4359" width="10.88671875" style="25" bestFit="1" customWidth="1"/>
    <col min="4360" max="4363" width="9.44140625" style="25" customWidth="1"/>
    <col min="4364" max="4365" width="27.21875" style="25" customWidth="1"/>
    <col min="4366" max="4608" width="9" style="25"/>
    <col min="4609" max="4609" width="1.21875" style="25" customWidth="1"/>
    <col min="4610" max="4610" width="6.109375" style="25" customWidth="1"/>
    <col min="4611" max="4611" width="11.44140625" style="25" customWidth="1"/>
    <col min="4612" max="4612" width="62.88671875" style="25" customWidth="1"/>
    <col min="4613" max="4613" width="11" style="25" customWidth="1"/>
    <col min="4614" max="4614" width="9.44140625" style="25" customWidth="1"/>
    <col min="4615" max="4615" width="10.88671875" style="25" bestFit="1" customWidth="1"/>
    <col min="4616" max="4619" width="9.44140625" style="25" customWidth="1"/>
    <col min="4620" max="4621" width="27.21875" style="25" customWidth="1"/>
    <col min="4622" max="4864" width="9" style="25"/>
    <col min="4865" max="4865" width="1.21875" style="25" customWidth="1"/>
    <col min="4866" max="4866" width="6.109375" style="25" customWidth="1"/>
    <col min="4867" max="4867" width="11.44140625" style="25" customWidth="1"/>
    <col min="4868" max="4868" width="62.88671875" style="25" customWidth="1"/>
    <col min="4869" max="4869" width="11" style="25" customWidth="1"/>
    <col min="4870" max="4870" width="9.44140625" style="25" customWidth="1"/>
    <col min="4871" max="4871" width="10.88671875" style="25" bestFit="1" customWidth="1"/>
    <col min="4872" max="4875" width="9.44140625" style="25" customWidth="1"/>
    <col min="4876" max="4877" width="27.21875" style="25" customWidth="1"/>
    <col min="4878" max="5120" width="9" style="25"/>
    <col min="5121" max="5121" width="1.21875" style="25" customWidth="1"/>
    <col min="5122" max="5122" width="6.109375" style="25" customWidth="1"/>
    <col min="5123" max="5123" width="11.44140625" style="25" customWidth="1"/>
    <col min="5124" max="5124" width="62.88671875" style="25" customWidth="1"/>
    <col min="5125" max="5125" width="11" style="25" customWidth="1"/>
    <col min="5126" max="5126" width="9.44140625" style="25" customWidth="1"/>
    <col min="5127" max="5127" width="10.88671875" style="25" bestFit="1" customWidth="1"/>
    <col min="5128" max="5131" width="9.44140625" style="25" customWidth="1"/>
    <col min="5132" max="5133" width="27.21875" style="25" customWidth="1"/>
    <col min="5134" max="5376" width="9" style="25"/>
    <col min="5377" max="5377" width="1.21875" style="25" customWidth="1"/>
    <col min="5378" max="5378" width="6.109375" style="25" customWidth="1"/>
    <col min="5379" max="5379" width="11.44140625" style="25" customWidth="1"/>
    <col min="5380" max="5380" width="62.88671875" style="25" customWidth="1"/>
    <col min="5381" max="5381" width="11" style="25" customWidth="1"/>
    <col min="5382" max="5382" width="9.44140625" style="25" customWidth="1"/>
    <col min="5383" max="5383" width="10.88671875" style="25" bestFit="1" customWidth="1"/>
    <col min="5384" max="5387" width="9.44140625" style="25" customWidth="1"/>
    <col min="5388" max="5389" width="27.21875" style="25" customWidth="1"/>
    <col min="5390" max="5632" width="9" style="25"/>
    <col min="5633" max="5633" width="1.21875" style="25" customWidth="1"/>
    <col min="5634" max="5634" width="6.109375" style="25" customWidth="1"/>
    <col min="5635" max="5635" width="11.44140625" style="25" customWidth="1"/>
    <col min="5636" max="5636" width="62.88671875" style="25" customWidth="1"/>
    <col min="5637" max="5637" width="11" style="25" customWidth="1"/>
    <col min="5638" max="5638" width="9.44140625" style="25" customWidth="1"/>
    <col min="5639" max="5639" width="10.88671875" style="25" bestFit="1" customWidth="1"/>
    <col min="5640" max="5643" width="9.44140625" style="25" customWidth="1"/>
    <col min="5644" max="5645" width="27.21875" style="25" customWidth="1"/>
    <col min="5646" max="5888" width="9" style="25"/>
    <col min="5889" max="5889" width="1.21875" style="25" customWidth="1"/>
    <col min="5890" max="5890" width="6.109375" style="25" customWidth="1"/>
    <col min="5891" max="5891" width="11.44140625" style="25" customWidth="1"/>
    <col min="5892" max="5892" width="62.88671875" style="25" customWidth="1"/>
    <col min="5893" max="5893" width="11" style="25" customWidth="1"/>
    <col min="5894" max="5894" width="9.44140625" style="25" customWidth="1"/>
    <col min="5895" max="5895" width="10.88671875" style="25" bestFit="1" customWidth="1"/>
    <col min="5896" max="5899" width="9.44140625" style="25" customWidth="1"/>
    <col min="5900" max="5901" width="27.21875" style="25" customWidth="1"/>
    <col min="5902" max="6144" width="9" style="25"/>
    <col min="6145" max="6145" width="1.21875" style="25" customWidth="1"/>
    <col min="6146" max="6146" width="6.109375" style="25" customWidth="1"/>
    <col min="6147" max="6147" width="11.44140625" style="25" customWidth="1"/>
    <col min="6148" max="6148" width="62.88671875" style="25" customWidth="1"/>
    <col min="6149" max="6149" width="11" style="25" customWidth="1"/>
    <col min="6150" max="6150" width="9.44140625" style="25" customWidth="1"/>
    <col min="6151" max="6151" width="10.88671875" style="25" bestFit="1" customWidth="1"/>
    <col min="6152" max="6155" width="9.44140625" style="25" customWidth="1"/>
    <col min="6156" max="6157" width="27.21875" style="25" customWidth="1"/>
    <col min="6158" max="6400" width="9" style="25"/>
    <col min="6401" max="6401" width="1.21875" style="25" customWidth="1"/>
    <col min="6402" max="6402" width="6.109375" style="25" customWidth="1"/>
    <col min="6403" max="6403" width="11.44140625" style="25" customWidth="1"/>
    <col min="6404" max="6404" width="62.88671875" style="25" customWidth="1"/>
    <col min="6405" max="6405" width="11" style="25" customWidth="1"/>
    <col min="6406" max="6406" width="9.44140625" style="25" customWidth="1"/>
    <col min="6407" max="6407" width="10.88671875" style="25" bestFit="1" customWidth="1"/>
    <col min="6408" max="6411" width="9.44140625" style="25" customWidth="1"/>
    <col min="6412" max="6413" width="27.21875" style="25" customWidth="1"/>
    <col min="6414" max="6656" width="9" style="25"/>
    <col min="6657" max="6657" width="1.21875" style="25" customWidth="1"/>
    <col min="6658" max="6658" width="6.109375" style="25" customWidth="1"/>
    <col min="6659" max="6659" width="11.44140625" style="25" customWidth="1"/>
    <col min="6660" max="6660" width="62.88671875" style="25" customWidth="1"/>
    <col min="6661" max="6661" width="11" style="25" customWidth="1"/>
    <col min="6662" max="6662" width="9.44140625" style="25" customWidth="1"/>
    <col min="6663" max="6663" width="10.88671875" style="25" bestFit="1" customWidth="1"/>
    <col min="6664" max="6667" width="9.44140625" style="25" customWidth="1"/>
    <col min="6668" max="6669" width="27.21875" style="25" customWidth="1"/>
    <col min="6670" max="6912" width="9" style="25"/>
    <col min="6913" max="6913" width="1.21875" style="25" customWidth="1"/>
    <col min="6914" max="6914" width="6.109375" style="25" customWidth="1"/>
    <col min="6915" max="6915" width="11.44140625" style="25" customWidth="1"/>
    <col min="6916" max="6916" width="62.88671875" style="25" customWidth="1"/>
    <col min="6917" max="6917" width="11" style="25" customWidth="1"/>
    <col min="6918" max="6918" width="9.44140625" style="25" customWidth="1"/>
    <col min="6919" max="6919" width="10.88671875" style="25" bestFit="1" customWidth="1"/>
    <col min="6920" max="6923" width="9.44140625" style="25" customWidth="1"/>
    <col min="6924" max="6925" width="27.21875" style="25" customWidth="1"/>
    <col min="6926" max="7168" width="9" style="25"/>
    <col min="7169" max="7169" width="1.21875" style="25" customWidth="1"/>
    <col min="7170" max="7170" width="6.109375" style="25" customWidth="1"/>
    <col min="7171" max="7171" width="11.44140625" style="25" customWidth="1"/>
    <col min="7172" max="7172" width="62.88671875" style="25" customWidth="1"/>
    <col min="7173" max="7173" width="11" style="25" customWidth="1"/>
    <col min="7174" max="7174" width="9.44140625" style="25" customWidth="1"/>
    <col min="7175" max="7175" width="10.88671875" style="25" bestFit="1" customWidth="1"/>
    <col min="7176" max="7179" width="9.44140625" style="25" customWidth="1"/>
    <col min="7180" max="7181" width="27.21875" style="25" customWidth="1"/>
    <col min="7182" max="7424" width="9" style="25"/>
    <col min="7425" max="7425" width="1.21875" style="25" customWidth="1"/>
    <col min="7426" max="7426" width="6.109375" style="25" customWidth="1"/>
    <col min="7427" max="7427" width="11.44140625" style="25" customWidth="1"/>
    <col min="7428" max="7428" width="62.88671875" style="25" customWidth="1"/>
    <col min="7429" max="7429" width="11" style="25" customWidth="1"/>
    <col min="7430" max="7430" width="9.44140625" style="25" customWidth="1"/>
    <col min="7431" max="7431" width="10.88671875" style="25" bestFit="1" customWidth="1"/>
    <col min="7432" max="7435" width="9.44140625" style="25" customWidth="1"/>
    <col min="7436" max="7437" width="27.21875" style="25" customWidth="1"/>
    <col min="7438" max="7680" width="9" style="25"/>
    <col min="7681" max="7681" width="1.21875" style="25" customWidth="1"/>
    <col min="7682" max="7682" width="6.109375" style="25" customWidth="1"/>
    <col min="7683" max="7683" width="11.44140625" style="25" customWidth="1"/>
    <col min="7684" max="7684" width="62.88671875" style="25" customWidth="1"/>
    <col min="7685" max="7685" width="11" style="25" customWidth="1"/>
    <col min="7686" max="7686" width="9.44140625" style="25" customWidth="1"/>
    <col min="7687" max="7687" width="10.88671875" style="25" bestFit="1" customWidth="1"/>
    <col min="7688" max="7691" width="9.44140625" style="25" customWidth="1"/>
    <col min="7692" max="7693" width="27.21875" style="25" customWidth="1"/>
    <col min="7694" max="7936" width="9" style="25"/>
    <col min="7937" max="7937" width="1.21875" style="25" customWidth="1"/>
    <col min="7938" max="7938" width="6.109375" style="25" customWidth="1"/>
    <col min="7939" max="7939" width="11.44140625" style="25" customWidth="1"/>
    <col min="7940" max="7940" width="62.88671875" style="25" customWidth="1"/>
    <col min="7941" max="7941" width="11" style="25" customWidth="1"/>
    <col min="7942" max="7942" width="9.44140625" style="25" customWidth="1"/>
    <col min="7943" max="7943" width="10.88671875" style="25" bestFit="1" customWidth="1"/>
    <col min="7944" max="7947" width="9.44140625" style="25" customWidth="1"/>
    <col min="7948" max="7949" width="27.21875" style="25" customWidth="1"/>
    <col min="7950" max="8192" width="9" style="25"/>
    <col min="8193" max="8193" width="1.21875" style="25" customWidth="1"/>
    <col min="8194" max="8194" width="6.109375" style="25" customWidth="1"/>
    <col min="8195" max="8195" width="11.44140625" style="25" customWidth="1"/>
    <col min="8196" max="8196" width="62.88671875" style="25" customWidth="1"/>
    <col min="8197" max="8197" width="11" style="25" customWidth="1"/>
    <col min="8198" max="8198" width="9.44140625" style="25" customWidth="1"/>
    <col min="8199" max="8199" width="10.88671875" style="25" bestFit="1" customWidth="1"/>
    <col min="8200" max="8203" width="9.44140625" style="25" customWidth="1"/>
    <col min="8204" max="8205" width="27.21875" style="25" customWidth="1"/>
    <col min="8206" max="8448" width="9" style="25"/>
    <col min="8449" max="8449" width="1.21875" style="25" customWidth="1"/>
    <col min="8450" max="8450" width="6.109375" style="25" customWidth="1"/>
    <col min="8451" max="8451" width="11.44140625" style="25" customWidth="1"/>
    <col min="8452" max="8452" width="62.88671875" style="25" customWidth="1"/>
    <col min="8453" max="8453" width="11" style="25" customWidth="1"/>
    <col min="8454" max="8454" width="9.44140625" style="25" customWidth="1"/>
    <col min="8455" max="8455" width="10.88671875" style="25" bestFit="1" customWidth="1"/>
    <col min="8456" max="8459" width="9.44140625" style="25" customWidth="1"/>
    <col min="8460" max="8461" width="27.21875" style="25" customWidth="1"/>
    <col min="8462" max="8704" width="9" style="25"/>
    <col min="8705" max="8705" width="1.21875" style="25" customWidth="1"/>
    <col min="8706" max="8706" width="6.109375" style="25" customWidth="1"/>
    <col min="8707" max="8707" width="11.44140625" style="25" customWidth="1"/>
    <col min="8708" max="8708" width="62.88671875" style="25" customWidth="1"/>
    <col min="8709" max="8709" width="11" style="25" customWidth="1"/>
    <col min="8710" max="8710" width="9.44140625" style="25" customWidth="1"/>
    <col min="8711" max="8711" width="10.88671875" style="25" bestFit="1" customWidth="1"/>
    <col min="8712" max="8715" width="9.44140625" style="25" customWidth="1"/>
    <col min="8716" max="8717" width="27.21875" style="25" customWidth="1"/>
    <col min="8718" max="8960" width="9" style="25"/>
    <col min="8961" max="8961" width="1.21875" style="25" customWidth="1"/>
    <col min="8962" max="8962" width="6.109375" style="25" customWidth="1"/>
    <col min="8963" max="8963" width="11.44140625" style="25" customWidth="1"/>
    <col min="8964" max="8964" width="62.88671875" style="25" customWidth="1"/>
    <col min="8965" max="8965" width="11" style="25" customWidth="1"/>
    <col min="8966" max="8966" width="9.44140625" style="25" customWidth="1"/>
    <col min="8967" max="8967" width="10.88671875" style="25" bestFit="1" customWidth="1"/>
    <col min="8968" max="8971" width="9.44140625" style="25" customWidth="1"/>
    <col min="8972" max="8973" width="27.21875" style="25" customWidth="1"/>
    <col min="8974" max="9216" width="9" style="25"/>
    <col min="9217" max="9217" width="1.21875" style="25" customWidth="1"/>
    <col min="9218" max="9218" width="6.109375" style="25" customWidth="1"/>
    <col min="9219" max="9219" width="11.44140625" style="25" customWidth="1"/>
    <col min="9220" max="9220" width="62.88671875" style="25" customWidth="1"/>
    <col min="9221" max="9221" width="11" style="25" customWidth="1"/>
    <col min="9222" max="9222" width="9.44140625" style="25" customWidth="1"/>
    <col min="9223" max="9223" width="10.88671875" style="25" bestFit="1" customWidth="1"/>
    <col min="9224" max="9227" width="9.44140625" style="25" customWidth="1"/>
    <col min="9228" max="9229" width="27.21875" style="25" customWidth="1"/>
    <col min="9230" max="9472" width="9" style="25"/>
    <col min="9473" max="9473" width="1.21875" style="25" customWidth="1"/>
    <col min="9474" max="9474" width="6.109375" style="25" customWidth="1"/>
    <col min="9475" max="9475" width="11.44140625" style="25" customWidth="1"/>
    <col min="9476" max="9476" width="62.88671875" style="25" customWidth="1"/>
    <col min="9477" max="9477" width="11" style="25" customWidth="1"/>
    <col min="9478" max="9478" width="9.44140625" style="25" customWidth="1"/>
    <col min="9479" max="9479" width="10.88671875" style="25" bestFit="1" customWidth="1"/>
    <col min="9480" max="9483" width="9.44140625" style="25" customWidth="1"/>
    <col min="9484" max="9485" width="27.21875" style="25" customWidth="1"/>
    <col min="9486" max="9728" width="9" style="25"/>
    <col min="9729" max="9729" width="1.21875" style="25" customWidth="1"/>
    <col min="9730" max="9730" width="6.109375" style="25" customWidth="1"/>
    <col min="9731" max="9731" width="11.44140625" style="25" customWidth="1"/>
    <col min="9732" max="9732" width="62.88671875" style="25" customWidth="1"/>
    <col min="9733" max="9733" width="11" style="25" customWidth="1"/>
    <col min="9734" max="9734" width="9.44140625" style="25" customWidth="1"/>
    <col min="9735" max="9735" width="10.88671875" style="25" bestFit="1" customWidth="1"/>
    <col min="9736" max="9739" width="9.44140625" style="25" customWidth="1"/>
    <col min="9740" max="9741" width="27.21875" style="25" customWidth="1"/>
    <col min="9742" max="9984" width="9" style="25"/>
    <col min="9985" max="9985" width="1.21875" style="25" customWidth="1"/>
    <col min="9986" max="9986" width="6.109375" style="25" customWidth="1"/>
    <col min="9987" max="9987" width="11.44140625" style="25" customWidth="1"/>
    <col min="9988" max="9988" width="62.88671875" style="25" customWidth="1"/>
    <col min="9989" max="9989" width="11" style="25" customWidth="1"/>
    <col min="9990" max="9990" width="9.44140625" style="25" customWidth="1"/>
    <col min="9991" max="9991" width="10.88671875" style="25" bestFit="1" customWidth="1"/>
    <col min="9992" max="9995" width="9.44140625" style="25" customWidth="1"/>
    <col min="9996" max="9997" width="27.21875" style="25" customWidth="1"/>
    <col min="9998" max="10240" width="9" style="25"/>
    <col min="10241" max="10241" width="1.21875" style="25" customWidth="1"/>
    <col min="10242" max="10242" width="6.109375" style="25" customWidth="1"/>
    <col min="10243" max="10243" width="11.44140625" style="25" customWidth="1"/>
    <col min="10244" max="10244" width="62.88671875" style="25" customWidth="1"/>
    <col min="10245" max="10245" width="11" style="25" customWidth="1"/>
    <col min="10246" max="10246" width="9.44140625" style="25" customWidth="1"/>
    <col min="10247" max="10247" width="10.88671875" style="25" bestFit="1" customWidth="1"/>
    <col min="10248" max="10251" width="9.44140625" style="25" customWidth="1"/>
    <col min="10252" max="10253" width="27.21875" style="25" customWidth="1"/>
    <col min="10254" max="10496" width="9" style="25"/>
    <col min="10497" max="10497" width="1.21875" style="25" customWidth="1"/>
    <col min="10498" max="10498" width="6.109375" style="25" customWidth="1"/>
    <col min="10499" max="10499" width="11.44140625" style="25" customWidth="1"/>
    <col min="10500" max="10500" width="62.88671875" style="25" customWidth="1"/>
    <col min="10501" max="10501" width="11" style="25" customWidth="1"/>
    <col min="10502" max="10502" width="9.44140625" style="25" customWidth="1"/>
    <col min="10503" max="10503" width="10.88671875" style="25" bestFit="1" customWidth="1"/>
    <col min="10504" max="10507" width="9.44140625" style="25" customWidth="1"/>
    <col min="10508" max="10509" width="27.21875" style="25" customWidth="1"/>
    <col min="10510" max="10752" width="9" style="25"/>
    <col min="10753" max="10753" width="1.21875" style="25" customWidth="1"/>
    <col min="10754" max="10754" width="6.109375" style="25" customWidth="1"/>
    <col min="10755" max="10755" width="11.44140625" style="25" customWidth="1"/>
    <col min="10756" max="10756" width="62.88671875" style="25" customWidth="1"/>
    <col min="10757" max="10757" width="11" style="25" customWidth="1"/>
    <col min="10758" max="10758" width="9.44140625" style="25" customWidth="1"/>
    <col min="10759" max="10759" width="10.88671875" style="25" bestFit="1" customWidth="1"/>
    <col min="10760" max="10763" width="9.44140625" style="25" customWidth="1"/>
    <col min="10764" max="10765" width="27.21875" style="25" customWidth="1"/>
    <col min="10766" max="11008" width="9" style="25"/>
    <col min="11009" max="11009" width="1.21875" style="25" customWidth="1"/>
    <col min="11010" max="11010" width="6.109375" style="25" customWidth="1"/>
    <col min="11011" max="11011" width="11.44140625" style="25" customWidth="1"/>
    <col min="11012" max="11012" width="62.88671875" style="25" customWidth="1"/>
    <col min="11013" max="11013" width="11" style="25" customWidth="1"/>
    <col min="11014" max="11014" width="9.44140625" style="25" customWidth="1"/>
    <col min="11015" max="11015" width="10.88671875" style="25" bestFit="1" customWidth="1"/>
    <col min="11016" max="11019" width="9.44140625" style="25" customWidth="1"/>
    <col min="11020" max="11021" width="27.21875" style="25" customWidth="1"/>
    <col min="11022" max="11264" width="9" style="25"/>
    <col min="11265" max="11265" width="1.21875" style="25" customWidth="1"/>
    <col min="11266" max="11266" width="6.109375" style="25" customWidth="1"/>
    <col min="11267" max="11267" width="11.44140625" style="25" customWidth="1"/>
    <col min="11268" max="11268" width="62.88671875" style="25" customWidth="1"/>
    <col min="11269" max="11269" width="11" style="25" customWidth="1"/>
    <col min="11270" max="11270" width="9.44140625" style="25" customWidth="1"/>
    <col min="11271" max="11271" width="10.88671875" style="25" bestFit="1" customWidth="1"/>
    <col min="11272" max="11275" width="9.44140625" style="25" customWidth="1"/>
    <col min="11276" max="11277" width="27.21875" style="25" customWidth="1"/>
    <col min="11278" max="11520" width="9" style="25"/>
    <col min="11521" max="11521" width="1.21875" style="25" customWidth="1"/>
    <col min="11522" max="11522" width="6.109375" style="25" customWidth="1"/>
    <col min="11523" max="11523" width="11.44140625" style="25" customWidth="1"/>
    <col min="11524" max="11524" width="62.88671875" style="25" customWidth="1"/>
    <col min="11525" max="11525" width="11" style="25" customWidth="1"/>
    <col min="11526" max="11526" width="9.44140625" style="25" customWidth="1"/>
    <col min="11527" max="11527" width="10.88671875" style="25" bestFit="1" customWidth="1"/>
    <col min="11528" max="11531" width="9.44140625" style="25" customWidth="1"/>
    <col min="11532" max="11533" width="27.21875" style="25" customWidth="1"/>
    <col min="11534" max="11776" width="9" style="25"/>
    <col min="11777" max="11777" width="1.21875" style="25" customWidth="1"/>
    <col min="11778" max="11778" width="6.109375" style="25" customWidth="1"/>
    <col min="11779" max="11779" width="11.44140625" style="25" customWidth="1"/>
    <col min="11780" max="11780" width="62.88671875" style="25" customWidth="1"/>
    <col min="11781" max="11781" width="11" style="25" customWidth="1"/>
    <col min="11782" max="11782" width="9.44140625" style="25" customWidth="1"/>
    <col min="11783" max="11783" width="10.88671875" style="25" bestFit="1" customWidth="1"/>
    <col min="11784" max="11787" width="9.44140625" style="25" customWidth="1"/>
    <col min="11788" max="11789" width="27.21875" style="25" customWidth="1"/>
    <col min="11790" max="12032" width="9" style="25"/>
    <col min="12033" max="12033" width="1.21875" style="25" customWidth="1"/>
    <col min="12034" max="12034" width="6.109375" style="25" customWidth="1"/>
    <col min="12035" max="12035" width="11.44140625" style="25" customWidth="1"/>
    <col min="12036" max="12036" width="62.88671875" style="25" customWidth="1"/>
    <col min="12037" max="12037" width="11" style="25" customWidth="1"/>
    <col min="12038" max="12038" width="9.44140625" style="25" customWidth="1"/>
    <col min="12039" max="12039" width="10.88671875" style="25" bestFit="1" customWidth="1"/>
    <col min="12040" max="12043" width="9.44140625" style="25" customWidth="1"/>
    <col min="12044" max="12045" width="27.21875" style="25" customWidth="1"/>
    <col min="12046" max="12288" width="9" style="25"/>
    <col min="12289" max="12289" width="1.21875" style="25" customWidth="1"/>
    <col min="12290" max="12290" width="6.109375" style="25" customWidth="1"/>
    <col min="12291" max="12291" width="11.44140625" style="25" customWidth="1"/>
    <col min="12292" max="12292" width="62.88671875" style="25" customWidth="1"/>
    <col min="12293" max="12293" width="11" style="25" customWidth="1"/>
    <col min="12294" max="12294" width="9.44140625" style="25" customWidth="1"/>
    <col min="12295" max="12295" width="10.88671875" style="25" bestFit="1" customWidth="1"/>
    <col min="12296" max="12299" width="9.44140625" style="25" customWidth="1"/>
    <col min="12300" max="12301" width="27.21875" style="25" customWidth="1"/>
    <col min="12302" max="12544" width="9" style="25"/>
    <col min="12545" max="12545" width="1.21875" style="25" customWidth="1"/>
    <col min="12546" max="12546" width="6.109375" style="25" customWidth="1"/>
    <col min="12547" max="12547" width="11.44140625" style="25" customWidth="1"/>
    <col min="12548" max="12548" width="62.88671875" style="25" customWidth="1"/>
    <col min="12549" max="12549" width="11" style="25" customWidth="1"/>
    <col min="12550" max="12550" width="9.44140625" style="25" customWidth="1"/>
    <col min="12551" max="12551" width="10.88671875" style="25" bestFit="1" customWidth="1"/>
    <col min="12552" max="12555" width="9.44140625" style="25" customWidth="1"/>
    <col min="12556" max="12557" width="27.21875" style="25" customWidth="1"/>
    <col min="12558" max="12800" width="9" style="25"/>
    <col min="12801" max="12801" width="1.21875" style="25" customWidth="1"/>
    <col min="12802" max="12802" width="6.109375" style="25" customWidth="1"/>
    <col min="12803" max="12803" width="11.44140625" style="25" customWidth="1"/>
    <col min="12804" max="12804" width="62.88671875" style="25" customWidth="1"/>
    <col min="12805" max="12805" width="11" style="25" customWidth="1"/>
    <col min="12806" max="12806" width="9.44140625" style="25" customWidth="1"/>
    <col min="12807" max="12807" width="10.88671875" style="25" bestFit="1" customWidth="1"/>
    <col min="12808" max="12811" width="9.44140625" style="25" customWidth="1"/>
    <col min="12812" max="12813" width="27.21875" style="25" customWidth="1"/>
    <col min="12814" max="13056" width="9" style="25"/>
    <col min="13057" max="13057" width="1.21875" style="25" customWidth="1"/>
    <col min="13058" max="13058" width="6.109375" style="25" customWidth="1"/>
    <col min="13059" max="13059" width="11.44140625" style="25" customWidth="1"/>
    <col min="13060" max="13060" width="62.88671875" style="25" customWidth="1"/>
    <col min="13061" max="13061" width="11" style="25" customWidth="1"/>
    <col min="13062" max="13062" width="9.44140625" style="25" customWidth="1"/>
    <col min="13063" max="13063" width="10.88671875" style="25" bestFit="1" customWidth="1"/>
    <col min="13064" max="13067" width="9.44140625" style="25" customWidth="1"/>
    <col min="13068" max="13069" width="27.21875" style="25" customWidth="1"/>
    <col min="13070" max="13312" width="9" style="25"/>
    <col min="13313" max="13313" width="1.21875" style="25" customWidth="1"/>
    <col min="13314" max="13314" width="6.109375" style="25" customWidth="1"/>
    <col min="13315" max="13315" width="11.44140625" style="25" customWidth="1"/>
    <col min="13316" max="13316" width="62.88671875" style="25" customWidth="1"/>
    <col min="13317" max="13317" width="11" style="25" customWidth="1"/>
    <col min="13318" max="13318" width="9.44140625" style="25" customWidth="1"/>
    <col min="13319" max="13319" width="10.88671875" style="25" bestFit="1" customWidth="1"/>
    <col min="13320" max="13323" width="9.44140625" style="25" customWidth="1"/>
    <col min="13324" max="13325" width="27.21875" style="25" customWidth="1"/>
    <col min="13326" max="13568" width="9" style="25"/>
    <col min="13569" max="13569" width="1.21875" style="25" customWidth="1"/>
    <col min="13570" max="13570" width="6.109375" style="25" customWidth="1"/>
    <col min="13571" max="13571" width="11.44140625" style="25" customWidth="1"/>
    <col min="13572" max="13572" width="62.88671875" style="25" customWidth="1"/>
    <col min="13573" max="13573" width="11" style="25" customWidth="1"/>
    <col min="13574" max="13574" width="9.44140625" style="25" customWidth="1"/>
    <col min="13575" max="13575" width="10.88671875" style="25" bestFit="1" customWidth="1"/>
    <col min="13576" max="13579" width="9.44140625" style="25" customWidth="1"/>
    <col min="13580" max="13581" width="27.21875" style="25" customWidth="1"/>
    <col min="13582" max="13824" width="9" style="25"/>
    <col min="13825" max="13825" width="1.21875" style="25" customWidth="1"/>
    <col min="13826" max="13826" width="6.109375" style="25" customWidth="1"/>
    <col min="13827" max="13827" width="11.44140625" style="25" customWidth="1"/>
    <col min="13828" max="13828" width="62.88671875" style="25" customWidth="1"/>
    <col min="13829" max="13829" width="11" style="25" customWidth="1"/>
    <col min="13830" max="13830" width="9.44140625" style="25" customWidth="1"/>
    <col min="13831" max="13831" width="10.88671875" style="25" bestFit="1" customWidth="1"/>
    <col min="13832" max="13835" width="9.44140625" style="25" customWidth="1"/>
    <col min="13836" max="13837" width="27.21875" style="25" customWidth="1"/>
    <col min="13838" max="14080" width="9" style="25"/>
    <col min="14081" max="14081" width="1.21875" style="25" customWidth="1"/>
    <col min="14082" max="14082" width="6.109375" style="25" customWidth="1"/>
    <col min="14083" max="14083" width="11.44140625" style="25" customWidth="1"/>
    <col min="14084" max="14084" width="62.88671875" style="25" customWidth="1"/>
    <col min="14085" max="14085" width="11" style="25" customWidth="1"/>
    <col min="14086" max="14086" width="9.44140625" style="25" customWidth="1"/>
    <col min="14087" max="14087" width="10.88671875" style="25" bestFit="1" customWidth="1"/>
    <col min="14088" max="14091" width="9.44140625" style="25" customWidth="1"/>
    <col min="14092" max="14093" width="27.21875" style="25" customWidth="1"/>
    <col min="14094" max="14336" width="9" style="25"/>
    <col min="14337" max="14337" width="1.21875" style="25" customWidth="1"/>
    <col min="14338" max="14338" width="6.109375" style="25" customWidth="1"/>
    <col min="14339" max="14339" width="11.44140625" style="25" customWidth="1"/>
    <col min="14340" max="14340" width="62.88671875" style="25" customWidth="1"/>
    <col min="14341" max="14341" width="11" style="25" customWidth="1"/>
    <col min="14342" max="14342" width="9.44140625" style="25" customWidth="1"/>
    <col min="14343" max="14343" width="10.88671875" style="25" bestFit="1" customWidth="1"/>
    <col min="14344" max="14347" width="9.44140625" style="25" customWidth="1"/>
    <col min="14348" max="14349" width="27.21875" style="25" customWidth="1"/>
    <col min="14350" max="14592" width="9" style="25"/>
    <col min="14593" max="14593" width="1.21875" style="25" customWidth="1"/>
    <col min="14594" max="14594" width="6.109375" style="25" customWidth="1"/>
    <col min="14595" max="14595" width="11.44140625" style="25" customWidth="1"/>
    <col min="14596" max="14596" width="62.88671875" style="25" customWidth="1"/>
    <col min="14597" max="14597" width="11" style="25" customWidth="1"/>
    <col min="14598" max="14598" width="9.44140625" style="25" customWidth="1"/>
    <col min="14599" max="14599" width="10.88671875" style="25" bestFit="1" customWidth="1"/>
    <col min="14600" max="14603" width="9.44140625" style="25" customWidth="1"/>
    <col min="14604" max="14605" width="27.21875" style="25" customWidth="1"/>
    <col min="14606" max="14848" width="9" style="25"/>
    <col min="14849" max="14849" width="1.21875" style="25" customWidth="1"/>
    <col min="14850" max="14850" width="6.109375" style="25" customWidth="1"/>
    <col min="14851" max="14851" width="11.44140625" style="25" customWidth="1"/>
    <col min="14852" max="14852" width="62.88671875" style="25" customWidth="1"/>
    <col min="14853" max="14853" width="11" style="25" customWidth="1"/>
    <col min="14854" max="14854" width="9.44140625" style="25" customWidth="1"/>
    <col min="14855" max="14855" width="10.88671875" style="25" bestFit="1" customWidth="1"/>
    <col min="14856" max="14859" width="9.44140625" style="25" customWidth="1"/>
    <col min="14860" max="14861" width="27.21875" style="25" customWidth="1"/>
    <col min="14862" max="15104" width="9" style="25"/>
    <col min="15105" max="15105" width="1.21875" style="25" customWidth="1"/>
    <col min="15106" max="15106" width="6.109375" style="25" customWidth="1"/>
    <col min="15107" max="15107" width="11.44140625" style="25" customWidth="1"/>
    <col min="15108" max="15108" width="62.88671875" style="25" customWidth="1"/>
    <col min="15109" max="15109" width="11" style="25" customWidth="1"/>
    <col min="15110" max="15110" width="9.44140625" style="25" customWidth="1"/>
    <col min="15111" max="15111" width="10.88671875" style="25" bestFit="1" customWidth="1"/>
    <col min="15112" max="15115" width="9.44140625" style="25" customWidth="1"/>
    <col min="15116" max="15117" width="27.21875" style="25" customWidth="1"/>
    <col min="15118" max="15360" width="9" style="25"/>
    <col min="15361" max="15361" width="1.21875" style="25" customWidth="1"/>
    <col min="15362" max="15362" width="6.109375" style="25" customWidth="1"/>
    <col min="15363" max="15363" width="11.44140625" style="25" customWidth="1"/>
    <col min="15364" max="15364" width="62.88671875" style="25" customWidth="1"/>
    <col min="15365" max="15365" width="11" style="25" customWidth="1"/>
    <col min="15366" max="15366" width="9.44140625" style="25" customWidth="1"/>
    <col min="15367" max="15367" width="10.88671875" style="25" bestFit="1" customWidth="1"/>
    <col min="15368" max="15371" width="9.44140625" style="25" customWidth="1"/>
    <col min="15372" max="15373" width="27.21875" style="25" customWidth="1"/>
    <col min="15374" max="15616" width="9" style="25"/>
    <col min="15617" max="15617" width="1.21875" style="25" customWidth="1"/>
    <col min="15618" max="15618" width="6.109375" style="25" customWidth="1"/>
    <col min="15619" max="15619" width="11.44140625" style="25" customWidth="1"/>
    <col min="15620" max="15620" width="62.88671875" style="25" customWidth="1"/>
    <col min="15621" max="15621" width="11" style="25" customWidth="1"/>
    <col min="15622" max="15622" width="9.44140625" style="25" customWidth="1"/>
    <col min="15623" max="15623" width="10.88671875" style="25" bestFit="1" customWidth="1"/>
    <col min="15624" max="15627" width="9.44140625" style="25" customWidth="1"/>
    <col min="15628" max="15629" width="27.21875" style="25" customWidth="1"/>
    <col min="15630" max="15872" width="9" style="25"/>
    <col min="15873" max="15873" width="1.21875" style="25" customWidth="1"/>
    <col min="15874" max="15874" width="6.109375" style="25" customWidth="1"/>
    <col min="15875" max="15875" width="11.44140625" style="25" customWidth="1"/>
    <col min="15876" max="15876" width="62.88671875" style="25" customWidth="1"/>
    <col min="15877" max="15877" width="11" style="25" customWidth="1"/>
    <col min="15878" max="15878" width="9.44140625" style="25" customWidth="1"/>
    <col min="15879" max="15879" width="10.88671875" style="25" bestFit="1" customWidth="1"/>
    <col min="15880" max="15883" width="9.44140625" style="25" customWidth="1"/>
    <col min="15884" max="15885" width="27.21875" style="25" customWidth="1"/>
    <col min="15886" max="16128" width="9" style="25"/>
    <col min="16129" max="16129" width="1.21875" style="25" customWidth="1"/>
    <col min="16130" max="16130" width="6.109375" style="25" customWidth="1"/>
    <col min="16131" max="16131" width="11.44140625" style="25" customWidth="1"/>
    <col min="16132" max="16132" width="62.88671875" style="25" customWidth="1"/>
    <col min="16133" max="16133" width="11" style="25" customWidth="1"/>
    <col min="16134" max="16134" width="9.44140625" style="25" customWidth="1"/>
    <col min="16135" max="16135" width="10.88671875" style="25" bestFit="1" customWidth="1"/>
    <col min="16136" max="16139" width="9.44140625" style="25" customWidth="1"/>
    <col min="16140" max="16141" width="27.21875" style="25" customWidth="1"/>
    <col min="16142" max="16384" width="9" style="25"/>
  </cols>
  <sheetData>
    <row r="1" spans="2:13" s="113" customFormat="1">
      <c r="C1" s="25"/>
      <c r="D1" s="25"/>
      <c r="F1" s="72"/>
      <c r="G1" s="114"/>
      <c r="J1" s="114"/>
    </row>
    <row r="2" spans="2:13" s="113" customFormat="1">
      <c r="B2" s="115" t="s">
        <v>311</v>
      </c>
      <c r="C2" s="25"/>
      <c r="D2" s="25"/>
      <c r="E2" s="116" t="s">
        <v>453</v>
      </c>
      <c r="F2" s="72"/>
      <c r="G2" s="114"/>
      <c r="J2" s="114"/>
    </row>
    <row r="3" spans="2:13" s="113" customFormat="1">
      <c r="B3" s="115"/>
      <c r="C3" s="25"/>
      <c r="D3" s="25"/>
      <c r="F3" s="72"/>
      <c r="G3" s="114"/>
      <c r="J3" s="114"/>
    </row>
    <row r="4" spans="2:13" s="113" customFormat="1">
      <c r="B4" s="117" t="s">
        <v>312</v>
      </c>
      <c r="C4" s="25"/>
      <c r="D4" s="25"/>
      <c r="F4" s="72"/>
      <c r="G4" s="114"/>
      <c r="J4" s="114"/>
    </row>
    <row r="5" spans="2:13" ht="13.5" thickBot="1"/>
    <row r="6" spans="2:13" s="77" customFormat="1" ht="12.75" customHeight="1">
      <c r="B6" s="325" t="s">
        <v>297</v>
      </c>
      <c r="C6" s="326"/>
      <c r="D6" s="329" t="s">
        <v>473</v>
      </c>
      <c r="E6" s="331" t="s">
        <v>298</v>
      </c>
      <c r="F6" s="332"/>
      <c r="G6" s="335" t="s">
        <v>462</v>
      </c>
      <c r="H6" s="336"/>
      <c r="I6" s="336"/>
      <c r="J6" s="336"/>
      <c r="K6" s="337"/>
      <c r="L6" s="118"/>
    </row>
    <row r="7" spans="2:13" s="77" customFormat="1" ht="13.5" thickBot="1">
      <c r="B7" s="327"/>
      <c r="C7" s="328"/>
      <c r="D7" s="330"/>
      <c r="E7" s="333"/>
      <c r="F7" s="334"/>
      <c r="G7" s="338"/>
      <c r="H7" s="339"/>
      <c r="I7" s="339"/>
      <c r="J7" s="339"/>
      <c r="K7" s="340"/>
      <c r="L7" s="118"/>
    </row>
    <row r="8" spans="2:13" s="77" customFormat="1" ht="13.5" customHeight="1" thickBot="1">
      <c r="B8" s="341" t="s">
        <v>313</v>
      </c>
      <c r="C8" s="342"/>
      <c r="D8" s="98" t="s">
        <v>474</v>
      </c>
      <c r="E8" s="343" t="s">
        <v>299</v>
      </c>
      <c r="F8" s="344"/>
      <c r="G8" s="347" t="s">
        <v>461</v>
      </c>
      <c r="H8" s="348"/>
      <c r="I8" s="348"/>
      <c r="J8" s="348"/>
      <c r="K8" s="349"/>
      <c r="L8" s="118"/>
    </row>
    <row r="9" spans="2:13" s="77" customFormat="1" ht="13.5" customHeight="1" thickBot="1">
      <c r="B9" s="341" t="s">
        <v>314</v>
      </c>
      <c r="C9" s="342"/>
      <c r="D9" s="112">
        <v>25956</v>
      </c>
      <c r="E9" s="345"/>
      <c r="F9" s="346"/>
      <c r="G9" s="350"/>
      <c r="H9" s="351"/>
      <c r="I9" s="351"/>
      <c r="J9" s="351"/>
      <c r="K9" s="352"/>
      <c r="L9" s="118"/>
    </row>
    <row r="10" spans="2:13" s="77" customFormat="1">
      <c r="B10" s="119"/>
      <c r="C10" s="120"/>
      <c r="D10" s="119"/>
      <c r="E10" s="119"/>
      <c r="F10" s="118"/>
      <c r="G10" s="121"/>
      <c r="H10" s="122"/>
      <c r="I10" s="123"/>
      <c r="J10" s="124"/>
      <c r="K10" s="123"/>
      <c r="L10" s="123"/>
      <c r="M10" s="118"/>
    </row>
    <row r="12" spans="2:13" ht="13.5" thickBot="1"/>
    <row r="13" spans="2:13" ht="26.25" thickBot="1">
      <c r="B13" s="80" t="s">
        <v>300</v>
      </c>
      <c r="C13" s="353" t="s">
        <v>301</v>
      </c>
      <c r="D13" s="354"/>
      <c r="E13" s="81" t="s">
        <v>302</v>
      </c>
      <c r="F13" s="80" t="s">
        <v>303</v>
      </c>
      <c r="G13" s="82" t="s">
        <v>304</v>
      </c>
      <c r="H13" s="83" t="s">
        <v>305</v>
      </c>
      <c r="I13" s="84" t="s">
        <v>306</v>
      </c>
      <c r="J13" s="85" t="s">
        <v>304</v>
      </c>
      <c r="K13" s="86" t="s">
        <v>305</v>
      </c>
      <c r="L13" s="81" t="s">
        <v>454</v>
      </c>
      <c r="M13" s="125" t="s">
        <v>455</v>
      </c>
    </row>
    <row r="14" spans="2:13" ht="13.5" customHeight="1" thickBot="1">
      <c r="B14" s="355" t="s">
        <v>315</v>
      </c>
      <c r="C14" s="356"/>
      <c r="D14" s="356"/>
      <c r="E14" s="356"/>
      <c r="F14" s="356"/>
      <c r="G14" s="356"/>
      <c r="H14" s="356"/>
      <c r="I14" s="356"/>
      <c r="J14" s="356"/>
      <c r="K14" s="356"/>
      <c r="L14" s="356"/>
      <c r="M14" s="357"/>
    </row>
    <row r="15" spans="2:13" ht="12.75" customHeight="1">
      <c r="B15" s="358" t="s">
        <v>316</v>
      </c>
      <c r="C15" s="359"/>
      <c r="D15" s="359"/>
      <c r="E15" s="359"/>
      <c r="F15" s="359"/>
      <c r="G15" s="359"/>
      <c r="H15" s="359"/>
      <c r="I15" s="359"/>
      <c r="J15" s="359"/>
      <c r="K15" s="359"/>
      <c r="L15" s="359"/>
      <c r="M15" s="360"/>
    </row>
    <row r="16" spans="2:13">
      <c r="B16" s="126">
        <v>1</v>
      </c>
      <c r="C16" s="361" t="s">
        <v>348</v>
      </c>
      <c r="D16" s="362"/>
      <c r="E16" s="73" t="s">
        <v>308</v>
      </c>
      <c r="F16" s="74" t="s">
        <v>310</v>
      </c>
      <c r="G16" s="87" t="s">
        <v>462</v>
      </c>
      <c r="H16" s="75" t="s">
        <v>460</v>
      </c>
      <c r="I16" s="74" t="s">
        <v>310</v>
      </c>
      <c r="J16" s="87" t="s">
        <v>463</v>
      </c>
      <c r="K16" s="75" t="s">
        <v>461</v>
      </c>
      <c r="L16" s="76"/>
      <c r="M16" s="76" t="s">
        <v>165</v>
      </c>
    </row>
    <row r="17" spans="2:13">
      <c r="B17" s="126">
        <v>2</v>
      </c>
      <c r="C17" s="323" t="s">
        <v>317</v>
      </c>
      <c r="D17" s="324"/>
      <c r="E17" s="73" t="s">
        <v>308</v>
      </c>
      <c r="F17" s="74" t="s">
        <v>310</v>
      </c>
      <c r="G17" s="87" t="s">
        <v>462</v>
      </c>
      <c r="H17" s="75" t="s">
        <v>460</v>
      </c>
      <c r="I17" s="74" t="s">
        <v>310</v>
      </c>
      <c r="J17" s="87" t="s">
        <v>463</v>
      </c>
      <c r="K17" s="75" t="s">
        <v>461</v>
      </c>
      <c r="L17" s="76"/>
      <c r="M17" s="76" t="s">
        <v>165</v>
      </c>
    </row>
    <row r="18" spans="2:13">
      <c r="B18" s="126">
        <v>3</v>
      </c>
      <c r="C18" s="323" t="s">
        <v>318</v>
      </c>
      <c r="D18" s="324"/>
      <c r="E18" s="73" t="s">
        <v>308</v>
      </c>
      <c r="F18" s="74" t="s">
        <v>310</v>
      </c>
      <c r="G18" s="87" t="s">
        <v>462</v>
      </c>
      <c r="H18" s="75" t="s">
        <v>460</v>
      </c>
      <c r="I18" s="74" t="s">
        <v>310</v>
      </c>
      <c r="J18" s="87" t="s">
        <v>463</v>
      </c>
      <c r="K18" s="75" t="s">
        <v>461</v>
      </c>
      <c r="L18" s="76"/>
      <c r="M18" s="76" t="s">
        <v>165</v>
      </c>
    </row>
    <row r="19" spans="2:13">
      <c r="B19" s="126">
        <v>4</v>
      </c>
      <c r="C19" s="365" t="s">
        <v>349</v>
      </c>
      <c r="D19" s="366"/>
      <c r="E19" s="73" t="s">
        <v>308</v>
      </c>
      <c r="F19" s="74" t="s">
        <v>310</v>
      </c>
      <c r="G19" s="87" t="s">
        <v>462</v>
      </c>
      <c r="H19" s="75" t="s">
        <v>460</v>
      </c>
      <c r="I19" s="74" t="s">
        <v>310</v>
      </c>
      <c r="J19" s="87" t="s">
        <v>463</v>
      </c>
      <c r="K19" s="75" t="s">
        <v>461</v>
      </c>
      <c r="L19" s="76"/>
      <c r="M19" s="76" t="s">
        <v>165</v>
      </c>
    </row>
    <row r="20" spans="2:13">
      <c r="B20" s="126">
        <v>5</v>
      </c>
      <c r="C20" s="365" t="s">
        <v>319</v>
      </c>
      <c r="D20" s="366"/>
      <c r="E20" s="73" t="s">
        <v>308</v>
      </c>
      <c r="F20" s="74" t="s">
        <v>310</v>
      </c>
      <c r="G20" s="87" t="s">
        <v>462</v>
      </c>
      <c r="H20" s="75" t="s">
        <v>460</v>
      </c>
      <c r="I20" s="74" t="s">
        <v>310</v>
      </c>
      <c r="J20" s="87" t="s">
        <v>463</v>
      </c>
      <c r="K20" s="75" t="s">
        <v>461</v>
      </c>
      <c r="L20" s="76"/>
      <c r="M20" s="76" t="s">
        <v>165</v>
      </c>
    </row>
    <row r="21" spans="2:13" ht="27.75" customHeight="1">
      <c r="B21" s="127">
        <v>6</v>
      </c>
      <c r="C21" s="265" t="s">
        <v>320</v>
      </c>
      <c r="D21" s="265"/>
      <c r="E21" s="73" t="s">
        <v>308</v>
      </c>
      <c r="F21" s="74" t="s">
        <v>310</v>
      </c>
      <c r="G21" s="87" t="s">
        <v>462</v>
      </c>
      <c r="H21" s="75" t="s">
        <v>460</v>
      </c>
      <c r="I21" s="74" t="s">
        <v>310</v>
      </c>
      <c r="J21" s="87" t="s">
        <v>463</v>
      </c>
      <c r="K21" s="75" t="s">
        <v>461</v>
      </c>
      <c r="L21" s="76"/>
      <c r="M21" s="76" t="s">
        <v>165</v>
      </c>
    </row>
    <row r="22" spans="2:13">
      <c r="B22" s="128"/>
      <c r="C22" s="367" t="s">
        <v>350</v>
      </c>
      <c r="D22" s="367"/>
      <c r="E22" s="73" t="s">
        <v>307</v>
      </c>
      <c r="F22" s="74" t="s">
        <v>310</v>
      </c>
      <c r="G22" s="87" t="s">
        <v>462</v>
      </c>
      <c r="H22" s="75" t="s">
        <v>460</v>
      </c>
      <c r="I22" s="74" t="s">
        <v>310</v>
      </c>
      <c r="J22" s="87" t="s">
        <v>463</v>
      </c>
      <c r="K22" s="75" t="s">
        <v>461</v>
      </c>
      <c r="L22" s="76"/>
      <c r="M22" s="76" t="s">
        <v>165</v>
      </c>
    </row>
    <row r="23" spans="2:13" ht="26.25" customHeight="1">
      <c r="B23" s="129"/>
      <c r="C23" s="367" t="s">
        <v>351</v>
      </c>
      <c r="D23" s="367"/>
      <c r="E23" s="130" t="s">
        <v>308</v>
      </c>
      <c r="F23" s="74" t="s">
        <v>310</v>
      </c>
      <c r="G23" s="87" t="s">
        <v>462</v>
      </c>
      <c r="H23" s="75" t="s">
        <v>460</v>
      </c>
      <c r="I23" s="74" t="s">
        <v>310</v>
      </c>
      <c r="J23" s="87" t="s">
        <v>463</v>
      </c>
      <c r="K23" s="75" t="s">
        <v>461</v>
      </c>
      <c r="L23" s="76"/>
      <c r="M23" s="76" t="s">
        <v>165</v>
      </c>
    </row>
    <row r="24" spans="2:13">
      <c r="B24" s="126">
        <v>7</v>
      </c>
      <c r="C24" s="361" t="s">
        <v>321</v>
      </c>
      <c r="D24" s="362"/>
      <c r="E24" s="73" t="s">
        <v>308</v>
      </c>
      <c r="F24" s="74" t="s">
        <v>310</v>
      </c>
      <c r="G24" s="87" t="s">
        <v>462</v>
      </c>
      <c r="H24" s="75" t="s">
        <v>460</v>
      </c>
      <c r="I24" s="74" t="s">
        <v>310</v>
      </c>
      <c r="J24" s="87" t="s">
        <v>463</v>
      </c>
      <c r="K24" s="75" t="s">
        <v>461</v>
      </c>
      <c r="L24" s="76"/>
      <c r="M24" s="76" t="s">
        <v>165</v>
      </c>
    </row>
    <row r="25" spans="2:13">
      <c r="B25" s="126">
        <v>8</v>
      </c>
      <c r="C25" s="361" t="s">
        <v>322</v>
      </c>
      <c r="D25" s="368"/>
      <c r="E25" s="73" t="s">
        <v>308</v>
      </c>
      <c r="F25" s="74" t="s">
        <v>310</v>
      </c>
      <c r="G25" s="87" t="s">
        <v>462</v>
      </c>
      <c r="H25" s="75" t="s">
        <v>460</v>
      </c>
      <c r="I25" s="74" t="s">
        <v>310</v>
      </c>
      <c r="J25" s="87" t="s">
        <v>463</v>
      </c>
      <c r="K25" s="75" t="s">
        <v>461</v>
      </c>
      <c r="L25" s="76"/>
      <c r="M25" s="76" t="s">
        <v>165</v>
      </c>
    </row>
    <row r="26" spans="2:13">
      <c r="B26" s="126">
        <v>9</v>
      </c>
      <c r="C26" s="363" t="s">
        <v>323</v>
      </c>
      <c r="D26" s="364"/>
      <c r="E26" s="73" t="s">
        <v>308</v>
      </c>
      <c r="F26" s="74" t="s">
        <v>310</v>
      </c>
      <c r="G26" s="87" t="s">
        <v>462</v>
      </c>
      <c r="H26" s="75" t="s">
        <v>460</v>
      </c>
      <c r="I26" s="74" t="s">
        <v>310</v>
      </c>
      <c r="J26" s="87" t="s">
        <v>463</v>
      </c>
      <c r="K26" s="75" t="s">
        <v>461</v>
      </c>
      <c r="L26" s="76"/>
      <c r="M26" s="76" t="s">
        <v>165</v>
      </c>
    </row>
    <row r="27" spans="2:13" ht="78" customHeight="1">
      <c r="B27" s="126">
        <v>10</v>
      </c>
      <c r="C27" s="369" t="s">
        <v>352</v>
      </c>
      <c r="D27" s="364"/>
      <c r="E27" s="73" t="s">
        <v>308</v>
      </c>
      <c r="F27" s="74" t="s">
        <v>310</v>
      </c>
      <c r="G27" s="87" t="s">
        <v>462</v>
      </c>
      <c r="H27" s="75" t="s">
        <v>460</v>
      </c>
      <c r="I27" s="74" t="s">
        <v>310</v>
      </c>
      <c r="J27" s="87" t="s">
        <v>463</v>
      </c>
      <c r="K27" s="75" t="s">
        <v>461</v>
      </c>
      <c r="L27" s="76"/>
      <c r="M27" s="76" t="s">
        <v>165</v>
      </c>
    </row>
    <row r="28" spans="2:13" ht="38.25" customHeight="1">
      <c r="B28" s="131">
        <v>11</v>
      </c>
      <c r="C28" s="363" t="s">
        <v>324</v>
      </c>
      <c r="D28" s="364"/>
      <c r="E28" s="130" t="s">
        <v>308</v>
      </c>
      <c r="F28" s="74" t="s">
        <v>310</v>
      </c>
      <c r="G28" s="87" t="s">
        <v>462</v>
      </c>
      <c r="H28" s="75" t="s">
        <v>460</v>
      </c>
      <c r="I28" s="74" t="s">
        <v>310</v>
      </c>
      <c r="J28" s="87" t="s">
        <v>463</v>
      </c>
      <c r="K28" s="75" t="s">
        <v>461</v>
      </c>
      <c r="L28" s="76"/>
      <c r="M28" s="76" t="s">
        <v>165</v>
      </c>
    </row>
    <row r="29" spans="2:13" ht="27.75" customHeight="1">
      <c r="B29" s="131">
        <v>12</v>
      </c>
      <c r="C29" s="363" t="s">
        <v>325</v>
      </c>
      <c r="D29" s="364"/>
      <c r="E29" s="130" t="s">
        <v>308</v>
      </c>
      <c r="F29" s="74" t="s">
        <v>310</v>
      </c>
      <c r="G29" s="87" t="s">
        <v>462</v>
      </c>
      <c r="H29" s="75" t="s">
        <v>460</v>
      </c>
      <c r="I29" s="74" t="s">
        <v>310</v>
      </c>
      <c r="J29" s="87" t="s">
        <v>463</v>
      </c>
      <c r="K29" s="75" t="s">
        <v>461</v>
      </c>
      <c r="L29" s="76"/>
      <c r="M29" s="76" t="s">
        <v>165</v>
      </c>
    </row>
    <row r="30" spans="2:13" s="15" customFormat="1">
      <c r="B30" s="132" t="s">
        <v>353</v>
      </c>
      <c r="C30" s="99"/>
      <c r="D30" s="99"/>
      <c r="E30" s="133"/>
      <c r="F30" s="133"/>
      <c r="G30" s="100" t="s">
        <v>447</v>
      </c>
      <c r="H30" s="133"/>
      <c r="I30" s="133"/>
      <c r="J30" s="100" t="s">
        <v>447</v>
      </c>
      <c r="K30" s="133"/>
      <c r="L30" s="133"/>
      <c r="M30" s="134"/>
    </row>
    <row r="31" spans="2:13">
      <c r="B31" s="131">
        <v>1</v>
      </c>
      <c r="C31" s="363" t="s">
        <v>346</v>
      </c>
      <c r="D31" s="364"/>
      <c r="E31" s="130" t="s">
        <v>308</v>
      </c>
      <c r="F31" s="74" t="s">
        <v>310</v>
      </c>
      <c r="G31" s="87" t="s">
        <v>462</v>
      </c>
      <c r="H31" s="75" t="s">
        <v>460</v>
      </c>
      <c r="I31" s="74" t="s">
        <v>310</v>
      </c>
      <c r="J31" s="87" t="s">
        <v>463</v>
      </c>
      <c r="K31" s="75" t="s">
        <v>461</v>
      </c>
      <c r="L31" s="76"/>
      <c r="M31" s="76" t="s">
        <v>165</v>
      </c>
    </row>
    <row r="32" spans="2:13" ht="33.75" customHeight="1">
      <c r="B32" s="131">
        <v>2</v>
      </c>
      <c r="C32" s="363" t="s">
        <v>354</v>
      </c>
      <c r="D32" s="364"/>
      <c r="E32" s="130" t="s">
        <v>308</v>
      </c>
      <c r="F32" s="74" t="s">
        <v>296</v>
      </c>
      <c r="G32" s="87" t="s">
        <v>462</v>
      </c>
      <c r="H32" s="75" t="s">
        <v>460</v>
      </c>
      <c r="I32" s="74" t="s">
        <v>296</v>
      </c>
      <c r="J32" s="87" t="s">
        <v>463</v>
      </c>
      <c r="K32" s="75" t="s">
        <v>461</v>
      </c>
      <c r="L32" s="135" t="s">
        <v>475</v>
      </c>
      <c r="M32" s="76" t="s">
        <v>165</v>
      </c>
    </row>
    <row r="33" spans="2:13" ht="36.75" customHeight="1">
      <c r="B33" s="131">
        <v>3</v>
      </c>
      <c r="C33" s="363" t="s">
        <v>444</v>
      </c>
      <c r="D33" s="364"/>
      <c r="E33" s="130" t="s">
        <v>308</v>
      </c>
      <c r="F33" s="74" t="s">
        <v>310</v>
      </c>
      <c r="G33" s="136" t="s">
        <v>462</v>
      </c>
      <c r="H33" s="75" t="s">
        <v>460</v>
      </c>
      <c r="I33" s="74" t="s">
        <v>310</v>
      </c>
      <c r="J33" s="136" t="s">
        <v>463</v>
      </c>
      <c r="K33" s="75" t="s">
        <v>461</v>
      </c>
      <c r="L33" s="135"/>
      <c r="M33" s="76" t="s">
        <v>165</v>
      </c>
    </row>
    <row r="34" spans="2:13" ht="36.75" customHeight="1" thickBot="1">
      <c r="B34" s="137">
        <v>4</v>
      </c>
      <c r="C34" s="370" t="s">
        <v>456</v>
      </c>
      <c r="D34" s="371"/>
      <c r="E34" s="138" t="s">
        <v>308</v>
      </c>
      <c r="F34" s="147" t="s">
        <v>310</v>
      </c>
      <c r="G34" s="139" t="s">
        <v>462</v>
      </c>
      <c r="H34" s="140" t="s">
        <v>460</v>
      </c>
      <c r="I34" s="147" t="s">
        <v>310</v>
      </c>
      <c r="J34" s="139" t="s">
        <v>463</v>
      </c>
      <c r="K34" s="140" t="s">
        <v>461</v>
      </c>
      <c r="L34" s="141"/>
      <c r="M34" s="142" t="s">
        <v>457</v>
      </c>
    </row>
    <row r="35" spans="2:13" ht="13.5" thickBot="1"/>
    <row r="36" spans="2:13" ht="13.5" thickBot="1">
      <c r="B36" s="372" t="s">
        <v>326</v>
      </c>
      <c r="C36" s="373"/>
      <c r="D36" s="373"/>
      <c r="E36" s="373"/>
      <c r="F36" s="373"/>
      <c r="G36" s="373"/>
      <c r="H36" s="373"/>
      <c r="I36" s="373"/>
      <c r="J36" s="373"/>
      <c r="K36" s="374"/>
    </row>
    <row r="37" spans="2:13" ht="25.5">
      <c r="B37" s="88" t="s">
        <v>327</v>
      </c>
      <c r="C37" s="375" t="s">
        <v>301</v>
      </c>
      <c r="D37" s="376"/>
      <c r="E37" s="89" t="s">
        <v>328</v>
      </c>
      <c r="F37" s="375" t="s">
        <v>329</v>
      </c>
      <c r="G37" s="377"/>
      <c r="H37" s="377"/>
      <c r="I37" s="377"/>
      <c r="J37" s="377"/>
      <c r="K37" s="378"/>
    </row>
    <row r="38" spans="2:13">
      <c r="B38" s="90"/>
      <c r="C38" s="361"/>
      <c r="D38" s="362"/>
      <c r="E38" s="91"/>
      <c r="F38" s="380"/>
      <c r="G38" s="381"/>
      <c r="H38" s="381"/>
      <c r="I38" s="381"/>
      <c r="J38" s="381"/>
      <c r="K38" s="382"/>
    </row>
    <row r="39" spans="2:13">
      <c r="B39" s="92"/>
      <c r="C39" s="92"/>
      <c r="D39" s="92"/>
      <c r="E39" s="92"/>
      <c r="F39" s="93"/>
      <c r="G39" s="94"/>
      <c r="H39" s="92"/>
      <c r="I39" s="92"/>
      <c r="J39" s="94"/>
      <c r="K39" s="92"/>
      <c r="L39" s="92"/>
    </row>
    <row r="40" spans="2:13" s="113" customFormat="1">
      <c r="B40" s="117" t="s">
        <v>330</v>
      </c>
      <c r="C40" s="77"/>
      <c r="D40" s="92"/>
      <c r="E40" s="143"/>
      <c r="F40" s="95"/>
      <c r="G40" s="144"/>
      <c r="H40" s="143"/>
      <c r="I40" s="143"/>
      <c r="J40" s="144"/>
      <c r="K40" s="143"/>
      <c r="L40" s="96"/>
    </row>
    <row r="41" spans="2:13" s="113" customFormat="1">
      <c r="B41" s="117" t="s">
        <v>309</v>
      </c>
      <c r="C41" s="77"/>
      <c r="D41" s="92"/>
      <c r="E41" s="143"/>
      <c r="F41" s="95"/>
      <c r="G41" s="144"/>
      <c r="H41" s="143"/>
      <c r="I41" s="143"/>
      <c r="J41" s="144"/>
      <c r="K41" s="143"/>
      <c r="L41" s="143"/>
    </row>
    <row r="42" spans="2:13" s="113" customFormat="1">
      <c r="B42" s="117" t="s">
        <v>331</v>
      </c>
      <c r="C42" s="77"/>
      <c r="D42" s="92"/>
      <c r="E42" s="143"/>
      <c r="F42" s="95"/>
      <c r="G42" s="144"/>
      <c r="H42" s="143"/>
      <c r="I42" s="143"/>
      <c r="J42" s="144"/>
      <c r="K42" s="143"/>
      <c r="L42" s="143"/>
    </row>
    <row r="43" spans="2:13" s="113" customFormat="1">
      <c r="B43" s="145" t="s">
        <v>332</v>
      </c>
      <c r="C43" s="146"/>
      <c r="D43" s="146"/>
      <c r="F43" s="72"/>
      <c r="G43" s="114"/>
      <c r="J43" s="114"/>
    </row>
    <row r="44" spans="2:13" s="113" customFormat="1">
      <c r="B44" s="145"/>
      <c r="C44" s="379" t="s">
        <v>333</v>
      </c>
      <c r="D44" s="379"/>
      <c r="F44" s="72"/>
      <c r="G44" s="114"/>
      <c r="J44" s="114"/>
    </row>
    <row r="45" spans="2:13">
      <c r="B45" s="146"/>
      <c r="C45" s="379" t="s">
        <v>334</v>
      </c>
      <c r="D45" s="379"/>
    </row>
    <row r="46" spans="2:13">
      <c r="B46" s="146"/>
      <c r="C46" s="379" t="s">
        <v>335</v>
      </c>
      <c r="D46" s="379"/>
    </row>
    <row r="47" spans="2:13">
      <c r="B47" s="146"/>
      <c r="C47" s="379" t="s">
        <v>336</v>
      </c>
      <c r="D47" s="379"/>
    </row>
    <row r="48" spans="2:13">
      <c r="B48" s="146"/>
      <c r="C48" s="379" t="s">
        <v>337</v>
      </c>
      <c r="D48" s="379"/>
    </row>
    <row r="49" spans="2:4">
      <c r="B49" s="146"/>
      <c r="C49" s="379" t="s">
        <v>338</v>
      </c>
      <c r="D49" s="379"/>
    </row>
    <row r="50" spans="2:4">
      <c r="B50" s="146"/>
      <c r="C50" s="379" t="s">
        <v>339</v>
      </c>
      <c r="D50" s="379"/>
    </row>
    <row r="51" spans="2:4">
      <c r="B51" s="146"/>
      <c r="C51" s="379" t="s">
        <v>340</v>
      </c>
      <c r="D51" s="379"/>
    </row>
    <row r="52" spans="2:4">
      <c r="B52" s="146"/>
      <c r="C52" s="379" t="s">
        <v>341</v>
      </c>
      <c r="D52" s="379"/>
    </row>
    <row r="53" spans="2:4">
      <c r="C53" s="379"/>
      <c r="D53" s="379"/>
    </row>
    <row r="54" spans="2:4">
      <c r="C54" s="118"/>
      <c r="D54" s="118"/>
    </row>
    <row r="55" spans="2:4">
      <c r="C55" s="118"/>
      <c r="D55" s="118"/>
    </row>
    <row r="56" spans="2:4">
      <c r="C56" s="118"/>
      <c r="D56" s="118"/>
    </row>
    <row r="57" spans="2:4">
      <c r="C57" s="118"/>
      <c r="D57" s="118"/>
    </row>
  </sheetData>
  <mergeCells count="44">
    <mergeCell ref="C53:D53"/>
    <mergeCell ref="C38:D38"/>
    <mergeCell ref="F38:K38"/>
    <mergeCell ref="C44:D44"/>
    <mergeCell ref="C45:D45"/>
    <mergeCell ref="C46:D46"/>
    <mergeCell ref="C47:D47"/>
    <mergeCell ref="C48:D48"/>
    <mergeCell ref="C49:D49"/>
    <mergeCell ref="C50:D50"/>
    <mergeCell ref="C51:D51"/>
    <mergeCell ref="C52:D52"/>
    <mergeCell ref="C32:D32"/>
    <mergeCell ref="C33:D33"/>
    <mergeCell ref="C34:D34"/>
    <mergeCell ref="B36:K36"/>
    <mergeCell ref="C37:D37"/>
    <mergeCell ref="F37:K37"/>
    <mergeCell ref="C31:D31"/>
    <mergeCell ref="C19:D19"/>
    <mergeCell ref="C20:D20"/>
    <mergeCell ref="C21:D21"/>
    <mergeCell ref="C22:D22"/>
    <mergeCell ref="C23:D23"/>
    <mergeCell ref="C24:D24"/>
    <mergeCell ref="C25:D25"/>
    <mergeCell ref="C26:D26"/>
    <mergeCell ref="C27:D27"/>
    <mergeCell ref="C28:D28"/>
    <mergeCell ref="C29:D29"/>
    <mergeCell ref="C18:D18"/>
    <mergeCell ref="B6:C7"/>
    <mergeCell ref="D6:D7"/>
    <mergeCell ref="E6:F7"/>
    <mergeCell ref="G6:K7"/>
    <mergeCell ref="B8:C8"/>
    <mergeCell ref="E8:F9"/>
    <mergeCell ref="G8:K9"/>
    <mergeCell ref="B9:C9"/>
    <mergeCell ref="C13:D13"/>
    <mergeCell ref="B14:M14"/>
    <mergeCell ref="B15:M15"/>
    <mergeCell ref="C16:D16"/>
    <mergeCell ref="C17:D17"/>
  </mergeCells>
  <conditionalFormatting sqref="E38">
    <cfRule type="containsBlanks" dxfId="41" priority="17" stopIfTrue="1">
      <formula>LEN(TRIM(E38))=0</formula>
    </cfRule>
  </conditionalFormatting>
  <conditionalFormatting sqref="F16:H29">
    <cfRule type="containsBlanks" dxfId="40" priority="16" stopIfTrue="1">
      <formula>LEN(TRIM(F16))=0</formula>
    </cfRule>
  </conditionalFormatting>
  <conditionalFormatting sqref="F31:H31 G34:H34 F32:F34 H32:H33">
    <cfRule type="containsBlanks" dxfId="39" priority="14" stopIfTrue="1">
      <formula>LEN(TRIM(F31))=0</formula>
    </cfRule>
  </conditionalFormatting>
  <conditionalFormatting sqref="G32">
    <cfRule type="containsBlanks" dxfId="38" priority="12" stopIfTrue="1">
      <formula>LEN(TRIM(G32))=0</formula>
    </cfRule>
  </conditionalFormatting>
  <conditionalFormatting sqref="G33">
    <cfRule type="containsBlanks" dxfId="37" priority="10" stopIfTrue="1">
      <formula>LEN(TRIM(G33))=0</formula>
    </cfRule>
  </conditionalFormatting>
  <conditionalFormatting sqref="I16:I29">
    <cfRule type="containsBlanks" dxfId="36" priority="8" stopIfTrue="1">
      <formula>LEN(TRIM(I16))=0</formula>
    </cfRule>
  </conditionalFormatting>
  <conditionalFormatting sqref="I31:I34">
    <cfRule type="containsBlanks" dxfId="35" priority="7" stopIfTrue="1">
      <formula>LEN(TRIM(I31))=0</formula>
    </cfRule>
  </conditionalFormatting>
  <conditionalFormatting sqref="J16:J29">
    <cfRule type="containsBlanks" dxfId="34" priority="6" stopIfTrue="1">
      <formula>LEN(TRIM(J16))=0</formula>
    </cfRule>
  </conditionalFormatting>
  <conditionalFormatting sqref="J31 J34">
    <cfRule type="containsBlanks" dxfId="33" priority="5" stopIfTrue="1">
      <formula>LEN(TRIM(J31))=0</formula>
    </cfRule>
  </conditionalFormatting>
  <conditionalFormatting sqref="J32">
    <cfRule type="containsBlanks" dxfId="32" priority="4" stopIfTrue="1">
      <formula>LEN(TRIM(J32))=0</formula>
    </cfRule>
  </conditionalFormatting>
  <conditionalFormatting sqref="J33">
    <cfRule type="containsBlanks" dxfId="31" priority="3" stopIfTrue="1">
      <formula>LEN(TRIM(J33))=0</formula>
    </cfRule>
  </conditionalFormatting>
  <conditionalFormatting sqref="K16:K29">
    <cfRule type="containsBlanks" dxfId="30" priority="2" stopIfTrue="1">
      <formula>LEN(TRIM(K16))=0</formula>
    </cfRule>
  </conditionalFormatting>
  <conditionalFormatting sqref="K31:K34">
    <cfRule type="containsBlanks" dxfId="29" priority="1" stopIfTrue="1">
      <formula>LEN(TRIM(K31))=0</formula>
    </cfRule>
  </conditionalFormatting>
  <dataValidations count="3">
    <dataValidation type="list" allowBlank="1" showInputMessage="1" showErrorMessage="1" sqref="E16:E29 JA16:JA29 SW16:SW29 ACS16:ACS29 AMO16:AMO29 AWK16:AWK29 BGG16:BGG29 BQC16:BQC29 BZY16:BZY29 CJU16:CJU29 CTQ16:CTQ29 DDM16:DDM29 DNI16:DNI29 DXE16:DXE29 EHA16:EHA29 EQW16:EQW29 FAS16:FAS29 FKO16:FKO29 FUK16:FUK29 GEG16:GEG29 GOC16:GOC29 GXY16:GXY29 HHU16:HHU29 HRQ16:HRQ29 IBM16:IBM29 ILI16:ILI29 IVE16:IVE29 JFA16:JFA29 JOW16:JOW29 JYS16:JYS29 KIO16:KIO29 KSK16:KSK29 LCG16:LCG29 LMC16:LMC29 LVY16:LVY29 MFU16:MFU29 MPQ16:MPQ29 MZM16:MZM29 NJI16:NJI29 NTE16:NTE29 ODA16:ODA29 OMW16:OMW29 OWS16:OWS29 PGO16:PGO29 PQK16:PQK29 QAG16:QAG29 QKC16:QKC29 QTY16:QTY29 RDU16:RDU29 RNQ16:RNQ29 RXM16:RXM29 SHI16:SHI29 SRE16:SRE29 TBA16:TBA29 TKW16:TKW29 TUS16:TUS29 UEO16:UEO29 UOK16:UOK29 UYG16:UYG29 VIC16:VIC29 VRY16:VRY29 WBU16:WBU29 WLQ16:WLQ29 WVM16:WVM29 E65552:E65565 JA65552:JA65565 SW65552:SW65565 ACS65552:ACS65565 AMO65552:AMO65565 AWK65552:AWK65565 BGG65552:BGG65565 BQC65552:BQC65565 BZY65552:BZY65565 CJU65552:CJU65565 CTQ65552:CTQ65565 DDM65552:DDM65565 DNI65552:DNI65565 DXE65552:DXE65565 EHA65552:EHA65565 EQW65552:EQW65565 FAS65552:FAS65565 FKO65552:FKO65565 FUK65552:FUK65565 GEG65552:GEG65565 GOC65552:GOC65565 GXY65552:GXY65565 HHU65552:HHU65565 HRQ65552:HRQ65565 IBM65552:IBM65565 ILI65552:ILI65565 IVE65552:IVE65565 JFA65552:JFA65565 JOW65552:JOW65565 JYS65552:JYS65565 KIO65552:KIO65565 KSK65552:KSK65565 LCG65552:LCG65565 LMC65552:LMC65565 LVY65552:LVY65565 MFU65552:MFU65565 MPQ65552:MPQ65565 MZM65552:MZM65565 NJI65552:NJI65565 NTE65552:NTE65565 ODA65552:ODA65565 OMW65552:OMW65565 OWS65552:OWS65565 PGO65552:PGO65565 PQK65552:PQK65565 QAG65552:QAG65565 QKC65552:QKC65565 QTY65552:QTY65565 RDU65552:RDU65565 RNQ65552:RNQ65565 RXM65552:RXM65565 SHI65552:SHI65565 SRE65552:SRE65565 TBA65552:TBA65565 TKW65552:TKW65565 TUS65552:TUS65565 UEO65552:UEO65565 UOK65552:UOK65565 UYG65552:UYG65565 VIC65552:VIC65565 VRY65552:VRY65565 WBU65552:WBU65565 WLQ65552:WLQ65565 WVM65552:WVM65565 E131088:E131101 JA131088:JA131101 SW131088:SW131101 ACS131088:ACS131101 AMO131088:AMO131101 AWK131088:AWK131101 BGG131088:BGG131101 BQC131088:BQC131101 BZY131088:BZY131101 CJU131088:CJU131101 CTQ131088:CTQ131101 DDM131088:DDM131101 DNI131088:DNI131101 DXE131088:DXE131101 EHA131088:EHA131101 EQW131088:EQW131101 FAS131088:FAS131101 FKO131088:FKO131101 FUK131088:FUK131101 GEG131088:GEG131101 GOC131088:GOC131101 GXY131088:GXY131101 HHU131088:HHU131101 HRQ131088:HRQ131101 IBM131088:IBM131101 ILI131088:ILI131101 IVE131088:IVE131101 JFA131088:JFA131101 JOW131088:JOW131101 JYS131088:JYS131101 KIO131088:KIO131101 KSK131088:KSK131101 LCG131088:LCG131101 LMC131088:LMC131101 LVY131088:LVY131101 MFU131088:MFU131101 MPQ131088:MPQ131101 MZM131088:MZM131101 NJI131088:NJI131101 NTE131088:NTE131101 ODA131088:ODA131101 OMW131088:OMW131101 OWS131088:OWS131101 PGO131088:PGO131101 PQK131088:PQK131101 QAG131088:QAG131101 QKC131088:QKC131101 QTY131088:QTY131101 RDU131088:RDU131101 RNQ131088:RNQ131101 RXM131088:RXM131101 SHI131088:SHI131101 SRE131088:SRE131101 TBA131088:TBA131101 TKW131088:TKW131101 TUS131088:TUS131101 UEO131088:UEO131101 UOK131088:UOK131101 UYG131088:UYG131101 VIC131088:VIC131101 VRY131088:VRY131101 WBU131088:WBU131101 WLQ131088:WLQ131101 WVM131088:WVM131101 E196624:E196637 JA196624:JA196637 SW196624:SW196637 ACS196624:ACS196637 AMO196624:AMO196637 AWK196624:AWK196637 BGG196624:BGG196637 BQC196624:BQC196637 BZY196624:BZY196637 CJU196624:CJU196637 CTQ196624:CTQ196637 DDM196624:DDM196637 DNI196624:DNI196637 DXE196624:DXE196637 EHA196624:EHA196637 EQW196624:EQW196637 FAS196624:FAS196637 FKO196624:FKO196637 FUK196624:FUK196637 GEG196624:GEG196637 GOC196624:GOC196637 GXY196624:GXY196637 HHU196624:HHU196637 HRQ196624:HRQ196637 IBM196624:IBM196637 ILI196624:ILI196637 IVE196624:IVE196637 JFA196624:JFA196637 JOW196624:JOW196637 JYS196624:JYS196637 KIO196624:KIO196637 KSK196624:KSK196637 LCG196624:LCG196637 LMC196624:LMC196637 LVY196624:LVY196637 MFU196624:MFU196637 MPQ196624:MPQ196637 MZM196624:MZM196637 NJI196624:NJI196637 NTE196624:NTE196637 ODA196624:ODA196637 OMW196624:OMW196637 OWS196624:OWS196637 PGO196624:PGO196637 PQK196624:PQK196637 QAG196624:QAG196637 QKC196624:QKC196637 QTY196624:QTY196637 RDU196624:RDU196637 RNQ196624:RNQ196637 RXM196624:RXM196637 SHI196624:SHI196637 SRE196624:SRE196637 TBA196624:TBA196637 TKW196624:TKW196637 TUS196624:TUS196637 UEO196624:UEO196637 UOK196624:UOK196637 UYG196624:UYG196637 VIC196624:VIC196637 VRY196624:VRY196637 WBU196624:WBU196637 WLQ196624:WLQ196637 WVM196624:WVM196637 E262160:E262173 JA262160:JA262173 SW262160:SW262173 ACS262160:ACS262173 AMO262160:AMO262173 AWK262160:AWK262173 BGG262160:BGG262173 BQC262160:BQC262173 BZY262160:BZY262173 CJU262160:CJU262173 CTQ262160:CTQ262173 DDM262160:DDM262173 DNI262160:DNI262173 DXE262160:DXE262173 EHA262160:EHA262173 EQW262160:EQW262173 FAS262160:FAS262173 FKO262160:FKO262173 FUK262160:FUK262173 GEG262160:GEG262173 GOC262160:GOC262173 GXY262160:GXY262173 HHU262160:HHU262173 HRQ262160:HRQ262173 IBM262160:IBM262173 ILI262160:ILI262173 IVE262160:IVE262173 JFA262160:JFA262173 JOW262160:JOW262173 JYS262160:JYS262173 KIO262160:KIO262173 KSK262160:KSK262173 LCG262160:LCG262173 LMC262160:LMC262173 LVY262160:LVY262173 MFU262160:MFU262173 MPQ262160:MPQ262173 MZM262160:MZM262173 NJI262160:NJI262173 NTE262160:NTE262173 ODA262160:ODA262173 OMW262160:OMW262173 OWS262160:OWS262173 PGO262160:PGO262173 PQK262160:PQK262173 QAG262160:QAG262173 QKC262160:QKC262173 QTY262160:QTY262173 RDU262160:RDU262173 RNQ262160:RNQ262173 RXM262160:RXM262173 SHI262160:SHI262173 SRE262160:SRE262173 TBA262160:TBA262173 TKW262160:TKW262173 TUS262160:TUS262173 UEO262160:UEO262173 UOK262160:UOK262173 UYG262160:UYG262173 VIC262160:VIC262173 VRY262160:VRY262173 WBU262160:WBU262173 WLQ262160:WLQ262173 WVM262160:WVM262173 E327696:E327709 JA327696:JA327709 SW327696:SW327709 ACS327696:ACS327709 AMO327696:AMO327709 AWK327696:AWK327709 BGG327696:BGG327709 BQC327696:BQC327709 BZY327696:BZY327709 CJU327696:CJU327709 CTQ327696:CTQ327709 DDM327696:DDM327709 DNI327696:DNI327709 DXE327696:DXE327709 EHA327696:EHA327709 EQW327696:EQW327709 FAS327696:FAS327709 FKO327696:FKO327709 FUK327696:FUK327709 GEG327696:GEG327709 GOC327696:GOC327709 GXY327696:GXY327709 HHU327696:HHU327709 HRQ327696:HRQ327709 IBM327696:IBM327709 ILI327696:ILI327709 IVE327696:IVE327709 JFA327696:JFA327709 JOW327696:JOW327709 JYS327696:JYS327709 KIO327696:KIO327709 KSK327696:KSK327709 LCG327696:LCG327709 LMC327696:LMC327709 LVY327696:LVY327709 MFU327696:MFU327709 MPQ327696:MPQ327709 MZM327696:MZM327709 NJI327696:NJI327709 NTE327696:NTE327709 ODA327696:ODA327709 OMW327696:OMW327709 OWS327696:OWS327709 PGO327696:PGO327709 PQK327696:PQK327709 QAG327696:QAG327709 QKC327696:QKC327709 QTY327696:QTY327709 RDU327696:RDU327709 RNQ327696:RNQ327709 RXM327696:RXM327709 SHI327696:SHI327709 SRE327696:SRE327709 TBA327696:TBA327709 TKW327696:TKW327709 TUS327696:TUS327709 UEO327696:UEO327709 UOK327696:UOK327709 UYG327696:UYG327709 VIC327696:VIC327709 VRY327696:VRY327709 WBU327696:WBU327709 WLQ327696:WLQ327709 WVM327696:WVM327709 E393232:E393245 JA393232:JA393245 SW393232:SW393245 ACS393232:ACS393245 AMO393232:AMO393245 AWK393232:AWK393245 BGG393232:BGG393245 BQC393232:BQC393245 BZY393232:BZY393245 CJU393232:CJU393245 CTQ393232:CTQ393245 DDM393232:DDM393245 DNI393232:DNI393245 DXE393232:DXE393245 EHA393232:EHA393245 EQW393232:EQW393245 FAS393232:FAS393245 FKO393232:FKO393245 FUK393232:FUK393245 GEG393232:GEG393245 GOC393232:GOC393245 GXY393232:GXY393245 HHU393232:HHU393245 HRQ393232:HRQ393245 IBM393232:IBM393245 ILI393232:ILI393245 IVE393232:IVE393245 JFA393232:JFA393245 JOW393232:JOW393245 JYS393232:JYS393245 KIO393232:KIO393245 KSK393232:KSK393245 LCG393232:LCG393245 LMC393232:LMC393245 LVY393232:LVY393245 MFU393232:MFU393245 MPQ393232:MPQ393245 MZM393232:MZM393245 NJI393232:NJI393245 NTE393232:NTE393245 ODA393232:ODA393245 OMW393232:OMW393245 OWS393232:OWS393245 PGO393232:PGO393245 PQK393232:PQK393245 QAG393232:QAG393245 QKC393232:QKC393245 QTY393232:QTY393245 RDU393232:RDU393245 RNQ393232:RNQ393245 RXM393232:RXM393245 SHI393232:SHI393245 SRE393232:SRE393245 TBA393232:TBA393245 TKW393232:TKW393245 TUS393232:TUS393245 UEO393232:UEO393245 UOK393232:UOK393245 UYG393232:UYG393245 VIC393232:VIC393245 VRY393232:VRY393245 WBU393232:WBU393245 WLQ393232:WLQ393245 WVM393232:WVM393245 E458768:E458781 JA458768:JA458781 SW458768:SW458781 ACS458768:ACS458781 AMO458768:AMO458781 AWK458768:AWK458781 BGG458768:BGG458781 BQC458768:BQC458781 BZY458768:BZY458781 CJU458768:CJU458781 CTQ458768:CTQ458781 DDM458768:DDM458781 DNI458768:DNI458781 DXE458768:DXE458781 EHA458768:EHA458781 EQW458768:EQW458781 FAS458768:FAS458781 FKO458768:FKO458781 FUK458768:FUK458781 GEG458768:GEG458781 GOC458768:GOC458781 GXY458768:GXY458781 HHU458768:HHU458781 HRQ458768:HRQ458781 IBM458768:IBM458781 ILI458768:ILI458781 IVE458768:IVE458781 JFA458768:JFA458781 JOW458768:JOW458781 JYS458768:JYS458781 KIO458768:KIO458781 KSK458768:KSK458781 LCG458768:LCG458781 LMC458768:LMC458781 LVY458768:LVY458781 MFU458768:MFU458781 MPQ458768:MPQ458781 MZM458768:MZM458781 NJI458768:NJI458781 NTE458768:NTE458781 ODA458768:ODA458781 OMW458768:OMW458781 OWS458768:OWS458781 PGO458768:PGO458781 PQK458768:PQK458781 QAG458768:QAG458781 QKC458768:QKC458781 QTY458768:QTY458781 RDU458768:RDU458781 RNQ458768:RNQ458781 RXM458768:RXM458781 SHI458768:SHI458781 SRE458768:SRE458781 TBA458768:TBA458781 TKW458768:TKW458781 TUS458768:TUS458781 UEO458768:UEO458781 UOK458768:UOK458781 UYG458768:UYG458781 VIC458768:VIC458781 VRY458768:VRY458781 WBU458768:WBU458781 WLQ458768:WLQ458781 WVM458768:WVM458781 E524304:E524317 JA524304:JA524317 SW524304:SW524317 ACS524304:ACS524317 AMO524304:AMO524317 AWK524304:AWK524317 BGG524304:BGG524317 BQC524304:BQC524317 BZY524304:BZY524317 CJU524304:CJU524317 CTQ524304:CTQ524317 DDM524304:DDM524317 DNI524304:DNI524317 DXE524304:DXE524317 EHA524304:EHA524317 EQW524304:EQW524317 FAS524304:FAS524317 FKO524304:FKO524317 FUK524304:FUK524317 GEG524304:GEG524317 GOC524304:GOC524317 GXY524304:GXY524317 HHU524304:HHU524317 HRQ524304:HRQ524317 IBM524304:IBM524317 ILI524304:ILI524317 IVE524304:IVE524317 JFA524304:JFA524317 JOW524304:JOW524317 JYS524304:JYS524317 KIO524304:KIO524317 KSK524304:KSK524317 LCG524304:LCG524317 LMC524304:LMC524317 LVY524304:LVY524317 MFU524304:MFU524317 MPQ524304:MPQ524317 MZM524304:MZM524317 NJI524304:NJI524317 NTE524304:NTE524317 ODA524304:ODA524317 OMW524304:OMW524317 OWS524304:OWS524317 PGO524304:PGO524317 PQK524304:PQK524317 QAG524304:QAG524317 QKC524304:QKC524317 QTY524304:QTY524317 RDU524304:RDU524317 RNQ524304:RNQ524317 RXM524304:RXM524317 SHI524304:SHI524317 SRE524304:SRE524317 TBA524304:TBA524317 TKW524304:TKW524317 TUS524304:TUS524317 UEO524304:UEO524317 UOK524304:UOK524317 UYG524304:UYG524317 VIC524304:VIC524317 VRY524304:VRY524317 WBU524304:WBU524317 WLQ524304:WLQ524317 WVM524304:WVM524317 E589840:E589853 JA589840:JA589853 SW589840:SW589853 ACS589840:ACS589853 AMO589840:AMO589853 AWK589840:AWK589853 BGG589840:BGG589853 BQC589840:BQC589853 BZY589840:BZY589853 CJU589840:CJU589853 CTQ589840:CTQ589853 DDM589840:DDM589853 DNI589840:DNI589853 DXE589840:DXE589853 EHA589840:EHA589853 EQW589840:EQW589853 FAS589840:FAS589853 FKO589840:FKO589853 FUK589840:FUK589853 GEG589840:GEG589853 GOC589840:GOC589853 GXY589840:GXY589853 HHU589840:HHU589853 HRQ589840:HRQ589853 IBM589840:IBM589853 ILI589840:ILI589853 IVE589840:IVE589853 JFA589840:JFA589853 JOW589840:JOW589853 JYS589840:JYS589853 KIO589840:KIO589853 KSK589840:KSK589853 LCG589840:LCG589853 LMC589840:LMC589853 LVY589840:LVY589853 MFU589840:MFU589853 MPQ589840:MPQ589853 MZM589840:MZM589853 NJI589840:NJI589853 NTE589840:NTE589853 ODA589840:ODA589853 OMW589840:OMW589853 OWS589840:OWS589853 PGO589840:PGO589853 PQK589840:PQK589853 QAG589840:QAG589853 QKC589840:QKC589853 QTY589840:QTY589853 RDU589840:RDU589853 RNQ589840:RNQ589853 RXM589840:RXM589853 SHI589840:SHI589853 SRE589840:SRE589853 TBA589840:TBA589853 TKW589840:TKW589853 TUS589840:TUS589853 UEO589840:UEO589853 UOK589840:UOK589853 UYG589840:UYG589853 VIC589840:VIC589853 VRY589840:VRY589853 WBU589840:WBU589853 WLQ589840:WLQ589853 WVM589840:WVM589853 E655376:E655389 JA655376:JA655389 SW655376:SW655389 ACS655376:ACS655389 AMO655376:AMO655389 AWK655376:AWK655389 BGG655376:BGG655389 BQC655376:BQC655389 BZY655376:BZY655389 CJU655376:CJU655389 CTQ655376:CTQ655389 DDM655376:DDM655389 DNI655376:DNI655389 DXE655376:DXE655389 EHA655376:EHA655389 EQW655376:EQW655389 FAS655376:FAS655389 FKO655376:FKO655389 FUK655376:FUK655389 GEG655376:GEG655389 GOC655376:GOC655389 GXY655376:GXY655389 HHU655376:HHU655389 HRQ655376:HRQ655389 IBM655376:IBM655389 ILI655376:ILI655389 IVE655376:IVE655389 JFA655376:JFA655389 JOW655376:JOW655389 JYS655376:JYS655389 KIO655376:KIO655389 KSK655376:KSK655389 LCG655376:LCG655389 LMC655376:LMC655389 LVY655376:LVY655389 MFU655376:MFU655389 MPQ655376:MPQ655389 MZM655376:MZM655389 NJI655376:NJI655389 NTE655376:NTE655389 ODA655376:ODA655389 OMW655376:OMW655389 OWS655376:OWS655389 PGO655376:PGO655389 PQK655376:PQK655389 QAG655376:QAG655389 QKC655376:QKC655389 QTY655376:QTY655389 RDU655376:RDU655389 RNQ655376:RNQ655389 RXM655376:RXM655389 SHI655376:SHI655389 SRE655376:SRE655389 TBA655376:TBA655389 TKW655376:TKW655389 TUS655376:TUS655389 UEO655376:UEO655389 UOK655376:UOK655389 UYG655376:UYG655389 VIC655376:VIC655389 VRY655376:VRY655389 WBU655376:WBU655389 WLQ655376:WLQ655389 WVM655376:WVM655389 E720912:E720925 JA720912:JA720925 SW720912:SW720925 ACS720912:ACS720925 AMO720912:AMO720925 AWK720912:AWK720925 BGG720912:BGG720925 BQC720912:BQC720925 BZY720912:BZY720925 CJU720912:CJU720925 CTQ720912:CTQ720925 DDM720912:DDM720925 DNI720912:DNI720925 DXE720912:DXE720925 EHA720912:EHA720925 EQW720912:EQW720925 FAS720912:FAS720925 FKO720912:FKO720925 FUK720912:FUK720925 GEG720912:GEG720925 GOC720912:GOC720925 GXY720912:GXY720925 HHU720912:HHU720925 HRQ720912:HRQ720925 IBM720912:IBM720925 ILI720912:ILI720925 IVE720912:IVE720925 JFA720912:JFA720925 JOW720912:JOW720925 JYS720912:JYS720925 KIO720912:KIO720925 KSK720912:KSK720925 LCG720912:LCG720925 LMC720912:LMC720925 LVY720912:LVY720925 MFU720912:MFU720925 MPQ720912:MPQ720925 MZM720912:MZM720925 NJI720912:NJI720925 NTE720912:NTE720925 ODA720912:ODA720925 OMW720912:OMW720925 OWS720912:OWS720925 PGO720912:PGO720925 PQK720912:PQK720925 QAG720912:QAG720925 QKC720912:QKC720925 QTY720912:QTY720925 RDU720912:RDU720925 RNQ720912:RNQ720925 RXM720912:RXM720925 SHI720912:SHI720925 SRE720912:SRE720925 TBA720912:TBA720925 TKW720912:TKW720925 TUS720912:TUS720925 UEO720912:UEO720925 UOK720912:UOK720925 UYG720912:UYG720925 VIC720912:VIC720925 VRY720912:VRY720925 WBU720912:WBU720925 WLQ720912:WLQ720925 WVM720912:WVM720925 E786448:E786461 JA786448:JA786461 SW786448:SW786461 ACS786448:ACS786461 AMO786448:AMO786461 AWK786448:AWK786461 BGG786448:BGG786461 BQC786448:BQC786461 BZY786448:BZY786461 CJU786448:CJU786461 CTQ786448:CTQ786461 DDM786448:DDM786461 DNI786448:DNI786461 DXE786448:DXE786461 EHA786448:EHA786461 EQW786448:EQW786461 FAS786448:FAS786461 FKO786448:FKO786461 FUK786448:FUK786461 GEG786448:GEG786461 GOC786448:GOC786461 GXY786448:GXY786461 HHU786448:HHU786461 HRQ786448:HRQ786461 IBM786448:IBM786461 ILI786448:ILI786461 IVE786448:IVE786461 JFA786448:JFA786461 JOW786448:JOW786461 JYS786448:JYS786461 KIO786448:KIO786461 KSK786448:KSK786461 LCG786448:LCG786461 LMC786448:LMC786461 LVY786448:LVY786461 MFU786448:MFU786461 MPQ786448:MPQ786461 MZM786448:MZM786461 NJI786448:NJI786461 NTE786448:NTE786461 ODA786448:ODA786461 OMW786448:OMW786461 OWS786448:OWS786461 PGO786448:PGO786461 PQK786448:PQK786461 QAG786448:QAG786461 QKC786448:QKC786461 QTY786448:QTY786461 RDU786448:RDU786461 RNQ786448:RNQ786461 RXM786448:RXM786461 SHI786448:SHI786461 SRE786448:SRE786461 TBA786448:TBA786461 TKW786448:TKW786461 TUS786448:TUS786461 UEO786448:UEO786461 UOK786448:UOK786461 UYG786448:UYG786461 VIC786448:VIC786461 VRY786448:VRY786461 WBU786448:WBU786461 WLQ786448:WLQ786461 WVM786448:WVM786461 E851984:E851997 JA851984:JA851997 SW851984:SW851997 ACS851984:ACS851997 AMO851984:AMO851997 AWK851984:AWK851997 BGG851984:BGG851997 BQC851984:BQC851997 BZY851984:BZY851997 CJU851984:CJU851997 CTQ851984:CTQ851997 DDM851984:DDM851997 DNI851984:DNI851997 DXE851984:DXE851997 EHA851984:EHA851997 EQW851984:EQW851997 FAS851984:FAS851997 FKO851984:FKO851997 FUK851984:FUK851997 GEG851984:GEG851997 GOC851984:GOC851997 GXY851984:GXY851997 HHU851984:HHU851997 HRQ851984:HRQ851997 IBM851984:IBM851997 ILI851984:ILI851997 IVE851984:IVE851997 JFA851984:JFA851997 JOW851984:JOW851997 JYS851984:JYS851997 KIO851984:KIO851997 KSK851984:KSK851997 LCG851984:LCG851997 LMC851984:LMC851997 LVY851984:LVY851997 MFU851984:MFU851997 MPQ851984:MPQ851997 MZM851984:MZM851997 NJI851984:NJI851997 NTE851984:NTE851997 ODA851984:ODA851997 OMW851984:OMW851997 OWS851984:OWS851997 PGO851984:PGO851997 PQK851984:PQK851997 QAG851984:QAG851997 QKC851984:QKC851997 QTY851984:QTY851997 RDU851984:RDU851997 RNQ851984:RNQ851997 RXM851984:RXM851997 SHI851984:SHI851997 SRE851984:SRE851997 TBA851984:TBA851997 TKW851984:TKW851997 TUS851984:TUS851997 UEO851984:UEO851997 UOK851984:UOK851997 UYG851984:UYG851997 VIC851984:VIC851997 VRY851984:VRY851997 WBU851984:WBU851997 WLQ851984:WLQ851997 WVM851984:WVM851997 E917520:E917533 JA917520:JA917533 SW917520:SW917533 ACS917520:ACS917533 AMO917520:AMO917533 AWK917520:AWK917533 BGG917520:BGG917533 BQC917520:BQC917533 BZY917520:BZY917533 CJU917520:CJU917533 CTQ917520:CTQ917533 DDM917520:DDM917533 DNI917520:DNI917533 DXE917520:DXE917533 EHA917520:EHA917533 EQW917520:EQW917533 FAS917520:FAS917533 FKO917520:FKO917533 FUK917520:FUK917533 GEG917520:GEG917533 GOC917520:GOC917533 GXY917520:GXY917533 HHU917520:HHU917533 HRQ917520:HRQ917533 IBM917520:IBM917533 ILI917520:ILI917533 IVE917520:IVE917533 JFA917520:JFA917533 JOW917520:JOW917533 JYS917520:JYS917533 KIO917520:KIO917533 KSK917520:KSK917533 LCG917520:LCG917533 LMC917520:LMC917533 LVY917520:LVY917533 MFU917520:MFU917533 MPQ917520:MPQ917533 MZM917520:MZM917533 NJI917520:NJI917533 NTE917520:NTE917533 ODA917520:ODA917533 OMW917520:OMW917533 OWS917520:OWS917533 PGO917520:PGO917533 PQK917520:PQK917533 QAG917520:QAG917533 QKC917520:QKC917533 QTY917520:QTY917533 RDU917520:RDU917533 RNQ917520:RNQ917533 RXM917520:RXM917533 SHI917520:SHI917533 SRE917520:SRE917533 TBA917520:TBA917533 TKW917520:TKW917533 TUS917520:TUS917533 UEO917520:UEO917533 UOK917520:UOK917533 UYG917520:UYG917533 VIC917520:VIC917533 VRY917520:VRY917533 WBU917520:WBU917533 WLQ917520:WLQ917533 WVM917520:WVM917533 E983056:E983069 JA983056:JA983069 SW983056:SW983069 ACS983056:ACS983069 AMO983056:AMO983069 AWK983056:AWK983069 BGG983056:BGG983069 BQC983056:BQC983069 BZY983056:BZY983069 CJU983056:CJU983069 CTQ983056:CTQ983069 DDM983056:DDM983069 DNI983056:DNI983069 DXE983056:DXE983069 EHA983056:EHA983069 EQW983056:EQW983069 FAS983056:FAS983069 FKO983056:FKO983069 FUK983056:FUK983069 GEG983056:GEG983069 GOC983056:GOC983069 GXY983056:GXY983069 HHU983056:HHU983069 HRQ983056:HRQ983069 IBM983056:IBM983069 ILI983056:ILI983069 IVE983056:IVE983069 JFA983056:JFA983069 JOW983056:JOW983069 JYS983056:JYS983069 KIO983056:KIO983069 KSK983056:KSK983069 LCG983056:LCG983069 LMC983056:LMC983069 LVY983056:LVY983069 MFU983056:MFU983069 MPQ983056:MPQ983069 MZM983056:MZM983069 NJI983056:NJI983069 NTE983056:NTE983069 ODA983056:ODA983069 OMW983056:OMW983069 OWS983056:OWS983069 PGO983056:PGO983069 PQK983056:PQK983069 QAG983056:QAG983069 QKC983056:QKC983069 QTY983056:QTY983069 RDU983056:RDU983069 RNQ983056:RNQ983069 RXM983056:RXM983069 SHI983056:SHI983069 SRE983056:SRE983069 TBA983056:TBA983069 TKW983056:TKW983069 TUS983056:TUS983069 UEO983056:UEO983069 UOK983056:UOK983069 UYG983056:UYG983069 VIC983056:VIC983069 VRY983056:VRY983069 WBU983056:WBU983069 WLQ983056:WLQ983069 WVM983056:WVM983069 E31:E34 JA31:JA34 SW31:SW34 ACS31:ACS34 AMO31:AMO34 AWK31:AWK34 BGG31:BGG34 BQC31:BQC34 BZY31:BZY34 CJU31:CJU34 CTQ31:CTQ34 DDM31:DDM34 DNI31:DNI34 DXE31:DXE34 EHA31:EHA34 EQW31:EQW34 FAS31:FAS34 FKO31:FKO34 FUK31:FUK34 GEG31:GEG34 GOC31:GOC34 GXY31:GXY34 HHU31:HHU34 HRQ31:HRQ34 IBM31:IBM34 ILI31:ILI34 IVE31:IVE34 JFA31:JFA34 JOW31:JOW34 JYS31:JYS34 KIO31:KIO34 KSK31:KSK34 LCG31:LCG34 LMC31:LMC34 LVY31:LVY34 MFU31:MFU34 MPQ31:MPQ34 MZM31:MZM34 NJI31:NJI34 NTE31:NTE34 ODA31:ODA34 OMW31:OMW34 OWS31:OWS34 PGO31:PGO34 PQK31:PQK34 QAG31:QAG34 QKC31:QKC34 QTY31:QTY34 RDU31:RDU34 RNQ31:RNQ34 RXM31:RXM34 SHI31:SHI34 SRE31:SRE34 TBA31:TBA34 TKW31:TKW34 TUS31:TUS34 UEO31:UEO34 UOK31:UOK34 UYG31:UYG34 VIC31:VIC34 VRY31:VRY34 WBU31:WBU34 WLQ31:WLQ34 WVM31:WVM34 E65567:E65570 JA65567:JA65570 SW65567:SW65570 ACS65567:ACS65570 AMO65567:AMO65570 AWK65567:AWK65570 BGG65567:BGG65570 BQC65567:BQC65570 BZY65567:BZY65570 CJU65567:CJU65570 CTQ65567:CTQ65570 DDM65567:DDM65570 DNI65567:DNI65570 DXE65567:DXE65570 EHA65567:EHA65570 EQW65567:EQW65570 FAS65567:FAS65570 FKO65567:FKO65570 FUK65567:FUK65570 GEG65567:GEG65570 GOC65567:GOC65570 GXY65567:GXY65570 HHU65567:HHU65570 HRQ65567:HRQ65570 IBM65567:IBM65570 ILI65567:ILI65570 IVE65567:IVE65570 JFA65567:JFA65570 JOW65567:JOW65570 JYS65567:JYS65570 KIO65567:KIO65570 KSK65567:KSK65570 LCG65567:LCG65570 LMC65567:LMC65570 LVY65567:LVY65570 MFU65567:MFU65570 MPQ65567:MPQ65570 MZM65567:MZM65570 NJI65567:NJI65570 NTE65567:NTE65570 ODA65567:ODA65570 OMW65567:OMW65570 OWS65567:OWS65570 PGO65567:PGO65570 PQK65567:PQK65570 QAG65567:QAG65570 QKC65567:QKC65570 QTY65567:QTY65570 RDU65567:RDU65570 RNQ65567:RNQ65570 RXM65567:RXM65570 SHI65567:SHI65570 SRE65567:SRE65570 TBA65567:TBA65570 TKW65567:TKW65570 TUS65567:TUS65570 UEO65567:UEO65570 UOK65567:UOK65570 UYG65567:UYG65570 VIC65567:VIC65570 VRY65567:VRY65570 WBU65567:WBU65570 WLQ65567:WLQ65570 WVM65567:WVM65570 E131103:E131106 JA131103:JA131106 SW131103:SW131106 ACS131103:ACS131106 AMO131103:AMO131106 AWK131103:AWK131106 BGG131103:BGG131106 BQC131103:BQC131106 BZY131103:BZY131106 CJU131103:CJU131106 CTQ131103:CTQ131106 DDM131103:DDM131106 DNI131103:DNI131106 DXE131103:DXE131106 EHA131103:EHA131106 EQW131103:EQW131106 FAS131103:FAS131106 FKO131103:FKO131106 FUK131103:FUK131106 GEG131103:GEG131106 GOC131103:GOC131106 GXY131103:GXY131106 HHU131103:HHU131106 HRQ131103:HRQ131106 IBM131103:IBM131106 ILI131103:ILI131106 IVE131103:IVE131106 JFA131103:JFA131106 JOW131103:JOW131106 JYS131103:JYS131106 KIO131103:KIO131106 KSK131103:KSK131106 LCG131103:LCG131106 LMC131103:LMC131106 LVY131103:LVY131106 MFU131103:MFU131106 MPQ131103:MPQ131106 MZM131103:MZM131106 NJI131103:NJI131106 NTE131103:NTE131106 ODA131103:ODA131106 OMW131103:OMW131106 OWS131103:OWS131106 PGO131103:PGO131106 PQK131103:PQK131106 QAG131103:QAG131106 QKC131103:QKC131106 QTY131103:QTY131106 RDU131103:RDU131106 RNQ131103:RNQ131106 RXM131103:RXM131106 SHI131103:SHI131106 SRE131103:SRE131106 TBA131103:TBA131106 TKW131103:TKW131106 TUS131103:TUS131106 UEO131103:UEO131106 UOK131103:UOK131106 UYG131103:UYG131106 VIC131103:VIC131106 VRY131103:VRY131106 WBU131103:WBU131106 WLQ131103:WLQ131106 WVM131103:WVM131106 E196639:E196642 JA196639:JA196642 SW196639:SW196642 ACS196639:ACS196642 AMO196639:AMO196642 AWK196639:AWK196642 BGG196639:BGG196642 BQC196639:BQC196642 BZY196639:BZY196642 CJU196639:CJU196642 CTQ196639:CTQ196642 DDM196639:DDM196642 DNI196639:DNI196642 DXE196639:DXE196642 EHA196639:EHA196642 EQW196639:EQW196642 FAS196639:FAS196642 FKO196639:FKO196642 FUK196639:FUK196642 GEG196639:GEG196642 GOC196639:GOC196642 GXY196639:GXY196642 HHU196639:HHU196642 HRQ196639:HRQ196642 IBM196639:IBM196642 ILI196639:ILI196642 IVE196639:IVE196642 JFA196639:JFA196642 JOW196639:JOW196642 JYS196639:JYS196642 KIO196639:KIO196642 KSK196639:KSK196642 LCG196639:LCG196642 LMC196639:LMC196642 LVY196639:LVY196642 MFU196639:MFU196642 MPQ196639:MPQ196642 MZM196639:MZM196642 NJI196639:NJI196642 NTE196639:NTE196642 ODA196639:ODA196642 OMW196639:OMW196642 OWS196639:OWS196642 PGO196639:PGO196642 PQK196639:PQK196642 QAG196639:QAG196642 QKC196639:QKC196642 QTY196639:QTY196642 RDU196639:RDU196642 RNQ196639:RNQ196642 RXM196639:RXM196642 SHI196639:SHI196642 SRE196639:SRE196642 TBA196639:TBA196642 TKW196639:TKW196642 TUS196639:TUS196642 UEO196639:UEO196642 UOK196639:UOK196642 UYG196639:UYG196642 VIC196639:VIC196642 VRY196639:VRY196642 WBU196639:WBU196642 WLQ196639:WLQ196642 WVM196639:WVM196642 E262175:E262178 JA262175:JA262178 SW262175:SW262178 ACS262175:ACS262178 AMO262175:AMO262178 AWK262175:AWK262178 BGG262175:BGG262178 BQC262175:BQC262178 BZY262175:BZY262178 CJU262175:CJU262178 CTQ262175:CTQ262178 DDM262175:DDM262178 DNI262175:DNI262178 DXE262175:DXE262178 EHA262175:EHA262178 EQW262175:EQW262178 FAS262175:FAS262178 FKO262175:FKO262178 FUK262175:FUK262178 GEG262175:GEG262178 GOC262175:GOC262178 GXY262175:GXY262178 HHU262175:HHU262178 HRQ262175:HRQ262178 IBM262175:IBM262178 ILI262175:ILI262178 IVE262175:IVE262178 JFA262175:JFA262178 JOW262175:JOW262178 JYS262175:JYS262178 KIO262175:KIO262178 KSK262175:KSK262178 LCG262175:LCG262178 LMC262175:LMC262178 LVY262175:LVY262178 MFU262175:MFU262178 MPQ262175:MPQ262178 MZM262175:MZM262178 NJI262175:NJI262178 NTE262175:NTE262178 ODA262175:ODA262178 OMW262175:OMW262178 OWS262175:OWS262178 PGO262175:PGO262178 PQK262175:PQK262178 QAG262175:QAG262178 QKC262175:QKC262178 QTY262175:QTY262178 RDU262175:RDU262178 RNQ262175:RNQ262178 RXM262175:RXM262178 SHI262175:SHI262178 SRE262175:SRE262178 TBA262175:TBA262178 TKW262175:TKW262178 TUS262175:TUS262178 UEO262175:UEO262178 UOK262175:UOK262178 UYG262175:UYG262178 VIC262175:VIC262178 VRY262175:VRY262178 WBU262175:WBU262178 WLQ262175:WLQ262178 WVM262175:WVM262178 E327711:E327714 JA327711:JA327714 SW327711:SW327714 ACS327711:ACS327714 AMO327711:AMO327714 AWK327711:AWK327714 BGG327711:BGG327714 BQC327711:BQC327714 BZY327711:BZY327714 CJU327711:CJU327714 CTQ327711:CTQ327714 DDM327711:DDM327714 DNI327711:DNI327714 DXE327711:DXE327714 EHA327711:EHA327714 EQW327711:EQW327714 FAS327711:FAS327714 FKO327711:FKO327714 FUK327711:FUK327714 GEG327711:GEG327714 GOC327711:GOC327714 GXY327711:GXY327714 HHU327711:HHU327714 HRQ327711:HRQ327714 IBM327711:IBM327714 ILI327711:ILI327714 IVE327711:IVE327714 JFA327711:JFA327714 JOW327711:JOW327714 JYS327711:JYS327714 KIO327711:KIO327714 KSK327711:KSK327714 LCG327711:LCG327714 LMC327711:LMC327714 LVY327711:LVY327714 MFU327711:MFU327714 MPQ327711:MPQ327714 MZM327711:MZM327714 NJI327711:NJI327714 NTE327711:NTE327714 ODA327711:ODA327714 OMW327711:OMW327714 OWS327711:OWS327714 PGO327711:PGO327714 PQK327711:PQK327714 QAG327711:QAG327714 QKC327711:QKC327714 QTY327711:QTY327714 RDU327711:RDU327714 RNQ327711:RNQ327714 RXM327711:RXM327714 SHI327711:SHI327714 SRE327711:SRE327714 TBA327711:TBA327714 TKW327711:TKW327714 TUS327711:TUS327714 UEO327711:UEO327714 UOK327711:UOK327714 UYG327711:UYG327714 VIC327711:VIC327714 VRY327711:VRY327714 WBU327711:WBU327714 WLQ327711:WLQ327714 WVM327711:WVM327714 E393247:E393250 JA393247:JA393250 SW393247:SW393250 ACS393247:ACS393250 AMO393247:AMO393250 AWK393247:AWK393250 BGG393247:BGG393250 BQC393247:BQC393250 BZY393247:BZY393250 CJU393247:CJU393250 CTQ393247:CTQ393250 DDM393247:DDM393250 DNI393247:DNI393250 DXE393247:DXE393250 EHA393247:EHA393250 EQW393247:EQW393250 FAS393247:FAS393250 FKO393247:FKO393250 FUK393247:FUK393250 GEG393247:GEG393250 GOC393247:GOC393250 GXY393247:GXY393250 HHU393247:HHU393250 HRQ393247:HRQ393250 IBM393247:IBM393250 ILI393247:ILI393250 IVE393247:IVE393250 JFA393247:JFA393250 JOW393247:JOW393250 JYS393247:JYS393250 KIO393247:KIO393250 KSK393247:KSK393250 LCG393247:LCG393250 LMC393247:LMC393250 LVY393247:LVY393250 MFU393247:MFU393250 MPQ393247:MPQ393250 MZM393247:MZM393250 NJI393247:NJI393250 NTE393247:NTE393250 ODA393247:ODA393250 OMW393247:OMW393250 OWS393247:OWS393250 PGO393247:PGO393250 PQK393247:PQK393250 QAG393247:QAG393250 QKC393247:QKC393250 QTY393247:QTY393250 RDU393247:RDU393250 RNQ393247:RNQ393250 RXM393247:RXM393250 SHI393247:SHI393250 SRE393247:SRE393250 TBA393247:TBA393250 TKW393247:TKW393250 TUS393247:TUS393250 UEO393247:UEO393250 UOK393247:UOK393250 UYG393247:UYG393250 VIC393247:VIC393250 VRY393247:VRY393250 WBU393247:WBU393250 WLQ393247:WLQ393250 WVM393247:WVM393250 E458783:E458786 JA458783:JA458786 SW458783:SW458786 ACS458783:ACS458786 AMO458783:AMO458786 AWK458783:AWK458786 BGG458783:BGG458786 BQC458783:BQC458786 BZY458783:BZY458786 CJU458783:CJU458786 CTQ458783:CTQ458786 DDM458783:DDM458786 DNI458783:DNI458786 DXE458783:DXE458786 EHA458783:EHA458786 EQW458783:EQW458786 FAS458783:FAS458786 FKO458783:FKO458786 FUK458783:FUK458786 GEG458783:GEG458786 GOC458783:GOC458786 GXY458783:GXY458786 HHU458783:HHU458786 HRQ458783:HRQ458786 IBM458783:IBM458786 ILI458783:ILI458786 IVE458783:IVE458786 JFA458783:JFA458786 JOW458783:JOW458786 JYS458783:JYS458786 KIO458783:KIO458786 KSK458783:KSK458786 LCG458783:LCG458786 LMC458783:LMC458786 LVY458783:LVY458786 MFU458783:MFU458786 MPQ458783:MPQ458786 MZM458783:MZM458786 NJI458783:NJI458786 NTE458783:NTE458786 ODA458783:ODA458786 OMW458783:OMW458786 OWS458783:OWS458786 PGO458783:PGO458786 PQK458783:PQK458786 QAG458783:QAG458786 QKC458783:QKC458786 QTY458783:QTY458786 RDU458783:RDU458786 RNQ458783:RNQ458786 RXM458783:RXM458786 SHI458783:SHI458786 SRE458783:SRE458786 TBA458783:TBA458786 TKW458783:TKW458786 TUS458783:TUS458786 UEO458783:UEO458786 UOK458783:UOK458786 UYG458783:UYG458786 VIC458783:VIC458786 VRY458783:VRY458786 WBU458783:WBU458786 WLQ458783:WLQ458786 WVM458783:WVM458786 E524319:E524322 JA524319:JA524322 SW524319:SW524322 ACS524319:ACS524322 AMO524319:AMO524322 AWK524319:AWK524322 BGG524319:BGG524322 BQC524319:BQC524322 BZY524319:BZY524322 CJU524319:CJU524322 CTQ524319:CTQ524322 DDM524319:DDM524322 DNI524319:DNI524322 DXE524319:DXE524322 EHA524319:EHA524322 EQW524319:EQW524322 FAS524319:FAS524322 FKO524319:FKO524322 FUK524319:FUK524322 GEG524319:GEG524322 GOC524319:GOC524322 GXY524319:GXY524322 HHU524319:HHU524322 HRQ524319:HRQ524322 IBM524319:IBM524322 ILI524319:ILI524322 IVE524319:IVE524322 JFA524319:JFA524322 JOW524319:JOW524322 JYS524319:JYS524322 KIO524319:KIO524322 KSK524319:KSK524322 LCG524319:LCG524322 LMC524319:LMC524322 LVY524319:LVY524322 MFU524319:MFU524322 MPQ524319:MPQ524322 MZM524319:MZM524322 NJI524319:NJI524322 NTE524319:NTE524322 ODA524319:ODA524322 OMW524319:OMW524322 OWS524319:OWS524322 PGO524319:PGO524322 PQK524319:PQK524322 QAG524319:QAG524322 QKC524319:QKC524322 QTY524319:QTY524322 RDU524319:RDU524322 RNQ524319:RNQ524322 RXM524319:RXM524322 SHI524319:SHI524322 SRE524319:SRE524322 TBA524319:TBA524322 TKW524319:TKW524322 TUS524319:TUS524322 UEO524319:UEO524322 UOK524319:UOK524322 UYG524319:UYG524322 VIC524319:VIC524322 VRY524319:VRY524322 WBU524319:WBU524322 WLQ524319:WLQ524322 WVM524319:WVM524322 E589855:E589858 JA589855:JA589858 SW589855:SW589858 ACS589855:ACS589858 AMO589855:AMO589858 AWK589855:AWK589858 BGG589855:BGG589858 BQC589855:BQC589858 BZY589855:BZY589858 CJU589855:CJU589858 CTQ589855:CTQ589858 DDM589855:DDM589858 DNI589855:DNI589858 DXE589855:DXE589858 EHA589855:EHA589858 EQW589855:EQW589858 FAS589855:FAS589858 FKO589855:FKO589858 FUK589855:FUK589858 GEG589855:GEG589858 GOC589855:GOC589858 GXY589855:GXY589858 HHU589855:HHU589858 HRQ589855:HRQ589858 IBM589855:IBM589858 ILI589855:ILI589858 IVE589855:IVE589858 JFA589855:JFA589858 JOW589855:JOW589858 JYS589855:JYS589858 KIO589855:KIO589858 KSK589855:KSK589858 LCG589855:LCG589858 LMC589855:LMC589858 LVY589855:LVY589858 MFU589855:MFU589858 MPQ589855:MPQ589858 MZM589855:MZM589858 NJI589855:NJI589858 NTE589855:NTE589858 ODA589855:ODA589858 OMW589855:OMW589858 OWS589855:OWS589858 PGO589855:PGO589858 PQK589855:PQK589858 QAG589855:QAG589858 QKC589855:QKC589858 QTY589855:QTY589858 RDU589855:RDU589858 RNQ589855:RNQ589858 RXM589855:RXM589858 SHI589855:SHI589858 SRE589855:SRE589858 TBA589855:TBA589858 TKW589855:TKW589858 TUS589855:TUS589858 UEO589855:UEO589858 UOK589855:UOK589858 UYG589855:UYG589858 VIC589855:VIC589858 VRY589855:VRY589858 WBU589855:WBU589858 WLQ589855:WLQ589858 WVM589855:WVM589858 E655391:E655394 JA655391:JA655394 SW655391:SW655394 ACS655391:ACS655394 AMO655391:AMO655394 AWK655391:AWK655394 BGG655391:BGG655394 BQC655391:BQC655394 BZY655391:BZY655394 CJU655391:CJU655394 CTQ655391:CTQ655394 DDM655391:DDM655394 DNI655391:DNI655394 DXE655391:DXE655394 EHA655391:EHA655394 EQW655391:EQW655394 FAS655391:FAS655394 FKO655391:FKO655394 FUK655391:FUK655394 GEG655391:GEG655394 GOC655391:GOC655394 GXY655391:GXY655394 HHU655391:HHU655394 HRQ655391:HRQ655394 IBM655391:IBM655394 ILI655391:ILI655394 IVE655391:IVE655394 JFA655391:JFA655394 JOW655391:JOW655394 JYS655391:JYS655394 KIO655391:KIO655394 KSK655391:KSK655394 LCG655391:LCG655394 LMC655391:LMC655394 LVY655391:LVY655394 MFU655391:MFU655394 MPQ655391:MPQ655394 MZM655391:MZM655394 NJI655391:NJI655394 NTE655391:NTE655394 ODA655391:ODA655394 OMW655391:OMW655394 OWS655391:OWS655394 PGO655391:PGO655394 PQK655391:PQK655394 QAG655391:QAG655394 QKC655391:QKC655394 QTY655391:QTY655394 RDU655391:RDU655394 RNQ655391:RNQ655394 RXM655391:RXM655394 SHI655391:SHI655394 SRE655391:SRE655394 TBA655391:TBA655394 TKW655391:TKW655394 TUS655391:TUS655394 UEO655391:UEO655394 UOK655391:UOK655394 UYG655391:UYG655394 VIC655391:VIC655394 VRY655391:VRY655394 WBU655391:WBU655394 WLQ655391:WLQ655394 WVM655391:WVM655394 E720927:E720930 JA720927:JA720930 SW720927:SW720930 ACS720927:ACS720930 AMO720927:AMO720930 AWK720927:AWK720930 BGG720927:BGG720930 BQC720927:BQC720930 BZY720927:BZY720930 CJU720927:CJU720930 CTQ720927:CTQ720930 DDM720927:DDM720930 DNI720927:DNI720930 DXE720927:DXE720930 EHA720927:EHA720930 EQW720927:EQW720930 FAS720927:FAS720930 FKO720927:FKO720930 FUK720927:FUK720930 GEG720927:GEG720930 GOC720927:GOC720930 GXY720927:GXY720930 HHU720927:HHU720930 HRQ720927:HRQ720930 IBM720927:IBM720930 ILI720927:ILI720930 IVE720927:IVE720930 JFA720927:JFA720930 JOW720927:JOW720930 JYS720927:JYS720930 KIO720927:KIO720930 KSK720927:KSK720930 LCG720927:LCG720930 LMC720927:LMC720930 LVY720927:LVY720930 MFU720927:MFU720930 MPQ720927:MPQ720930 MZM720927:MZM720930 NJI720927:NJI720930 NTE720927:NTE720930 ODA720927:ODA720930 OMW720927:OMW720930 OWS720927:OWS720930 PGO720927:PGO720930 PQK720927:PQK720930 QAG720927:QAG720930 QKC720927:QKC720930 QTY720927:QTY720930 RDU720927:RDU720930 RNQ720927:RNQ720930 RXM720927:RXM720930 SHI720927:SHI720930 SRE720927:SRE720930 TBA720927:TBA720930 TKW720927:TKW720930 TUS720927:TUS720930 UEO720927:UEO720930 UOK720927:UOK720930 UYG720927:UYG720930 VIC720927:VIC720930 VRY720927:VRY720930 WBU720927:WBU720930 WLQ720927:WLQ720930 WVM720927:WVM720930 E786463:E786466 JA786463:JA786466 SW786463:SW786466 ACS786463:ACS786466 AMO786463:AMO786466 AWK786463:AWK786466 BGG786463:BGG786466 BQC786463:BQC786466 BZY786463:BZY786466 CJU786463:CJU786466 CTQ786463:CTQ786466 DDM786463:DDM786466 DNI786463:DNI786466 DXE786463:DXE786466 EHA786463:EHA786466 EQW786463:EQW786466 FAS786463:FAS786466 FKO786463:FKO786466 FUK786463:FUK786466 GEG786463:GEG786466 GOC786463:GOC786466 GXY786463:GXY786466 HHU786463:HHU786466 HRQ786463:HRQ786466 IBM786463:IBM786466 ILI786463:ILI786466 IVE786463:IVE786466 JFA786463:JFA786466 JOW786463:JOW786466 JYS786463:JYS786466 KIO786463:KIO786466 KSK786463:KSK786466 LCG786463:LCG786466 LMC786463:LMC786466 LVY786463:LVY786466 MFU786463:MFU786466 MPQ786463:MPQ786466 MZM786463:MZM786466 NJI786463:NJI786466 NTE786463:NTE786466 ODA786463:ODA786466 OMW786463:OMW786466 OWS786463:OWS786466 PGO786463:PGO786466 PQK786463:PQK786466 QAG786463:QAG786466 QKC786463:QKC786466 QTY786463:QTY786466 RDU786463:RDU786466 RNQ786463:RNQ786466 RXM786463:RXM786466 SHI786463:SHI786466 SRE786463:SRE786466 TBA786463:TBA786466 TKW786463:TKW786466 TUS786463:TUS786466 UEO786463:UEO786466 UOK786463:UOK786466 UYG786463:UYG786466 VIC786463:VIC786466 VRY786463:VRY786466 WBU786463:WBU786466 WLQ786463:WLQ786466 WVM786463:WVM786466 E851999:E852002 JA851999:JA852002 SW851999:SW852002 ACS851999:ACS852002 AMO851999:AMO852002 AWK851999:AWK852002 BGG851999:BGG852002 BQC851999:BQC852002 BZY851999:BZY852002 CJU851999:CJU852002 CTQ851999:CTQ852002 DDM851999:DDM852002 DNI851999:DNI852002 DXE851999:DXE852002 EHA851999:EHA852002 EQW851999:EQW852002 FAS851999:FAS852002 FKO851999:FKO852002 FUK851999:FUK852002 GEG851999:GEG852002 GOC851999:GOC852002 GXY851999:GXY852002 HHU851999:HHU852002 HRQ851999:HRQ852002 IBM851999:IBM852002 ILI851999:ILI852002 IVE851999:IVE852002 JFA851999:JFA852002 JOW851999:JOW852002 JYS851999:JYS852002 KIO851999:KIO852002 KSK851999:KSK852002 LCG851999:LCG852002 LMC851999:LMC852002 LVY851999:LVY852002 MFU851999:MFU852002 MPQ851999:MPQ852002 MZM851999:MZM852002 NJI851999:NJI852002 NTE851999:NTE852002 ODA851999:ODA852002 OMW851999:OMW852002 OWS851999:OWS852002 PGO851999:PGO852002 PQK851999:PQK852002 QAG851999:QAG852002 QKC851999:QKC852002 QTY851999:QTY852002 RDU851999:RDU852002 RNQ851999:RNQ852002 RXM851999:RXM852002 SHI851999:SHI852002 SRE851999:SRE852002 TBA851999:TBA852002 TKW851999:TKW852002 TUS851999:TUS852002 UEO851999:UEO852002 UOK851999:UOK852002 UYG851999:UYG852002 VIC851999:VIC852002 VRY851999:VRY852002 WBU851999:WBU852002 WLQ851999:WLQ852002 WVM851999:WVM852002 E917535:E917538 JA917535:JA917538 SW917535:SW917538 ACS917535:ACS917538 AMO917535:AMO917538 AWK917535:AWK917538 BGG917535:BGG917538 BQC917535:BQC917538 BZY917535:BZY917538 CJU917535:CJU917538 CTQ917535:CTQ917538 DDM917535:DDM917538 DNI917535:DNI917538 DXE917535:DXE917538 EHA917535:EHA917538 EQW917535:EQW917538 FAS917535:FAS917538 FKO917535:FKO917538 FUK917535:FUK917538 GEG917535:GEG917538 GOC917535:GOC917538 GXY917535:GXY917538 HHU917535:HHU917538 HRQ917535:HRQ917538 IBM917535:IBM917538 ILI917535:ILI917538 IVE917535:IVE917538 JFA917535:JFA917538 JOW917535:JOW917538 JYS917535:JYS917538 KIO917535:KIO917538 KSK917535:KSK917538 LCG917535:LCG917538 LMC917535:LMC917538 LVY917535:LVY917538 MFU917535:MFU917538 MPQ917535:MPQ917538 MZM917535:MZM917538 NJI917535:NJI917538 NTE917535:NTE917538 ODA917535:ODA917538 OMW917535:OMW917538 OWS917535:OWS917538 PGO917535:PGO917538 PQK917535:PQK917538 QAG917535:QAG917538 QKC917535:QKC917538 QTY917535:QTY917538 RDU917535:RDU917538 RNQ917535:RNQ917538 RXM917535:RXM917538 SHI917535:SHI917538 SRE917535:SRE917538 TBA917535:TBA917538 TKW917535:TKW917538 TUS917535:TUS917538 UEO917535:UEO917538 UOK917535:UOK917538 UYG917535:UYG917538 VIC917535:VIC917538 VRY917535:VRY917538 WBU917535:WBU917538 WLQ917535:WLQ917538 WVM917535:WVM917538 E983071:E983074 JA983071:JA983074 SW983071:SW983074 ACS983071:ACS983074 AMO983071:AMO983074 AWK983071:AWK983074 BGG983071:BGG983074 BQC983071:BQC983074 BZY983071:BZY983074 CJU983071:CJU983074 CTQ983071:CTQ983074 DDM983071:DDM983074 DNI983071:DNI983074 DXE983071:DXE983074 EHA983071:EHA983074 EQW983071:EQW983074 FAS983071:FAS983074 FKO983071:FKO983074 FUK983071:FUK983074 GEG983071:GEG983074 GOC983071:GOC983074 GXY983071:GXY983074 HHU983071:HHU983074 HRQ983071:HRQ983074 IBM983071:IBM983074 ILI983071:ILI983074 IVE983071:IVE983074 JFA983071:JFA983074 JOW983071:JOW983074 JYS983071:JYS983074 KIO983071:KIO983074 KSK983071:KSK983074 LCG983071:LCG983074 LMC983071:LMC983074 LVY983071:LVY983074 MFU983071:MFU983074 MPQ983071:MPQ983074 MZM983071:MZM983074 NJI983071:NJI983074 NTE983071:NTE983074 ODA983071:ODA983074 OMW983071:OMW983074 OWS983071:OWS983074 PGO983071:PGO983074 PQK983071:PQK983074 QAG983071:QAG983074 QKC983071:QKC983074 QTY983071:QTY983074 RDU983071:RDU983074 RNQ983071:RNQ983074 RXM983071:RXM983074 SHI983071:SHI983074 SRE983071:SRE983074 TBA983071:TBA983074 TKW983071:TKW983074 TUS983071:TUS983074 UEO983071:UEO983074 UOK983071:UOK983074 UYG983071:UYG983074 VIC983071:VIC983074 VRY983071:VRY983074 WBU983071:WBU983074 WLQ983071:WLQ983074 WVM983071:WVM983074" xr:uid="{00000000-0002-0000-0100-000000000000}">
      <formula1>"Low, Medium, High"</formula1>
    </dataValidation>
    <dataValidation type="list" showInputMessage="1" showErrorMessage="1" sqref="WLR983071:WLR983074 JE16:JE29 TA16:TA29 ACW16:ACW29 AMS16:AMS29 AWO16:AWO29 BGK16:BGK29 BQG16:BQG29 CAC16:CAC29 CJY16:CJY29 CTU16:CTU29 DDQ16:DDQ29 DNM16:DNM29 DXI16:DXI29 EHE16:EHE29 ERA16:ERA29 FAW16:FAW29 FKS16:FKS29 FUO16:FUO29 GEK16:GEK29 GOG16:GOG29 GYC16:GYC29 HHY16:HHY29 HRU16:HRU29 IBQ16:IBQ29 ILM16:ILM29 IVI16:IVI29 JFE16:JFE29 JPA16:JPA29 JYW16:JYW29 KIS16:KIS29 KSO16:KSO29 LCK16:LCK29 LMG16:LMG29 LWC16:LWC29 MFY16:MFY29 MPU16:MPU29 MZQ16:MZQ29 NJM16:NJM29 NTI16:NTI29 ODE16:ODE29 ONA16:ONA29 OWW16:OWW29 PGS16:PGS29 PQO16:PQO29 QAK16:QAK29 QKG16:QKG29 QUC16:QUC29 RDY16:RDY29 RNU16:RNU29 RXQ16:RXQ29 SHM16:SHM29 SRI16:SRI29 TBE16:TBE29 TLA16:TLA29 TUW16:TUW29 UES16:UES29 UOO16:UOO29 UYK16:UYK29 VIG16:VIG29 VSC16:VSC29 WBY16:WBY29 WLU16:WLU29 WVQ16:WVQ29 I65552:I65565 JE65552:JE65565 TA65552:TA65565 ACW65552:ACW65565 AMS65552:AMS65565 AWO65552:AWO65565 BGK65552:BGK65565 BQG65552:BQG65565 CAC65552:CAC65565 CJY65552:CJY65565 CTU65552:CTU65565 DDQ65552:DDQ65565 DNM65552:DNM65565 DXI65552:DXI65565 EHE65552:EHE65565 ERA65552:ERA65565 FAW65552:FAW65565 FKS65552:FKS65565 FUO65552:FUO65565 GEK65552:GEK65565 GOG65552:GOG65565 GYC65552:GYC65565 HHY65552:HHY65565 HRU65552:HRU65565 IBQ65552:IBQ65565 ILM65552:ILM65565 IVI65552:IVI65565 JFE65552:JFE65565 JPA65552:JPA65565 JYW65552:JYW65565 KIS65552:KIS65565 KSO65552:KSO65565 LCK65552:LCK65565 LMG65552:LMG65565 LWC65552:LWC65565 MFY65552:MFY65565 MPU65552:MPU65565 MZQ65552:MZQ65565 NJM65552:NJM65565 NTI65552:NTI65565 ODE65552:ODE65565 ONA65552:ONA65565 OWW65552:OWW65565 PGS65552:PGS65565 PQO65552:PQO65565 QAK65552:QAK65565 QKG65552:QKG65565 QUC65552:QUC65565 RDY65552:RDY65565 RNU65552:RNU65565 RXQ65552:RXQ65565 SHM65552:SHM65565 SRI65552:SRI65565 TBE65552:TBE65565 TLA65552:TLA65565 TUW65552:TUW65565 UES65552:UES65565 UOO65552:UOO65565 UYK65552:UYK65565 VIG65552:VIG65565 VSC65552:VSC65565 WBY65552:WBY65565 WLU65552:WLU65565 WVQ65552:WVQ65565 I131088:I131101 JE131088:JE131101 TA131088:TA131101 ACW131088:ACW131101 AMS131088:AMS131101 AWO131088:AWO131101 BGK131088:BGK131101 BQG131088:BQG131101 CAC131088:CAC131101 CJY131088:CJY131101 CTU131088:CTU131101 DDQ131088:DDQ131101 DNM131088:DNM131101 DXI131088:DXI131101 EHE131088:EHE131101 ERA131088:ERA131101 FAW131088:FAW131101 FKS131088:FKS131101 FUO131088:FUO131101 GEK131088:GEK131101 GOG131088:GOG131101 GYC131088:GYC131101 HHY131088:HHY131101 HRU131088:HRU131101 IBQ131088:IBQ131101 ILM131088:ILM131101 IVI131088:IVI131101 JFE131088:JFE131101 JPA131088:JPA131101 JYW131088:JYW131101 KIS131088:KIS131101 KSO131088:KSO131101 LCK131088:LCK131101 LMG131088:LMG131101 LWC131088:LWC131101 MFY131088:MFY131101 MPU131088:MPU131101 MZQ131088:MZQ131101 NJM131088:NJM131101 NTI131088:NTI131101 ODE131088:ODE131101 ONA131088:ONA131101 OWW131088:OWW131101 PGS131088:PGS131101 PQO131088:PQO131101 QAK131088:QAK131101 QKG131088:QKG131101 QUC131088:QUC131101 RDY131088:RDY131101 RNU131088:RNU131101 RXQ131088:RXQ131101 SHM131088:SHM131101 SRI131088:SRI131101 TBE131088:TBE131101 TLA131088:TLA131101 TUW131088:TUW131101 UES131088:UES131101 UOO131088:UOO131101 UYK131088:UYK131101 VIG131088:VIG131101 VSC131088:VSC131101 WBY131088:WBY131101 WLU131088:WLU131101 WVQ131088:WVQ131101 I196624:I196637 JE196624:JE196637 TA196624:TA196637 ACW196624:ACW196637 AMS196624:AMS196637 AWO196624:AWO196637 BGK196624:BGK196637 BQG196624:BQG196637 CAC196624:CAC196637 CJY196624:CJY196637 CTU196624:CTU196637 DDQ196624:DDQ196637 DNM196624:DNM196637 DXI196624:DXI196637 EHE196624:EHE196637 ERA196624:ERA196637 FAW196624:FAW196637 FKS196624:FKS196637 FUO196624:FUO196637 GEK196624:GEK196637 GOG196624:GOG196637 GYC196624:GYC196637 HHY196624:HHY196637 HRU196624:HRU196637 IBQ196624:IBQ196637 ILM196624:ILM196637 IVI196624:IVI196637 JFE196624:JFE196637 JPA196624:JPA196637 JYW196624:JYW196637 KIS196624:KIS196637 KSO196624:KSO196637 LCK196624:LCK196637 LMG196624:LMG196637 LWC196624:LWC196637 MFY196624:MFY196637 MPU196624:MPU196637 MZQ196624:MZQ196637 NJM196624:NJM196637 NTI196624:NTI196637 ODE196624:ODE196637 ONA196624:ONA196637 OWW196624:OWW196637 PGS196624:PGS196637 PQO196624:PQO196637 QAK196624:QAK196637 QKG196624:QKG196637 QUC196624:QUC196637 RDY196624:RDY196637 RNU196624:RNU196637 RXQ196624:RXQ196637 SHM196624:SHM196637 SRI196624:SRI196637 TBE196624:TBE196637 TLA196624:TLA196637 TUW196624:TUW196637 UES196624:UES196637 UOO196624:UOO196637 UYK196624:UYK196637 VIG196624:VIG196637 VSC196624:VSC196637 WBY196624:WBY196637 WLU196624:WLU196637 WVQ196624:WVQ196637 I262160:I262173 JE262160:JE262173 TA262160:TA262173 ACW262160:ACW262173 AMS262160:AMS262173 AWO262160:AWO262173 BGK262160:BGK262173 BQG262160:BQG262173 CAC262160:CAC262173 CJY262160:CJY262173 CTU262160:CTU262173 DDQ262160:DDQ262173 DNM262160:DNM262173 DXI262160:DXI262173 EHE262160:EHE262173 ERA262160:ERA262173 FAW262160:FAW262173 FKS262160:FKS262173 FUO262160:FUO262173 GEK262160:GEK262173 GOG262160:GOG262173 GYC262160:GYC262173 HHY262160:HHY262173 HRU262160:HRU262173 IBQ262160:IBQ262173 ILM262160:ILM262173 IVI262160:IVI262173 JFE262160:JFE262173 JPA262160:JPA262173 JYW262160:JYW262173 KIS262160:KIS262173 KSO262160:KSO262173 LCK262160:LCK262173 LMG262160:LMG262173 LWC262160:LWC262173 MFY262160:MFY262173 MPU262160:MPU262173 MZQ262160:MZQ262173 NJM262160:NJM262173 NTI262160:NTI262173 ODE262160:ODE262173 ONA262160:ONA262173 OWW262160:OWW262173 PGS262160:PGS262173 PQO262160:PQO262173 QAK262160:QAK262173 QKG262160:QKG262173 QUC262160:QUC262173 RDY262160:RDY262173 RNU262160:RNU262173 RXQ262160:RXQ262173 SHM262160:SHM262173 SRI262160:SRI262173 TBE262160:TBE262173 TLA262160:TLA262173 TUW262160:TUW262173 UES262160:UES262173 UOO262160:UOO262173 UYK262160:UYK262173 VIG262160:VIG262173 VSC262160:VSC262173 WBY262160:WBY262173 WLU262160:WLU262173 WVQ262160:WVQ262173 I327696:I327709 JE327696:JE327709 TA327696:TA327709 ACW327696:ACW327709 AMS327696:AMS327709 AWO327696:AWO327709 BGK327696:BGK327709 BQG327696:BQG327709 CAC327696:CAC327709 CJY327696:CJY327709 CTU327696:CTU327709 DDQ327696:DDQ327709 DNM327696:DNM327709 DXI327696:DXI327709 EHE327696:EHE327709 ERA327696:ERA327709 FAW327696:FAW327709 FKS327696:FKS327709 FUO327696:FUO327709 GEK327696:GEK327709 GOG327696:GOG327709 GYC327696:GYC327709 HHY327696:HHY327709 HRU327696:HRU327709 IBQ327696:IBQ327709 ILM327696:ILM327709 IVI327696:IVI327709 JFE327696:JFE327709 JPA327696:JPA327709 JYW327696:JYW327709 KIS327696:KIS327709 KSO327696:KSO327709 LCK327696:LCK327709 LMG327696:LMG327709 LWC327696:LWC327709 MFY327696:MFY327709 MPU327696:MPU327709 MZQ327696:MZQ327709 NJM327696:NJM327709 NTI327696:NTI327709 ODE327696:ODE327709 ONA327696:ONA327709 OWW327696:OWW327709 PGS327696:PGS327709 PQO327696:PQO327709 QAK327696:QAK327709 QKG327696:QKG327709 QUC327696:QUC327709 RDY327696:RDY327709 RNU327696:RNU327709 RXQ327696:RXQ327709 SHM327696:SHM327709 SRI327696:SRI327709 TBE327696:TBE327709 TLA327696:TLA327709 TUW327696:TUW327709 UES327696:UES327709 UOO327696:UOO327709 UYK327696:UYK327709 VIG327696:VIG327709 VSC327696:VSC327709 WBY327696:WBY327709 WLU327696:WLU327709 WVQ327696:WVQ327709 I393232:I393245 JE393232:JE393245 TA393232:TA393245 ACW393232:ACW393245 AMS393232:AMS393245 AWO393232:AWO393245 BGK393232:BGK393245 BQG393232:BQG393245 CAC393232:CAC393245 CJY393232:CJY393245 CTU393232:CTU393245 DDQ393232:DDQ393245 DNM393232:DNM393245 DXI393232:DXI393245 EHE393232:EHE393245 ERA393232:ERA393245 FAW393232:FAW393245 FKS393232:FKS393245 FUO393232:FUO393245 GEK393232:GEK393245 GOG393232:GOG393245 GYC393232:GYC393245 HHY393232:HHY393245 HRU393232:HRU393245 IBQ393232:IBQ393245 ILM393232:ILM393245 IVI393232:IVI393245 JFE393232:JFE393245 JPA393232:JPA393245 JYW393232:JYW393245 KIS393232:KIS393245 KSO393232:KSO393245 LCK393232:LCK393245 LMG393232:LMG393245 LWC393232:LWC393245 MFY393232:MFY393245 MPU393232:MPU393245 MZQ393232:MZQ393245 NJM393232:NJM393245 NTI393232:NTI393245 ODE393232:ODE393245 ONA393232:ONA393245 OWW393232:OWW393245 PGS393232:PGS393245 PQO393232:PQO393245 QAK393232:QAK393245 QKG393232:QKG393245 QUC393232:QUC393245 RDY393232:RDY393245 RNU393232:RNU393245 RXQ393232:RXQ393245 SHM393232:SHM393245 SRI393232:SRI393245 TBE393232:TBE393245 TLA393232:TLA393245 TUW393232:TUW393245 UES393232:UES393245 UOO393232:UOO393245 UYK393232:UYK393245 VIG393232:VIG393245 VSC393232:VSC393245 WBY393232:WBY393245 WLU393232:WLU393245 WVQ393232:WVQ393245 I458768:I458781 JE458768:JE458781 TA458768:TA458781 ACW458768:ACW458781 AMS458768:AMS458781 AWO458768:AWO458781 BGK458768:BGK458781 BQG458768:BQG458781 CAC458768:CAC458781 CJY458768:CJY458781 CTU458768:CTU458781 DDQ458768:DDQ458781 DNM458768:DNM458781 DXI458768:DXI458781 EHE458768:EHE458781 ERA458768:ERA458781 FAW458768:FAW458781 FKS458768:FKS458781 FUO458768:FUO458781 GEK458768:GEK458781 GOG458768:GOG458781 GYC458768:GYC458781 HHY458768:HHY458781 HRU458768:HRU458781 IBQ458768:IBQ458781 ILM458768:ILM458781 IVI458768:IVI458781 JFE458768:JFE458781 JPA458768:JPA458781 JYW458768:JYW458781 KIS458768:KIS458781 KSO458768:KSO458781 LCK458768:LCK458781 LMG458768:LMG458781 LWC458768:LWC458781 MFY458768:MFY458781 MPU458768:MPU458781 MZQ458768:MZQ458781 NJM458768:NJM458781 NTI458768:NTI458781 ODE458768:ODE458781 ONA458768:ONA458781 OWW458768:OWW458781 PGS458768:PGS458781 PQO458768:PQO458781 QAK458768:QAK458781 QKG458768:QKG458781 QUC458768:QUC458781 RDY458768:RDY458781 RNU458768:RNU458781 RXQ458768:RXQ458781 SHM458768:SHM458781 SRI458768:SRI458781 TBE458768:TBE458781 TLA458768:TLA458781 TUW458768:TUW458781 UES458768:UES458781 UOO458768:UOO458781 UYK458768:UYK458781 VIG458768:VIG458781 VSC458768:VSC458781 WBY458768:WBY458781 WLU458768:WLU458781 WVQ458768:WVQ458781 I524304:I524317 JE524304:JE524317 TA524304:TA524317 ACW524304:ACW524317 AMS524304:AMS524317 AWO524304:AWO524317 BGK524304:BGK524317 BQG524304:BQG524317 CAC524304:CAC524317 CJY524304:CJY524317 CTU524304:CTU524317 DDQ524304:DDQ524317 DNM524304:DNM524317 DXI524304:DXI524317 EHE524304:EHE524317 ERA524304:ERA524317 FAW524304:FAW524317 FKS524304:FKS524317 FUO524304:FUO524317 GEK524304:GEK524317 GOG524304:GOG524317 GYC524304:GYC524317 HHY524304:HHY524317 HRU524304:HRU524317 IBQ524304:IBQ524317 ILM524304:ILM524317 IVI524304:IVI524317 JFE524304:JFE524317 JPA524304:JPA524317 JYW524304:JYW524317 KIS524304:KIS524317 KSO524304:KSO524317 LCK524304:LCK524317 LMG524304:LMG524317 LWC524304:LWC524317 MFY524304:MFY524317 MPU524304:MPU524317 MZQ524304:MZQ524317 NJM524304:NJM524317 NTI524304:NTI524317 ODE524304:ODE524317 ONA524304:ONA524317 OWW524304:OWW524317 PGS524304:PGS524317 PQO524304:PQO524317 QAK524304:QAK524317 QKG524304:QKG524317 QUC524304:QUC524317 RDY524304:RDY524317 RNU524304:RNU524317 RXQ524304:RXQ524317 SHM524304:SHM524317 SRI524304:SRI524317 TBE524304:TBE524317 TLA524304:TLA524317 TUW524304:TUW524317 UES524304:UES524317 UOO524304:UOO524317 UYK524304:UYK524317 VIG524304:VIG524317 VSC524304:VSC524317 WBY524304:WBY524317 WLU524304:WLU524317 WVQ524304:WVQ524317 I589840:I589853 JE589840:JE589853 TA589840:TA589853 ACW589840:ACW589853 AMS589840:AMS589853 AWO589840:AWO589853 BGK589840:BGK589853 BQG589840:BQG589853 CAC589840:CAC589853 CJY589840:CJY589853 CTU589840:CTU589853 DDQ589840:DDQ589853 DNM589840:DNM589853 DXI589840:DXI589853 EHE589840:EHE589853 ERA589840:ERA589853 FAW589840:FAW589853 FKS589840:FKS589853 FUO589840:FUO589853 GEK589840:GEK589853 GOG589840:GOG589853 GYC589840:GYC589853 HHY589840:HHY589853 HRU589840:HRU589853 IBQ589840:IBQ589853 ILM589840:ILM589853 IVI589840:IVI589853 JFE589840:JFE589853 JPA589840:JPA589853 JYW589840:JYW589853 KIS589840:KIS589853 KSO589840:KSO589853 LCK589840:LCK589853 LMG589840:LMG589853 LWC589840:LWC589853 MFY589840:MFY589853 MPU589840:MPU589853 MZQ589840:MZQ589853 NJM589840:NJM589853 NTI589840:NTI589853 ODE589840:ODE589853 ONA589840:ONA589853 OWW589840:OWW589853 PGS589840:PGS589853 PQO589840:PQO589853 QAK589840:QAK589853 QKG589840:QKG589853 QUC589840:QUC589853 RDY589840:RDY589853 RNU589840:RNU589853 RXQ589840:RXQ589853 SHM589840:SHM589853 SRI589840:SRI589853 TBE589840:TBE589853 TLA589840:TLA589853 TUW589840:TUW589853 UES589840:UES589853 UOO589840:UOO589853 UYK589840:UYK589853 VIG589840:VIG589853 VSC589840:VSC589853 WBY589840:WBY589853 WLU589840:WLU589853 WVQ589840:WVQ589853 I655376:I655389 JE655376:JE655389 TA655376:TA655389 ACW655376:ACW655389 AMS655376:AMS655389 AWO655376:AWO655389 BGK655376:BGK655389 BQG655376:BQG655389 CAC655376:CAC655389 CJY655376:CJY655389 CTU655376:CTU655389 DDQ655376:DDQ655389 DNM655376:DNM655389 DXI655376:DXI655389 EHE655376:EHE655389 ERA655376:ERA655389 FAW655376:FAW655389 FKS655376:FKS655389 FUO655376:FUO655389 GEK655376:GEK655389 GOG655376:GOG655389 GYC655376:GYC655389 HHY655376:HHY655389 HRU655376:HRU655389 IBQ655376:IBQ655389 ILM655376:ILM655389 IVI655376:IVI655389 JFE655376:JFE655389 JPA655376:JPA655389 JYW655376:JYW655389 KIS655376:KIS655389 KSO655376:KSO655389 LCK655376:LCK655389 LMG655376:LMG655389 LWC655376:LWC655389 MFY655376:MFY655389 MPU655376:MPU655389 MZQ655376:MZQ655389 NJM655376:NJM655389 NTI655376:NTI655389 ODE655376:ODE655389 ONA655376:ONA655389 OWW655376:OWW655389 PGS655376:PGS655389 PQO655376:PQO655389 QAK655376:QAK655389 QKG655376:QKG655389 QUC655376:QUC655389 RDY655376:RDY655389 RNU655376:RNU655389 RXQ655376:RXQ655389 SHM655376:SHM655389 SRI655376:SRI655389 TBE655376:TBE655389 TLA655376:TLA655389 TUW655376:TUW655389 UES655376:UES655389 UOO655376:UOO655389 UYK655376:UYK655389 VIG655376:VIG655389 VSC655376:VSC655389 WBY655376:WBY655389 WLU655376:WLU655389 WVQ655376:WVQ655389 I720912:I720925 JE720912:JE720925 TA720912:TA720925 ACW720912:ACW720925 AMS720912:AMS720925 AWO720912:AWO720925 BGK720912:BGK720925 BQG720912:BQG720925 CAC720912:CAC720925 CJY720912:CJY720925 CTU720912:CTU720925 DDQ720912:DDQ720925 DNM720912:DNM720925 DXI720912:DXI720925 EHE720912:EHE720925 ERA720912:ERA720925 FAW720912:FAW720925 FKS720912:FKS720925 FUO720912:FUO720925 GEK720912:GEK720925 GOG720912:GOG720925 GYC720912:GYC720925 HHY720912:HHY720925 HRU720912:HRU720925 IBQ720912:IBQ720925 ILM720912:ILM720925 IVI720912:IVI720925 JFE720912:JFE720925 JPA720912:JPA720925 JYW720912:JYW720925 KIS720912:KIS720925 KSO720912:KSO720925 LCK720912:LCK720925 LMG720912:LMG720925 LWC720912:LWC720925 MFY720912:MFY720925 MPU720912:MPU720925 MZQ720912:MZQ720925 NJM720912:NJM720925 NTI720912:NTI720925 ODE720912:ODE720925 ONA720912:ONA720925 OWW720912:OWW720925 PGS720912:PGS720925 PQO720912:PQO720925 QAK720912:QAK720925 QKG720912:QKG720925 QUC720912:QUC720925 RDY720912:RDY720925 RNU720912:RNU720925 RXQ720912:RXQ720925 SHM720912:SHM720925 SRI720912:SRI720925 TBE720912:TBE720925 TLA720912:TLA720925 TUW720912:TUW720925 UES720912:UES720925 UOO720912:UOO720925 UYK720912:UYK720925 VIG720912:VIG720925 VSC720912:VSC720925 WBY720912:WBY720925 WLU720912:WLU720925 WVQ720912:WVQ720925 I786448:I786461 JE786448:JE786461 TA786448:TA786461 ACW786448:ACW786461 AMS786448:AMS786461 AWO786448:AWO786461 BGK786448:BGK786461 BQG786448:BQG786461 CAC786448:CAC786461 CJY786448:CJY786461 CTU786448:CTU786461 DDQ786448:DDQ786461 DNM786448:DNM786461 DXI786448:DXI786461 EHE786448:EHE786461 ERA786448:ERA786461 FAW786448:FAW786461 FKS786448:FKS786461 FUO786448:FUO786461 GEK786448:GEK786461 GOG786448:GOG786461 GYC786448:GYC786461 HHY786448:HHY786461 HRU786448:HRU786461 IBQ786448:IBQ786461 ILM786448:ILM786461 IVI786448:IVI786461 JFE786448:JFE786461 JPA786448:JPA786461 JYW786448:JYW786461 KIS786448:KIS786461 KSO786448:KSO786461 LCK786448:LCK786461 LMG786448:LMG786461 LWC786448:LWC786461 MFY786448:MFY786461 MPU786448:MPU786461 MZQ786448:MZQ786461 NJM786448:NJM786461 NTI786448:NTI786461 ODE786448:ODE786461 ONA786448:ONA786461 OWW786448:OWW786461 PGS786448:PGS786461 PQO786448:PQO786461 QAK786448:QAK786461 QKG786448:QKG786461 QUC786448:QUC786461 RDY786448:RDY786461 RNU786448:RNU786461 RXQ786448:RXQ786461 SHM786448:SHM786461 SRI786448:SRI786461 TBE786448:TBE786461 TLA786448:TLA786461 TUW786448:TUW786461 UES786448:UES786461 UOO786448:UOO786461 UYK786448:UYK786461 VIG786448:VIG786461 VSC786448:VSC786461 WBY786448:WBY786461 WLU786448:WLU786461 WVQ786448:WVQ786461 I851984:I851997 JE851984:JE851997 TA851984:TA851997 ACW851984:ACW851997 AMS851984:AMS851997 AWO851984:AWO851997 BGK851984:BGK851997 BQG851984:BQG851997 CAC851984:CAC851997 CJY851984:CJY851997 CTU851984:CTU851997 DDQ851984:DDQ851997 DNM851984:DNM851997 DXI851984:DXI851997 EHE851984:EHE851997 ERA851984:ERA851997 FAW851984:FAW851997 FKS851984:FKS851997 FUO851984:FUO851997 GEK851984:GEK851997 GOG851984:GOG851997 GYC851984:GYC851997 HHY851984:HHY851997 HRU851984:HRU851997 IBQ851984:IBQ851997 ILM851984:ILM851997 IVI851984:IVI851997 JFE851984:JFE851997 JPA851984:JPA851997 JYW851984:JYW851997 KIS851984:KIS851997 KSO851984:KSO851997 LCK851984:LCK851997 LMG851984:LMG851997 LWC851984:LWC851997 MFY851984:MFY851997 MPU851984:MPU851997 MZQ851984:MZQ851997 NJM851984:NJM851997 NTI851984:NTI851997 ODE851984:ODE851997 ONA851984:ONA851997 OWW851984:OWW851997 PGS851984:PGS851997 PQO851984:PQO851997 QAK851984:QAK851997 QKG851984:QKG851997 QUC851984:QUC851997 RDY851984:RDY851997 RNU851984:RNU851997 RXQ851984:RXQ851997 SHM851984:SHM851997 SRI851984:SRI851997 TBE851984:TBE851997 TLA851984:TLA851997 TUW851984:TUW851997 UES851984:UES851997 UOO851984:UOO851997 UYK851984:UYK851997 VIG851984:VIG851997 VSC851984:VSC851997 WBY851984:WBY851997 WLU851984:WLU851997 WVQ851984:WVQ851997 I917520:I917533 JE917520:JE917533 TA917520:TA917533 ACW917520:ACW917533 AMS917520:AMS917533 AWO917520:AWO917533 BGK917520:BGK917533 BQG917520:BQG917533 CAC917520:CAC917533 CJY917520:CJY917533 CTU917520:CTU917533 DDQ917520:DDQ917533 DNM917520:DNM917533 DXI917520:DXI917533 EHE917520:EHE917533 ERA917520:ERA917533 FAW917520:FAW917533 FKS917520:FKS917533 FUO917520:FUO917533 GEK917520:GEK917533 GOG917520:GOG917533 GYC917520:GYC917533 HHY917520:HHY917533 HRU917520:HRU917533 IBQ917520:IBQ917533 ILM917520:ILM917533 IVI917520:IVI917533 JFE917520:JFE917533 JPA917520:JPA917533 JYW917520:JYW917533 KIS917520:KIS917533 KSO917520:KSO917533 LCK917520:LCK917533 LMG917520:LMG917533 LWC917520:LWC917533 MFY917520:MFY917533 MPU917520:MPU917533 MZQ917520:MZQ917533 NJM917520:NJM917533 NTI917520:NTI917533 ODE917520:ODE917533 ONA917520:ONA917533 OWW917520:OWW917533 PGS917520:PGS917533 PQO917520:PQO917533 QAK917520:QAK917533 QKG917520:QKG917533 QUC917520:QUC917533 RDY917520:RDY917533 RNU917520:RNU917533 RXQ917520:RXQ917533 SHM917520:SHM917533 SRI917520:SRI917533 TBE917520:TBE917533 TLA917520:TLA917533 TUW917520:TUW917533 UES917520:UES917533 UOO917520:UOO917533 UYK917520:UYK917533 VIG917520:VIG917533 VSC917520:VSC917533 WBY917520:WBY917533 WLU917520:WLU917533 WVQ917520:WVQ917533 I983056:I983069 JE983056:JE983069 TA983056:TA983069 ACW983056:ACW983069 AMS983056:AMS983069 AWO983056:AWO983069 BGK983056:BGK983069 BQG983056:BQG983069 CAC983056:CAC983069 CJY983056:CJY983069 CTU983056:CTU983069 DDQ983056:DDQ983069 DNM983056:DNM983069 DXI983056:DXI983069 EHE983056:EHE983069 ERA983056:ERA983069 FAW983056:FAW983069 FKS983056:FKS983069 FUO983056:FUO983069 GEK983056:GEK983069 GOG983056:GOG983069 GYC983056:GYC983069 HHY983056:HHY983069 HRU983056:HRU983069 IBQ983056:IBQ983069 ILM983056:ILM983069 IVI983056:IVI983069 JFE983056:JFE983069 JPA983056:JPA983069 JYW983056:JYW983069 KIS983056:KIS983069 KSO983056:KSO983069 LCK983056:LCK983069 LMG983056:LMG983069 LWC983056:LWC983069 MFY983056:MFY983069 MPU983056:MPU983069 MZQ983056:MZQ983069 NJM983056:NJM983069 NTI983056:NTI983069 ODE983056:ODE983069 ONA983056:ONA983069 OWW983056:OWW983069 PGS983056:PGS983069 PQO983056:PQO983069 QAK983056:QAK983069 QKG983056:QKG983069 QUC983056:QUC983069 RDY983056:RDY983069 RNU983056:RNU983069 RXQ983056:RXQ983069 SHM983056:SHM983069 SRI983056:SRI983069 TBE983056:TBE983069 TLA983056:TLA983069 TUW983056:TUW983069 UES983056:UES983069 UOO983056:UOO983069 UYK983056:UYK983069 VIG983056:VIG983069 VSC983056:VSC983069 WBY983056:WBY983069 WLU983056:WLU983069 WVQ983056:WVQ983069 WVN983071:WVN983074 JB16:JB29 SX16:SX29 ACT16:ACT29 AMP16:AMP29 AWL16:AWL29 BGH16:BGH29 BQD16:BQD29 BZZ16:BZZ29 CJV16:CJV29 CTR16:CTR29 DDN16:DDN29 DNJ16:DNJ29 DXF16:DXF29 EHB16:EHB29 EQX16:EQX29 FAT16:FAT29 FKP16:FKP29 FUL16:FUL29 GEH16:GEH29 GOD16:GOD29 GXZ16:GXZ29 HHV16:HHV29 HRR16:HRR29 IBN16:IBN29 ILJ16:ILJ29 IVF16:IVF29 JFB16:JFB29 JOX16:JOX29 JYT16:JYT29 KIP16:KIP29 KSL16:KSL29 LCH16:LCH29 LMD16:LMD29 LVZ16:LVZ29 MFV16:MFV29 MPR16:MPR29 MZN16:MZN29 NJJ16:NJJ29 NTF16:NTF29 ODB16:ODB29 OMX16:OMX29 OWT16:OWT29 PGP16:PGP29 PQL16:PQL29 QAH16:QAH29 QKD16:QKD29 QTZ16:QTZ29 RDV16:RDV29 RNR16:RNR29 RXN16:RXN29 SHJ16:SHJ29 SRF16:SRF29 TBB16:TBB29 TKX16:TKX29 TUT16:TUT29 UEP16:UEP29 UOL16:UOL29 UYH16:UYH29 VID16:VID29 VRZ16:VRZ29 WBV16:WBV29 WLR16:WLR29 WVN16:WVN29 F65552:F65565 JB65552:JB65565 SX65552:SX65565 ACT65552:ACT65565 AMP65552:AMP65565 AWL65552:AWL65565 BGH65552:BGH65565 BQD65552:BQD65565 BZZ65552:BZZ65565 CJV65552:CJV65565 CTR65552:CTR65565 DDN65552:DDN65565 DNJ65552:DNJ65565 DXF65552:DXF65565 EHB65552:EHB65565 EQX65552:EQX65565 FAT65552:FAT65565 FKP65552:FKP65565 FUL65552:FUL65565 GEH65552:GEH65565 GOD65552:GOD65565 GXZ65552:GXZ65565 HHV65552:HHV65565 HRR65552:HRR65565 IBN65552:IBN65565 ILJ65552:ILJ65565 IVF65552:IVF65565 JFB65552:JFB65565 JOX65552:JOX65565 JYT65552:JYT65565 KIP65552:KIP65565 KSL65552:KSL65565 LCH65552:LCH65565 LMD65552:LMD65565 LVZ65552:LVZ65565 MFV65552:MFV65565 MPR65552:MPR65565 MZN65552:MZN65565 NJJ65552:NJJ65565 NTF65552:NTF65565 ODB65552:ODB65565 OMX65552:OMX65565 OWT65552:OWT65565 PGP65552:PGP65565 PQL65552:PQL65565 QAH65552:QAH65565 QKD65552:QKD65565 QTZ65552:QTZ65565 RDV65552:RDV65565 RNR65552:RNR65565 RXN65552:RXN65565 SHJ65552:SHJ65565 SRF65552:SRF65565 TBB65552:TBB65565 TKX65552:TKX65565 TUT65552:TUT65565 UEP65552:UEP65565 UOL65552:UOL65565 UYH65552:UYH65565 VID65552:VID65565 VRZ65552:VRZ65565 WBV65552:WBV65565 WLR65552:WLR65565 WVN65552:WVN65565 F131088:F131101 JB131088:JB131101 SX131088:SX131101 ACT131088:ACT131101 AMP131088:AMP131101 AWL131088:AWL131101 BGH131088:BGH131101 BQD131088:BQD131101 BZZ131088:BZZ131101 CJV131088:CJV131101 CTR131088:CTR131101 DDN131088:DDN131101 DNJ131088:DNJ131101 DXF131088:DXF131101 EHB131088:EHB131101 EQX131088:EQX131101 FAT131088:FAT131101 FKP131088:FKP131101 FUL131088:FUL131101 GEH131088:GEH131101 GOD131088:GOD131101 GXZ131088:GXZ131101 HHV131088:HHV131101 HRR131088:HRR131101 IBN131088:IBN131101 ILJ131088:ILJ131101 IVF131088:IVF131101 JFB131088:JFB131101 JOX131088:JOX131101 JYT131088:JYT131101 KIP131088:KIP131101 KSL131088:KSL131101 LCH131088:LCH131101 LMD131088:LMD131101 LVZ131088:LVZ131101 MFV131088:MFV131101 MPR131088:MPR131101 MZN131088:MZN131101 NJJ131088:NJJ131101 NTF131088:NTF131101 ODB131088:ODB131101 OMX131088:OMX131101 OWT131088:OWT131101 PGP131088:PGP131101 PQL131088:PQL131101 QAH131088:QAH131101 QKD131088:QKD131101 QTZ131088:QTZ131101 RDV131088:RDV131101 RNR131088:RNR131101 RXN131088:RXN131101 SHJ131088:SHJ131101 SRF131088:SRF131101 TBB131088:TBB131101 TKX131088:TKX131101 TUT131088:TUT131101 UEP131088:UEP131101 UOL131088:UOL131101 UYH131088:UYH131101 VID131088:VID131101 VRZ131088:VRZ131101 WBV131088:WBV131101 WLR131088:WLR131101 WVN131088:WVN131101 F196624:F196637 JB196624:JB196637 SX196624:SX196637 ACT196624:ACT196637 AMP196624:AMP196637 AWL196624:AWL196637 BGH196624:BGH196637 BQD196624:BQD196637 BZZ196624:BZZ196637 CJV196624:CJV196637 CTR196624:CTR196637 DDN196624:DDN196637 DNJ196624:DNJ196637 DXF196624:DXF196637 EHB196624:EHB196637 EQX196624:EQX196637 FAT196624:FAT196637 FKP196624:FKP196637 FUL196624:FUL196637 GEH196624:GEH196637 GOD196624:GOD196637 GXZ196624:GXZ196637 HHV196624:HHV196637 HRR196624:HRR196637 IBN196624:IBN196637 ILJ196624:ILJ196637 IVF196624:IVF196637 JFB196624:JFB196637 JOX196624:JOX196637 JYT196624:JYT196637 KIP196624:KIP196637 KSL196624:KSL196637 LCH196624:LCH196637 LMD196624:LMD196637 LVZ196624:LVZ196637 MFV196624:MFV196637 MPR196624:MPR196637 MZN196624:MZN196637 NJJ196624:NJJ196637 NTF196624:NTF196637 ODB196624:ODB196637 OMX196624:OMX196637 OWT196624:OWT196637 PGP196624:PGP196637 PQL196624:PQL196637 QAH196624:QAH196637 QKD196624:QKD196637 QTZ196624:QTZ196637 RDV196624:RDV196637 RNR196624:RNR196637 RXN196624:RXN196637 SHJ196624:SHJ196637 SRF196624:SRF196637 TBB196624:TBB196637 TKX196624:TKX196637 TUT196624:TUT196637 UEP196624:UEP196637 UOL196624:UOL196637 UYH196624:UYH196637 VID196624:VID196637 VRZ196624:VRZ196637 WBV196624:WBV196637 WLR196624:WLR196637 WVN196624:WVN196637 F262160:F262173 JB262160:JB262173 SX262160:SX262173 ACT262160:ACT262173 AMP262160:AMP262173 AWL262160:AWL262173 BGH262160:BGH262173 BQD262160:BQD262173 BZZ262160:BZZ262173 CJV262160:CJV262173 CTR262160:CTR262173 DDN262160:DDN262173 DNJ262160:DNJ262173 DXF262160:DXF262173 EHB262160:EHB262173 EQX262160:EQX262173 FAT262160:FAT262173 FKP262160:FKP262173 FUL262160:FUL262173 GEH262160:GEH262173 GOD262160:GOD262173 GXZ262160:GXZ262173 HHV262160:HHV262173 HRR262160:HRR262173 IBN262160:IBN262173 ILJ262160:ILJ262173 IVF262160:IVF262173 JFB262160:JFB262173 JOX262160:JOX262173 JYT262160:JYT262173 KIP262160:KIP262173 KSL262160:KSL262173 LCH262160:LCH262173 LMD262160:LMD262173 LVZ262160:LVZ262173 MFV262160:MFV262173 MPR262160:MPR262173 MZN262160:MZN262173 NJJ262160:NJJ262173 NTF262160:NTF262173 ODB262160:ODB262173 OMX262160:OMX262173 OWT262160:OWT262173 PGP262160:PGP262173 PQL262160:PQL262173 QAH262160:QAH262173 QKD262160:QKD262173 QTZ262160:QTZ262173 RDV262160:RDV262173 RNR262160:RNR262173 RXN262160:RXN262173 SHJ262160:SHJ262173 SRF262160:SRF262173 TBB262160:TBB262173 TKX262160:TKX262173 TUT262160:TUT262173 UEP262160:UEP262173 UOL262160:UOL262173 UYH262160:UYH262173 VID262160:VID262173 VRZ262160:VRZ262173 WBV262160:WBV262173 WLR262160:WLR262173 WVN262160:WVN262173 F327696:F327709 JB327696:JB327709 SX327696:SX327709 ACT327696:ACT327709 AMP327696:AMP327709 AWL327696:AWL327709 BGH327696:BGH327709 BQD327696:BQD327709 BZZ327696:BZZ327709 CJV327696:CJV327709 CTR327696:CTR327709 DDN327696:DDN327709 DNJ327696:DNJ327709 DXF327696:DXF327709 EHB327696:EHB327709 EQX327696:EQX327709 FAT327696:FAT327709 FKP327696:FKP327709 FUL327696:FUL327709 GEH327696:GEH327709 GOD327696:GOD327709 GXZ327696:GXZ327709 HHV327696:HHV327709 HRR327696:HRR327709 IBN327696:IBN327709 ILJ327696:ILJ327709 IVF327696:IVF327709 JFB327696:JFB327709 JOX327696:JOX327709 JYT327696:JYT327709 KIP327696:KIP327709 KSL327696:KSL327709 LCH327696:LCH327709 LMD327696:LMD327709 LVZ327696:LVZ327709 MFV327696:MFV327709 MPR327696:MPR327709 MZN327696:MZN327709 NJJ327696:NJJ327709 NTF327696:NTF327709 ODB327696:ODB327709 OMX327696:OMX327709 OWT327696:OWT327709 PGP327696:PGP327709 PQL327696:PQL327709 QAH327696:QAH327709 QKD327696:QKD327709 QTZ327696:QTZ327709 RDV327696:RDV327709 RNR327696:RNR327709 RXN327696:RXN327709 SHJ327696:SHJ327709 SRF327696:SRF327709 TBB327696:TBB327709 TKX327696:TKX327709 TUT327696:TUT327709 UEP327696:UEP327709 UOL327696:UOL327709 UYH327696:UYH327709 VID327696:VID327709 VRZ327696:VRZ327709 WBV327696:WBV327709 WLR327696:WLR327709 WVN327696:WVN327709 F393232:F393245 JB393232:JB393245 SX393232:SX393245 ACT393232:ACT393245 AMP393232:AMP393245 AWL393232:AWL393245 BGH393232:BGH393245 BQD393232:BQD393245 BZZ393232:BZZ393245 CJV393232:CJV393245 CTR393232:CTR393245 DDN393232:DDN393245 DNJ393232:DNJ393245 DXF393232:DXF393245 EHB393232:EHB393245 EQX393232:EQX393245 FAT393232:FAT393245 FKP393232:FKP393245 FUL393232:FUL393245 GEH393232:GEH393245 GOD393232:GOD393245 GXZ393232:GXZ393245 HHV393232:HHV393245 HRR393232:HRR393245 IBN393232:IBN393245 ILJ393232:ILJ393245 IVF393232:IVF393245 JFB393232:JFB393245 JOX393232:JOX393245 JYT393232:JYT393245 KIP393232:KIP393245 KSL393232:KSL393245 LCH393232:LCH393245 LMD393232:LMD393245 LVZ393232:LVZ393245 MFV393232:MFV393245 MPR393232:MPR393245 MZN393232:MZN393245 NJJ393232:NJJ393245 NTF393232:NTF393245 ODB393232:ODB393245 OMX393232:OMX393245 OWT393232:OWT393245 PGP393232:PGP393245 PQL393232:PQL393245 QAH393232:QAH393245 QKD393232:QKD393245 QTZ393232:QTZ393245 RDV393232:RDV393245 RNR393232:RNR393245 RXN393232:RXN393245 SHJ393232:SHJ393245 SRF393232:SRF393245 TBB393232:TBB393245 TKX393232:TKX393245 TUT393232:TUT393245 UEP393232:UEP393245 UOL393232:UOL393245 UYH393232:UYH393245 VID393232:VID393245 VRZ393232:VRZ393245 WBV393232:WBV393245 WLR393232:WLR393245 WVN393232:WVN393245 F458768:F458781 JB458768:JB458781 SX458768:SX458781 ACT458768:ACT458781 AMP458768:AMP458781 AWL458768:AWL458781 BGH458768:BGH458781 BQD458768:BQD458781 BZZ458768:BZZ458781 CJV458768:CJV458781 CTR458768:CTR458781 DDN458768:DDN458781 DNJ458768:DNJ458781 DXF458768:DXF458781 EHB458768:EHB458781 EQX458768:EQX458781 FAT458768:FAT458781 FKP458768:FKP458781 FUL458768:FUL458781 GEH458768:GEH458781 GOD458768:GOD458781 GXZ458768:GXZ458781 HHV458768:HHV458781 HRR458768:HRR458781 IBN458768:IBN458781 ILJ458768:ILJ458781 IVF458768:IVF458781 JFB458768:JFB458781 JOX458768:JOX458781 JYT458768:JYT458781 KIP458768:KIP458781 KSL458768:KSL458781 LCH458768:LCH458781 LMD458768:LMD458781 LVZ458768:LVZ458781 MFV458768:MFV458781 MPR458768:MPR458781 MZN458768:MZN458781 NJJ458768:NJJ458781 NTF458768:NTF458781 ODB458768:ODB458781 OMX458768:OMX458781 OWT458768:OWT458781 PGP458768:PGP458781 PQL458768:PQL458781 QAH458768:QAH458781 QKD458768:QKD458781 QTZ458768:QTZ458781 RDV458768:RDV458781 RNR458768:RNR458781 RXN458768:RXN458781 SHJ458768:SHJ458781 SRF458768:SRF458781 TBB458768:TBB458781 TKX458768:TKX458781 TUT458768:TUT458781 UEP458768:UEP458781 UOL458768:UOL458781 UYH458768:UYH458781 VID458768:VID458781 VRZ458768:VRZ458781 WBV458768:WBV458781 WLR458768:WLR458781 WVN458768:WVN458781 F524304:F524317 JB524304:JB524317 SX524304:SX524317 ACT524304:ACT524317 AMP524304:AMP524317 AWL524304:AWL524317 BGH524304:BGH524317 BQD524304:BQD524317 BZZ524304:BZZ524317 CJV524304:CJV524317 CTR524304:CTR524317 DDN524304:DDN524317 DNJ524304:DNJ524317 DXF524304:DXF524317 EHB524304:EHB524317 EQX524304:EQX524317 FAT524304:FAT524317 FKP524304:FKP524317 FUL524304:FUL524317 GEH524304:GEH524317 GOD524304:GOD524317 GXZ524304:GXZ524317 HHV524304:HHV524317 HRR524304:HRR524317 IBN524304:IBN524317 ILJ524304:ILJ524317 IVF524304:IVF524317 JFB524304:JFB524317 JOX524304:JOX524317 JYT524304:JYT524317 KIP524304:KIP524317 KSL524304:KSL524317 LCH524304:LCH524317 LMD524304:LMD524317 LVZ524304:LVZ524317 MFV524304:MFV524317 MPR524304:MPR524317 MZN524304:MZN524317 NJJ524304:NJJ524317 NTF524304:NTF524317 ODB524304:ODB524317 OMX524304:OMX524317 OWT524304:OWT524317 PGP524304:PGP524317 PQL524304:PQL524317 QAH524304:QAH524317 QKD524304:QKD524317 QTZ524304:QTZ524317 RDV524304:RDV524317 RNR524304:RNR524317 RXN524304:RXN524317 SHJ524304:SHJ524317 SRF524304:SRF524317 TBB524304:TBB524317 TKX524304:TKX524317 TUT524304:TUT524317 UEP524304:UEP524317 UOL524304:UOL524317 UYH524304:UYH524317 VID524304:VID524317 VRZ524304:VRZ524317 WBV524304:WBV524317 WLR524304:WLR524317 WVN524304:WVN524317 F589840:F589853 JB589840:JB589853 SX589840:SX589853 ACT589840:ACT589853 AMP589840:AMP589853 AWL589840:AWL589853 BGH589840:BGH589853 BQD589840:BQD589853 BZZ589840:BZZ589853 CJV589840:CJV589853 CTR589840:CTR589853 DDN589840:DDN589853 DNJ589840:DNJ589853 DXF589840:DXF589853 EHB589840:EHB589853 EQX589840:EQX589853 FAT589840:FAT589853 FKP589840:FKP589853 FUL589840:FUL589853 GEH589840:GEH589853 GOD589840:GOD589853 GXZ589840:GXZ589853 HHV589840:HHV589853 HRR589840:HRR589853 IBN589840:IBN589853 ILJ589840:ILJ589853 IVF589840:IVF589853 JFB589840:JFB589853 JOX589840:JOX589853 JYT589840:JYT589853 KIP589840:KIP589853 KSL589840:KSL589853 LCH589840:LCH589853 LMD589840:LMD589853 LVZ589840:LVZ589853 MFV589840:MFV589853 MPR589840:MPR589853 MZN589840:MZN589853 NJJ589840:NJJ589853 NTF589840:NTF589853 ODB589840:ODB589853 OMX589840:OMX589853 OWT589840:OWT589853 PGP589840:PGP589853 PQL589840:PQL589853 QAH589840:QAH589853 QKD589840:QKD589853 QTZ589840:QTZ589853 RDV589840:RDV589853 RNR589840:RNR589853 RXN589840:RXN589853 SHJ589840:SHJ589853 SRF589840:SRF589853 TBB589840:TBB589853 TKX589840:TKX589853 TUT589840:TUT589853 UEP589840:UEP589853 UOL589840:UOL589853 UYH589840:UYH589853 VID589840:VID589853 VRZ589840:VRZ589853 WBV589840:WBV589853 WLR589840:WLR589853 WVN589840:WVN589853 F655376:F655389 JB655376:JB655389 SX655376:SX655389 ACT655376:ACT655389 AMP655376:AMP655389 AWL655376:AWL655389 BGH655376:BGH655389 BQD655376:BQD655389 BZZ655376:BZZ655389 CJV655376:CJV655389 CTR655376:CTR655389 DDN655376:DDN655389 DNJ655376:DNJ655389 DXF655376:DXF655389 EHB655376:EHB655389 EQX655376:EQX655389 FAT655376:FAT655389 FKP655376:FKP655389 FUL655376:FUL655389 GEH655376:GEH655389 GOD655376:GOD655389 GXZ655376:GXZ655389 HHV655376:HHV655389 HRR655376:HRR655389 IBN655376:IBN655389 ILJ655376:ILJ655389 IVF655376:IVF655389 JFB655376:JFB655389 JOX655376:JOX655389 JYT655376:JYT655389 KIP655376:KIP655389 KSL655376:KSL655389 LCH655376:LCH655389 LMD655376:LMD655389 LVZ655376:LVZ655389 MFV655376:MFV655389 MPR655376:MPR655389 MZN655376:MZN655389 NJJ655376:NJJ655389 NTF655376:NTF655389 ODB655376:ODB655389 OMX655376:OMX655389 OWT655376:OWT655389 PGP655376:PGP655389 PQL655376:PQL655389 QAH655376:QAH655389 QKD655376:QKD655389 QTZ655376:QTZ655389 RDV655376:RDV655389 RNR655376:RNR655389 RXN655376:RXN655389 SHJ655376:SHJ655389 SRF655376:SRF655389 TBB655376:TBB655389 TKX655376:TKX655389 TUT655376:TUT655389 UEP655376:UEP655389 UOL655376:UOL655389 UYH655376:UYH655389 VID655376:VID655389 VRZ655376:VRZ655389 WBV655376:WBV655389 WLR655376:WLR655389 WVN655376:WVN655389 F720912:F720925 JB720912:JB720925 SX720912:SX720925 ACT720912:ACT720925 AMP720912:AMP720925 AWL720912:AWL720925 BGH720912:BGH720925 BQD720912:BQD720925 BZZ720912:BZZ720925 CJV720912:CJV720925 CTR720912:CTR720925 DDN720912:DDN720925 DNJ720912:DNJ720925 DXF720912:DXF720925 EHB720912:EHB720925 EQX720912:EQX720925 FAT720912:FAT720925 FKP720912:FKP720925 FUL720912:FUL720925 GEH720912:GEH720925 GOD720912:GOD720925 GXZ720912:GXZ720925 HHV720912:HHV720925 HRR720912:HRR720925 IBN720912:IBN720925 ILJ720912:ILJ720925 IVF720912:IVF720925 JFB720912:JFB720925 JOX720912:JOX720925 JYT720912:JYT720925 KIP720912:KIP720925 KSL720912:KSL720925 LCH720912:LCH720925 LMD720912:LMD720925 LVZ720912:LVZ720925 MFV720912:MFV720925 MPR720912:MPR720925 MZN720912:MZN720925 NJJ720912:NJJ720925 NTF720912:NTF720925 ODB720912:ODB720925 OMX720912:OMX720925 OWT720912:OWT720925 PGP720912:PGP720925 PQL720912:PQL720925 QAH720912:QAH720925 QKD720912:QKD720925 QTZ720912:QTZ720925 RDV720912:RDV720925 RNR720912:RNR720925 RXN720912:RXN720925 SHJ720912:SHJ720925 SRF720912:SRF720925 TBB720912:TBB720925 TKX720912:TKX720925 TUT720912:TUT720925 UEP720912:UEP720925 UOL720912:UOL720925 UYH720912:UYH720925 VID720912:VID720925 VRZ720912:VRZ720925 WBV720912:WBV720925 WLR720912:WLR720925 WVN720912:WVN720925 F786448:F786461 JB786448:JB786461 SX786448:SX786461 ACT786448:ACT786461 AMP786448:AMP786461 AWL786448:AWL786461 BGH786448:BGH786461 BQD786448:BQD786461 BZZ786448:BZZ786461 CJV786448:CJV786461 CTR786448:CTR786461 DDN786448:DDN786461 DNJ786448:DNJ786461 DXF786448:DXF786461 EHB786448:EHB786461 EQX786448:EQX786461 FAT786448:FAT786461 FKP786448:FKP786461 FUL786448:FUL786461 GEH786448:GEH786461 GOD786448:GOD786461 GXZ786448:GXZ786461 HHV786448:HHV786461 HRR786448:HRR786461 IBN786448:IBN786461 ILJ786448:ILJ786461 IVF786448:IVF786461 JFB786448:JFB786461 JOX786448:JOX786461 JYT786448:JYT786461 KIP786448:KIP786461 KSL786448:KSL786461 LCH786448:LCH786461 LMD786448:LMD786461 LVZ786448:LVZ786461 MFV786448:MFV786461 MPR786448:MPR786461 MZN786448:MZN786461 NJJ786448:NJJ786461 NTF786448:NTF786461 ODB786448:ODB786461 OMX786448:OMX786461 OWT786448:OWT786461 PGP786448:PGP786461 PQL786448:PQL786461 QAH786448:QAH786461 QKD786448:QKD786461 QTZ786448:QTZ786461 RDV786448:RDV786461 RNR786448:RNR786461 RXN786448:RXN786461 SHJ786448:SHJ786461 SRF786448:SRF786461 TBB786448:TBB786461 TKX786448:TKX786461 TUT786448:TUT786461 UEP786448:UEP786461 UOL786448:UOL786461 UYH786448:UYH786461 VID786448:VID786461 VRZ786448:VRZ786461 WBV786448:WBV786461 WLR786448:WLR786461 WVN786448:WVN786461 F851984:F851997 JB851984:JB851997 SX851984:SX851997 ACT851984:ACT851997 AMP851984:AMP851997 AWL851984:AWL851997 BGH851984:BGH851997 BQD851984:BQD851997 BZZ851984:BZZ851997 CJV851984:CJV851997 CTR851984:CTR851997 DDN851984:DDN851997 DNJ851984:DNJ851997 DXF851984:DXF851997 EHB851984:EHB851997 EQX851984:EQX851997 FAT851984:FAT851997 FKP851984:FKP851997 FUL851984:FUL851997 GEH851984:GEH851997 GOD851984:GOD851997 GXZ851984:GXZ851997 HHV851984:HHV851997 HRR851984:HRR851997 IBN851984:IBN851997 ILJ851984:ILJ851997 IVF851984:IVF851997 JFB851984:JFB851997 JOX851984:JOX851997 JYT851984:JYT851997 KIP851984:KIP851997 KSL851984:KSL851997 LCH851984:LCH851997 LMD851984:LMD851997 LVZ851984:LVZ851997 MFV851984:MFV851997 MPR851984:MPR851997 MZN851984:MZN851997 NJJ851984:NJJ851997 NTF851984:NTF851997 ODB851984:ODB851997 OMX851984:OMX851997 OWT851984:OWT851997 PGP851984:PGP851997 PQL851984:PQL851997 QAH851984:QAH851997 QKD851984:QKD851997 QTZ851984:QTZ851997 RDV851984:RDV851997 RNR851984:RNR851997 RXN851984:RXN851997 SHJ851984:SHJ851997 SRF851984:SRF851997 TBB851984:TBB851997 TKX851984:TKX851997 TUT851984:TUT851997 UEP851984:UEP851997 UOL851984:UOL851997 UYH851984:UYH851997 VID851984:VID851997 VRZ851984:VRZ851997 WBV851984:WBV851997 WLR851984:WLR851997 WVN851984:WVN851997 F917520:F917533 JB917520:JB917533 SX917520:SX917533 ACT917520:ACT917533 AMP917520:AMP917533 AWL917520:AWL917533 BGH917520:BGH917533 BQD917520:BQD917533 BZZ917520:BZZ917533 CJV917520:CJV917533 CTR917520:CTR917533 DDN917520:DDN917533 DNJ917520:DNJ917533 DXF917520:DXF917533 EHB917520:EHB917533 EQX917520:EQX917533 FAT917520:FAT917533 FKP917520:FKP917533 FUL917520:FUL917533 GEH917520:GEH917533 GOD917520:GOD917533 GXZ917520:GXZ917533 HHV917520:HHV917533 HRR917520:HRR917533 IBN917520:IBN917533 ILJ917520:ILJ917533 IVF917520:IVF917533 JFB917520:JFB917533 JOX917520:JOX917533 JYT917520:JYT917533 KIP917520:KIP917533 KSL917520:KSL917533 LCH917520:LCH917533 LMD917520:LMD917533 LVZ917520:LVZ917533 MFV917520:MFV917533 MPR917520:MPR917533 MZN917520:MZN917533 NJJ917520:NJJ917533 NTF917520:NTF917533 ODB917520:ODB917533 OMX917520:OMX917533 OWT917520:OWT917533 PGP917520:PGP917533 PQL917520:PQL917533 QAH917520:QAH917533 QKD917520:QKD917533 QTZ917520:QTZ917533 RDV917520:RDV917533 RNR917520:RNR917533 RXN917520:RXN917533 SHJ917520:SHJ917533 SRF917520:SRF917533 TBB917520:TBB917533 TKX917520:TKX917533 TUT917520:TUT917533 UEP917520:UEP917533 UOL917520:UOL917533 UYH917520:UYH917533 VID917520:VID917533 VRZ917520:VRZ917533 WBV917520:WBV917533 WLR917520:WLR917533 WVN917520:WVN917533 F983056:F983069 JB983056:JB983069 SX983056:SX983069 ACT983056:ACT983069 AMP983056:AMP983069 AWL983056:AWL983069 BGH983056:BGH983069 BQD983056:BQD983069 BZZ983056:BZZ983069 CJV983056:CJV983069 CTR983056:CTR983069 DDN983056:DDN983069 DNJ983056:DNJ983069 DXF983056:DXF983069 EHB983056:EHB983069 EQX983056:EQX983069 FAT983056:FAT983069 FKP983056:FKP983069 FUL983056:FUL983069 GEH983056:GEH983069 GOD983056:GOD983069 GXZ983056:GXZ983069 HHV983056:HHV983069 HRR983056:HRR983069 IBN983056:IBN983069 ILJ983056:ILJ983069 IVF983056:IVF983069 JFB983056:JFB983069 JOX983056:JOX983069 JYT983056:JYT983069 KIP983056:KIP983069 KSL983056:KSL983069 LCH983056:LCH983069 LMD983056:LMD983069 LVZ983056:LVZ983069 MFV983056:MFV983069 MPR983056:MPR983069 MZN983056:MZN983069 NJJ983056:NJJ983069 NTF983056:NTF983069 ODB983056:ODB983069 OMX983056:OMX983069 OWT983056:OWT983069 PGP983056:PGP983069 PQL983056:PQL983069 QAH983056:QAH983069 QKD983056:QKD983069 QTZ983056:QTZ983069 RDV983056:RDV983069 RNR983056:RNR983069 RXN983056:RXN983069 SHJ983056:SHJ983069 SRF983056:SRF983069 TBB983056:TBB983069 TKX983056:TKX983069 TUT983056:TUT983069 UEP983056:UEP983069 UOL983056:UOL983069 UYH983056:UYH983069 VID983056:VID983069 VRZ983056:VRZ983069 WBV983056:WBV983069 WLR983056:WLR983069 WVN983056:WVN983069 F31:F34 JE31:JE34 TA31:TA34 ACW31:ACW34 AMS31:AMS34 AWO31:AWO34 BGK31:BGK34 BQG31:BQG34 CAC31:CAC34 CJY31:CJY34 CTU31:CTU34 DDQ31:DDQ34 DNM31:DNM34 DXI31:DXI34 EHE31:EHE34 ERA31:ERA34 FAW31:FAW34 FKS31:FKS34 FUO31:FUO34 GEK31:GEK34 GOG31:GOG34 GYC31:GYC34 HHY31:HHY34 HRU31:HRU34 IBQ31:IBQ34 ILM31:ILM34 IVI31:IVI34 JFE31:JFE34 JPA31:JPA34 JYW31:JYW34 KIS31:KIS34 KSO31:KSO34 LCK31:LCK34 LMG31:LMG34 LWC31:LWC34 MFY31:MFY34 MPU31:MPU34 MZQ31:MZQ34 NJM31:NJM34 NTI31:NTI34 ODE31:ODE34 ONA31:ONA34 OWW31:OWW34 PGS31:PGS34 PQO31:PQO34 QAK31:QAK34 QKG31:QKG34 QUC31:QUC34 RDY31:RDY34 RNU31:RNU34 RXQ31:RXQ34 SHM31:SHM34 SRI31:SRI34 TBE31:TBE34 TLA31:TLA34 TUW31:TUW34 UES31:UES34 UOO31:UOO34 UYK31:UYK34 VIG31:VIG34 VSC31:VSC34 WBY31:WBY34 WLU31:WLU34 WVQ31:WVQ34 I65567:I65570 JE65567:JE65570 TA65567:TA65570 ACW65567:ACW65570 AMS65567:AMS65570 AWO65567:AWO65570 BGK65567:BGK65570 BQG65567:BQG65570 CAC65567:CAC65570 CJY65567:CJY65570 CTU65567:CTU65570 DDQ65567:DDQ65570 DNM65567:DNM65570 DXI65567:DXI65570 EHE65567:EHE65570 ERA65567:ERA65570 FAW65567:FAW65570 FKS65567:FKS65570 FUO65567:FUO65570 GEK65567:GEK65570 GOG65567:GOG65570 GYC65567:GYC65570 HHY65567:HHY65570 HRU65567:HRU65570 IBQ65567:IBQ65570 ILM65567:ILM65570 IVI65567:IVI65570 JFE65567:JFE65570 JPA65567:JPA65570 JYW65567:JYW65570 KIS65567:KIS65570 KSO65567:KSO65570 LCK65567:LCK65570 LMG65567:LMG65570 LWC65567:LWC65570 MFY65567:MFY65570 MPU65567:MPU65570 MZQ65567:MZQ65570 NJM65567:NJM65570 NTI65567:NTI65570 ODE65567:ODE65570 ONA65567:ONA65570 OWW65567:OWW65570 PGS65567:PGS65570 PQO65567:PQO65570 QAK65567:QAK65570 QKG65567:QKG65570 QUC65567:QUC65570 RDY65567:RDY65570 RNU65567:RNU65570 RXQ65567:RXQ65570 SHM65567:SHM65570 SRI65567:SRI65570 TBE65567:TBE65570 TLA65567:TLA65570 TUW65567:TUW65570 UES65567:UES65570 UOO65567:UOO65570 UYK65567:UYK65570 VIG65567:VIG65570 VSC65567:VSC65570 WBY65567:WBY65570 WLU65567:WLU65570 WVQ65567:WVQ65570 I131103:I131106 JE131103:JE131106 TA131103:TA131106 ACW131103:ACW131106 AMS131103:AMS131106 AWO131103:AWO131106 BGK131103:BGK131106 BQG131103:BQG131106 CAC131103:CAC131106 CJY131103:CJY131106 CTU131103:CTU131106 DDQ131103:DDQ131106 DNM131103:DNM131106 DXI131103:DXI131106 EHE131103:EHE131106 ERA131103:ERA131106 FAW131103:FAW131106 FKS131103:FKS131106 FUO131103:FUO131106 GEK131103:GEK131106 GOG131103:GOG131106 GYC131103:GYC131106 HHY131103:HHY131106 HRU131103:HRU131106 IBQ131103:IBQ131106 ILM131103:ILM131106 IVI131103:IVI131106 JFE131103:JFE131106 JPA131103:JPA131106 JYW131103:JYW131106 KIS131103:KIS131106 KSO131103:KSO131106 LCK131103:LCK131106 LMG131103:LMG131106 LWC131103:LWC131106 MFY131103:MFY131106 MPU131103:MPU131106 MZQ131103:MZQ131106 NJM131103:NJM131106 NTI131103:NTI131106 ODE131103:ODE131106 ONA131103:ONA131106 OWW131103:OWW131106 PGS131103:PGS131106 PQO131103:PQO131106 QAK131103:QAK131106 QKG131103:QKG131106 QUC131103:QUC131106 RDY131103:RDY131106 RNU131103:RNU131106 RXQ131103:RXQ131106 SHM131103:SHM131106 SRI131103:SRI131106 TBE131103:TBE131106 TLA131103:TLA131106 TUW131103:TUW131106 UES131103:UES131106 UOO131103:UOO131106 UYK131103:UYK131106 VIG131103:VIG131106 VSC131103:VSC131106 WBY131103:WBY131106 WLU131103:WLU131106 WVQ131103:WVQ131106 I196639:I196642 JE196639:JE196642 TA196639:TA196642 ACW196639:ACW196642 AMS196639:AMS196642 AWO196639:AWO196642 BGK196639:BGK196642 BQG196639:BQG196642 CAC196639:CAC196642 CJY196639:CJY196642 CTU196639:CTU196642 DDQ196639:DDQ196642 DNM196639:DNM196642 DXI196639:DXI196642 EHE196639:EHE196642 ERA196639:ERA196642 FAW196639:FAW196642 FKS196639:FKS196642 FUO196639:FUO196642 GEK196639:GEK196642 GOG196639:GOG196642 GYC196639:GYC196642 HHY196639:HHY196642 HRU196639:HRU196642 IBQ196639:IBQ196642 ILM196639:ILM196642 IVI196639:IVI196642 JFE196639:JFE196642 JPA196639:JPA196642 JYW196639:JYW196642 KIS196639:KIS196642 KSO196639:KSO196642 LCK196639:LCK196642 LMG196639:LMG196642 LWC196639:LWC196642 MFY196639:MFY196642 MPU196639:MPU196642 MZQ196639:MZQ196642 NJM196639:NJM196642 NTI196639:NTI196642 ODE196639:ODE196642 ONA196639:ONA196642 OWW196639:OWW196642 PGS196639:PGS196642 PQO196639:PQO196642 QAK196639:QAK196642 QKG196639:QKG196642 QUC196639:QUC196642 RDY196639:RDY196642 RNU196639:RNU196642 RXQ196639:RXQ196642 SHM196639:SHM196642 SRI196639:SRI196642 TBE196639:TBE196642 TLA196639:TLA196642 TUW196639:TUW196642 UES196639:UES196642 UOO196639:UOO196642 UYK196639:UYK196642 VIG196639:VIG196642 VSC196639:VSC196642 WBY196639:WBY196642 WLU196639:WLU196642 WVQ196639:WVQ196642 I262175:I262178 JE262175:JE262178 TA262175:TA262178 ACW262175:ACW262178 AMS262175:AMS262178 AWO262175:AWO262178 BGK262175:BGK262178 BQG262175:BQG262178 CAC262175:CAC262178 CJY262175:CJY262178 CTU262175:CTU262178 DDQ262175:DDQ262178 DNM262175:DNM262178 DXI262175:DXI262178 EHE262175:EHE262178 ERA262175:ERA262178 FAW262175:FAW262178 FKS262175:FKS262178 FUO262175:FUO262178 GEK262175:GEK262178 GOG262175:GOG262178 GYC262175:GYC262178 HHY262175:HHY262178 HRU262175:HRU262178 IBQ262175:IBQ262178 ILM262175:ILM262178 IVI262175:IVI262178 JFE262175:JFE262178 JPA262175:JPA262178 JYW262175:JYW262178 KIS262175:KIS262178 KSO262175:KSO262178 LCK262175:LCK262178 LMG262175:LMG262178 LWC262175:LWC262178 MFY262175:MFY262178 MPU262175:MPU262178 MZQ262175:MZQ262178 NJM262175:NJM262178 NTI262175:NTI262178 ODE262175:ODE262178 ONA262175:ONA262178 OWW262175:OWW262178 PGS262175:PGS262178 PQO262175:PQO262178 QAK262175:QAK262178 QKG262175:QKG262178 QUC262175:QUC262178 RDY262175:RDY262178 RNU262175:RNU262178 RXQ262175:RXQ262178 SHM262175:SHM262178 SRI262175:SRI262178 TBE262175:TBE262178 TLA262175:TLA262178 TUW262175:TUW262178 UES262175:UES262178 UOO262175:UOO262178 UYK262175:UYK262178 VIG262175:VIG262178 VSC262175:VSC262178 WBY262175:WBY262178 WLU262175:WLU262178 WVQ262175:WVQ262178 I327711:I327714 JE327711:JE327714 TA327711:TA327714 ACW327711:ACW327714 AMS327711:AMS327714 AWO327711:AWO327714 BGK327711:BGK327714 BQG327711:BQG327714 CAC327711:CAC327714 CJY327711:CJY327714 CTU327711:CTU327714 DDQ327711:DDQ327714 DNM327711:DNM327714 DXI327711:DXI327714 EHE327711:EHE327714 ERA327711:ERA327714 FAW327711:FAW327714 FKS327711:FKS327714 FUO327711:FUO327714 GEK327711:GEK327714 GOG327711:GOG327714 GYC327711:GYC327714 HHY327711:HHY327714 HRU327711:HRU327714 IBQ327711:IBQ327714 ILM327711:ILM327714 IVI327711:IVI327714 JFE327711:JFE327714 JPA327711:JPA327714 JYW327711:JYW327714 KIS327711:KIS327714 KSO327711:KSO327714 LCK327711:LCK327714 LMG327711:LMG327714 LWC327711:LWC327714 MFY327711:MFY327714 MPU327711:MPU327714 MZQ327711:MZQ327714 NJM327711:NJM327714 NTI327711:NTI327714 ODE327711:ODE327714 ONA327711:ONA327714 OWW327711:OWW327714 PGS327711:PGS327714 PQO327711:PQO327714 QAK327711:QAK327714 QKG327711:QKG327714 QUC327711:QUC327714 RDY327711:RDY327714 RNU327711:RNU327714 RXQ327711:RXQ327714 SHM327711:SHM327714 SRI327711:SRI327714 TBE327711:TBE327714 TLA327711:TLA327714 TUW327711:TUW327714 UES327711:UES327714 UOO327711:UOO327714 UYK327711:UYK327714 VIG327711:VIG327714 VSC327711:VSC327714 WBY327711:WBY327714 WLU327711:WLU327714 WVQ327711:WVQ327714 I393247:I393250 JE393247:JE393250 TA393247:TA393250 ACW393247:ACW393250 AMS393247:AMS393250 AWO393247:AWO393250 BGK393247:BGK393250 BQG393247:BQG393250 CAC393247:CAC393250 CJY393247:CJY393250 CTU393247:CTU393250 DDQ393247:DDQ393250 DNM393247:DNM393250 DXI393247:DXI393250 EHE393247:EHE393250 ERA393247:ERA393250 FAW393247:FAW393250 FKS393247:FKS393250 FUO393247:FUO393250 GEK393247:GEK393250 GOG393247:GOG393250 GYC393247:GYC393250 HHY393247:HHY393250 HRU393247:HRU393250 IBQ393247:IBQ393250 ILM393247:ILM393250 IVI393247:IVI393250 JFE393247:JFE393250 JPA393247:JPA393250 JYW393247:JYW393250 KIS393247:KIS393250 KSO393247:KSO393250 LCK393247:LCK393250 LMG393247:LMG393250 LWC393247:LWC393250 MFY393247:MFY393250 MPU393247:MPU393250 MZQ393247:MZQ393250 NJM393247:NJM393250 NTI393247:NTI393250 ODE393247:ODE393250 ONA393247:ONA393250 OWW393247:OWW393250 PGS393247:PGS393250 PQO393247:PQO393250 QAK393247:QAK393250 QKG393247:QKG393250 QUC393247:QUC393250 RDY393247:RDY393250 RNU393247:RNU393250 RXQ393247:RXQ393250 SHM393247:SHM393250 SRI393247:SRI393250 TBE393247:TBE393250 TLA393247:TLA393250 TUW393247:TUW393250 UES393247:UES393250 UOO393247:UOO393250 UYK393247:UYK393250 VIG393247:VIG393250 VSC393247:VSC393250 WBY393247:WBY393250 WLU393247:WLU393250 WVQ393247:WVQ393250 I458783:I458786 JE458783:JE458786 TA458783:TA458786 ACW458783:ACW458786 AMS458783:AMS458786 AWO458783:AWO458786 BGK458783:BGK458786 BQG458783:BQG458786 CAC458783:CAC458786 CJY458783:CJY458786 CTU458783:CTU458786 DDQ458783:DDQ458786 DNM458783:DNM458786 DXI458783:DXI458786 EHE458783:EHE458786 ERA458783:ERA458786 FAW458783:FAW458786 FKS458783:FKS458786 FUO458783:FUO458786 GEK458783:GEK458786 GOG458783:GOG458786 GYC458783:GYC458786 HHY458783:HHY458786 HRU458783:HRU458786 IBQ458783:IBQ458786 ILM458783:ILM458786 IVI458783:IVI458786 JFE458783:JFE458786 JPA458783:JPA458786 JYW458783:JYW458786 KIS458783:KIS458786 KSO458783:KSO458786 LCK458783:LCK458786 LMG458783:LMG458786 LWC458783:LWC458786 MFY458783:MFY458786 MPU458783:MPU458786 MZQ458783:MZQ458786 NJM458783:NJM458786 NTI458783:NTI458786 ODE458783:ODE458786 ONA458783:ONA458786 OWW458783:OWW458786 PGS458783:PGS458786 PQO458783:PQO458786 QAK458783:QAK458786 QKG458783:QKG458786 QUC458783:QUC458786 RDY458783:RDY458786 RNU458783:RNU458786 RXQ458783:RXQ458786 SHM458783:SHM458786 SRI458783:SRI458786 TBE458783:TBE458786 TLA458783:TLA458786 TUW458783:TUW458786 UES458783:UES458786 UOO458783:UOO458786 UYK458783:UYK458786 VIG458783:VIG458786 VSC458783:VSC458786 WBY458783:WBY458786 WLU458783:WLU458786 WVQ458783:WVQ458786 I524319:I524322 JE524319:JE524322 TA524319:TA524322 ACW524319:ACW524322 AMS524319:AMS524322 AWO524319:AWO524322 BGK524319:BGK524322 BQG524319:BQG524322 CAC524319:CAC524322 CJY524319:CJY524322 CTU524319:CTU524322 DDQ524319:DDQ524322 DNM524319:DNM524322 DXI524319:DXI524322 EHE524319:EHE524322 ERA524319:ERA524322 FAW524319:FAW524322 FKS524319:FKS524322 FUO524319:FUO524322 GEK524319:GEK524322 GOG524319:GOG524322 GYC524319:GYC524322 HHY524319:HHY524322 HRU524319:HRU524322 IBQ524319:IBQ524322 ILM524319:ILM524322 IVI524319:IVI524322 JFE524319:JFE524322 JPA524319:JPA524322 JYW524319:JYW524322 KIS524319:KIS524322 KSO524319:KSO524322 LCK524319:LCK524322 LMG524319:LMG524322 LWC524319:LWC524322 MFY524319:MFY524322 MPU524319:MPU524322 MZQ524319:MZQ524322 NJM524319:NJM524322 NTI524319:NTI524322 ODE524319:ODE524322 ONA524319:ONA524322 OWW524319:OWW524322 PGS524319:PGS524322 PQO524319:PQO524322 QAK524319:QAK524322 QKG524319:QKG524322 QUC524319:QUC524322 RDY524319:RDY524322 RNU524319:RNU524322 RXQ524319:RXQ524322 SHM524319:SHM524322 SRI524319:SRI524322 TBE524319:TBE524322 TLA524319:TLA524322 TUW524319:TUW524322 UES524319:UES524322 UOO524319:UOO524322 UYK524319:UYK524322 VIG524319:VIG524322 VSC524319:VSC524322 WBY524319:WBY524322 WLU524319:WLU524322 WVQ524319:WVQ524322 I589855:I589858 JE589855:JE589858 TA589855:TA589858 ACW589855:ACW589858 AMS589855:AMS589858 AWO589855:AWO589858 BGK589855:BGK589858 BQG589855:BQG589858 CAC589855:CAC589858 CJY589855:CJY589858 CTU589855:CTU589858 DDQ589855:DDQ589858 DNM589855:DNM589858 DXI589855:DXI589858 EHE589855:EHE589858 ERA589855:ERA589858 FAW589855:FAW589858 FKS589855:FKS589858 FUO589855:FUO589858 GEK589855:GEK589858 GOG589855:GOG589858 GYC589855:GYC589858 HHY589855:HHY589858 HRU589855:HRU589858 IBQ589855:IBQ589858 ILM589855:ILM589858 IVI589855:IVI589858 JFE589855:JFE589858 JPA589855:JPA589858 JYW589855:JYW589858 KIS589855:KIS589858 KSO589855:KSO589858 LCK589855:LCK589858 LMG589855:LMG589858 LWC589855:LWC589858 MFY589855:MFY589858 MPU589855:MPU589858 MZQ589855:MZQ589858 NJM589855:NJM589858 NTI589855:NTI589858 ODE589855:ODE589858 ONA589855:ONA589858 OWW589855:OWW589858 PGS589855:PGS589858 PQO589855:PQO589858 QAK589855:QAK589858 QKG589855:QKG589858 QUC589855:QUC589858 RDY589855:RDY589858 RNU589855:RNU589858 RXQ589855:RXQ589858 SHM589855:SHM589858 SRI589855:SRI589858 TBE589855:TBE589858 TLA589855:TLA589858 TUW589855:TUW589858 UES589855:UES589858 UOO589855:UOO589858 UYK589855:UYK589858 VIG589855:VIG589858 VSC589855:VSC589858 WBY589855:WBY589858 WLU589855:WLU589858 WVQ589855:WVQ589858 I655391:I655394 JE655391:JE655394 TA655391:TA655394 ACW655391:ACW655394 AMS655391:AMS655394 AWO655391:AWO655394 BGK655391:BGK655394 BQG655391:BQG655394 CAC655391:CAC655394 CJY655391:CJY655394 CTU655391:CTU655394 DDQ655391:DDQ655394 DNM655391:DNM655394 DXI655391:DXI655394 EHE655391:EHE655394 ERA655391:ERA655394 FAW655391:FAW655394 FKS655391:FKS655394 FUO655391:FUO655394 GEK655391:GEK655394 GOG655391:GOG655394 GYC655391:GYC655394 HHY655391:HHY655394 HRU655391:HRU655394 IBQ655391:IBQ655394 ILM655391:ILM655394 IVI655391:IVI655394 JFE655391:JFE655394 JPA655391:JPA655394 JYW655391:JYW655394 KIS655391:KIS655394 KSO655391:KSO655394 LCK655391:LCK655394 LMG655391:LMG655394 LWC655391:LWC655394 MFY655391:MFY655394 MPU655391:MPU655394 MZQ655391:MZQ655394 NJM655391:NJM655394 NTI655391:NTI655394 ODE655391:ODE655394 ONA655391:ONA655394 OWW655391:OWW655394 PGS655391:PGS655394 PQO655391:PQO655394 QAK655391:QAK655394 QKG655391:QKG655394 QUC655391:QUC655394 RDY655391:RDY655394 RNU655391:RNU655394 RXQ655391:RXQ655394 SHM655391:SHM655394 SRI655391:SRI655394 TBE655391:TBE655394 TLA655391:TLA655394 TUW655391:TUW655394 UES655391:UES655394 UOO655391:UOO655394 UYK655391:UYK655394 VIG655391:VIG655394 VSC655391:VSC655394 WBY655391:WBY655394 WLU655391:WLU655394 WVQ655391:WVQ655394 I720927:I720930 JE720927:JE720930 TA720927:TA720930 ACW720927:ACW720930 AMS720927:AMS720930 AWO720927:AWO720930 BGK720927:BGK720930 BQG720927:BQG720930 CAC720927:CAC720930 CJY720927:CJY720930 CTU720927:CTU720930 DDQ720927:DDQ720930 DNM720927:DNM720930 DXI720927:DXI720930 EHE720927:EHE720930 ERA720927:ERA720930 FAW720927:FAW720930 FKS720927:FKS720930 FUO720927:FUO720930 GEK720927:GEK720930 GOG720927:GOG720930 GYC720927:GYC720930 HHY720927:HHY720930 HRU720927:HRU720930 IBQ720927:IBQ720930 ILM720927:ILM720930 IVI720927:IVI720930 JFE720927:JFE720930 JPA720927:JPA720930 JYW720927:JYW720930 KIS720927:KIS720930 KSO720927:KSO720930 LCK720927:LCK720930 LMG720927:LMG720930 LWC720927:LWC720930 MFY720927:MFY720930 MPU720927:MPU720930 MZQ720927:MZQ720930 NJM720927:NJM720930 NTI720927:NTI720930 ODE720927:ODE720930 ONA720927:ONA720930 OWW720927:OWW720930 PGS720927:PGS720930 PQO720927:PQO720930 QAK720927:QAK720930 QKG720927:QKG720930 QUC720927:QUC720930 RDY720927:RDY720930 RNU720927:RNU720930 RXQ720927:RXQ720930 SHM720927:SHM720930 SRI720927:SRI720930 TBE720927:TBE720930 TLA720927:TLA720930 TUW720927:TUW720930 UES720927:UES720930 UOO720927:UOO720930 UYK720927:UYK720930 VIG720927:VIG720930 VSC720927:VSC720930 WBY720927:WBY720930 WLU720927:WLU720930 WVQ720927:WVQ720930 I786463:I786466 JE786463:JE786466 TA786463:TA786466 ACW786463:ACW786466 AMS786463:AMS786466 AWO786463:AWO786466 BGK786463:BGK786466 BQG786463:BQG786466 CAC786463:CAC786466 CJY786463:CJY786466 CTU786463:CTU786466 DDQ786463:DDQ786466 DNM786463:DNM786466 DXI786463:DXI786466 EHE786463:EHE786466 ERA786463:ERA786466 FAW786463:FAW786466 FKS786463:FKS786466 FUO786463:FUO786466 GEK786463:GEK786466 GOG786463:GOG786466 GYC786463:GYC786466 HHY786463:HHY786466 HRU786463:HRU786466 IBQ786463:IBQ786466 ILM786463:ILM786466 IVI786463:IVI786466 JFE786463:JFE786466 JPA786463:JPA786466 JYW786463:JYW786466 KIS786463:KIS786466 KSO786463:KSO786466 LCK786463:LCK786466 LMG786463:LMG786466 LWC786463:LWC786466 MFY786463:MFY786466 MPU786463:MPU786466 MZQ786463:MZQ786466 NJM786463:NJM786466 NTI786463:NTI786466 ODE786463:ODE786466 ONA786463:ONA786466 OWW786463:OWW786466 PGS786463:PGS786466 PQO786463:PQO786466 QAK786463:QAK786466 QKG786463:QKG786466 QUC786463:QUC786466 RDY786463:RDY786466 RNU786463:RNU786466 RXQ786463:RXQ786466 SHM786463:SHM786466 SRI786463:SRI786466 TBE786463:TBE786466 TLA786463:TLA786466 TUW786463:TUW786466 UES786463:UES786466 UOO786463:UOO786466 UYK786463:UYK786466 VIG786463:VIG786466 VSC786463:VSC786466 WBY786463:WBY786466 WLU786463:WLU786466 WVQ786463:WVQ786466 I851999:I852002 JE851999:JE852002 TA851999:TA852002 ACW851999:ACW852002 AMS851999:AMS852002 AWO851999:AWO852002 BGK851999:BGK852002 BQG851999:BQG852002 CAC851999:CAC852002 CJY851999:CJY852002 CTU851999:CTU852002 DDQ851999:DDQ852002 DNM851999:DNM852002 DXI851999:DXI852002 EHE851999:EHE852002 ERA851999:ERA852002 FAW851999:FAW852002 FKS851999:FKS852002 FUO851999:FUO852002 GEK851999:GEK852002 GOG851999:GOG852002 GYC851999:GYC852002 HHY851999:HHY852002 HRU851999:HRU852002 IBQ851999:IBQ852002 ILM851999:ILM852002 IVI851999:IVI852002 JFE851999:JFE852002 JPA851999:JPA852002 JYW851999:JYW852002 KIS851999:KIS852002 KSO851999:KSO852002 LCK851999:LCK852002 LMG851999:LMG852002 LWC851999:LWC852002 MFY851999:MFY852002 MPU851999:MPU852002 MZQ851999:MZQ852002 NJM851999:NJM852002 NTI851999:NTI852002 ODE851999:ODE852002 ONA851999:ONA852002 OWW851999:OWW852002 PGS851999:PGS852002 PQO851999:PQO852002 QAK851999:QAK852002 QKG851999:QKG852002 QUC851999:QUC852002 RDY851999:RDY852002 RNU851999:RNU852002 RXQ851999:RXQ852002 SHM851999:SHM852002 SRI851999:SRI852002 TBE851999:TBE852002 TLA851999:TLA852002 TUW851999:TUW852002 UES851999:UES852002 UOO851999:UOO852002 UYK851999:UYK852002 VIG851999:VIG852002 VSC851999:VSC852002 WBY851999:WBY852002 WLU851999:WLU852002 WVQ851999:WVQ852002 I917535:I917538 JE917535:JE917538 TA917535:TA917538 ACW917535:ACW917538 AMS917535:AMS917538 AWO917535:AWO917538 BGK917535:BGK917538 BQG917535:BQG917538 CAC917535:CAC917538 CJY917535:CJY917538 CTU917535:CTU917538 DDQ917535:DDQ917538 DNM917535:DNM917538 DXI917535:DXI917538 EHE917535:EHE917538 ERA917535:ERA917538 FAW917535:FAW917538 FKS917535:FKS917538 FUO917535:FUO917538 GEK917535:GEK917538 GOG917535:GOG917538 GYC917535:GYC917538 HHY917535:HHY917538 HRU917535:HRU917538 IBQ917535:IBQ917538 ILM917535:ILM917538 IVI917535:IVI917538 JFE917535:JFE917538 JPA917535:JPA917538 JYW917535:JYW917538 KIS917535:KIS917538 KSO917535:KSO917538 LCK917535:LCK917538 LMG917535:LMG917538 LWC917535:LWC917538 MFY917535:MFY917538 MPU917535:MPU917538 MZQ917535:MZQ917538 NJM917535:NJM917538 NTI917535:NTI917538 ODE917535:ODE917538 ONA917535:ONA917538 OWW917535:OWW917538 PGS917535:PGS917538 PQO917535:PQO917538 QAK917535:QAK917538 QKG917535:QKG917538 QUC917535:QUC917538 RDY917535:RDY917538 RNU917535:RNU917538 RXQ917535:RXQ917538 SHM917535:SHM917538 SRI917535:SRI917538 TBE917535:TBE917538 TLA917535:TLA917538 TUW917535:TUW917538 UES917535:UES917538 UOO917535:UOO917538 UYK917535:UYK917538 VIG917535:VIG917538 VSC917535:VSC917538 WBY917535:WBY917538 WLU917535:WLU917538 WVQ917535:WVQ917538 I983071:I983074 JE983071:JE983074 TA983071:TA983074 ACW983071:ACW983074 AMS983071:AMS983074 AWO983071:AWO983074 BGK983071:BGK983074 BQG983071:BQG983074 CAC983071:CAC983074 CJY983071:CJY983074 CTU983071:CTU983074 DDQ983071:DDQ983074 DNM983071:DNM983074 DXI983071:DXI983074 EHE983071:EHE983074 ERA983071:ERA983074 FAW983071:FAW983074 FKS983071:FKS983074 FUO983071:FUO983074 GEK983071:GEK983074 GOG983071:GOG983074 GYC983071:GYC983074 HHY983071:HHY983074 HRU983071:HRU983074 IBQ983071:IBQ983074 ILM983071:ILM983074 IVI983071:IVI983074 JFE983071:JFE983074 JPA983071:JPA983074 JYW983071:JYW983074 KIS983071:KIS983074 KSO983071:KSO983074 LCK983071:LCK983074 LMG983071:LMG983074 LWC983071:LWC983074 MFY983071:MFY983074 MPU983071:MPU983074 MZQ983071:MZQ983074 NJM983071:NJM983074 NTI983071:NTI983074 ODE983071:ODE983074 ONA983071:ONA983074 OWW983071:OWW983074 PGS983071:PGS983074 PQO983071:PQO983074 QAK983071:QAK983074 QKG983071:QKG983074 QUC983071:QUC983074 RDY983071:RDY983074 RNU983071:RNU983074 RXQ983071:RXQ983074 SHM983071:SHM983074 SRI983071:SRI983074 TBE983071:TBE983074 TLA983071:TLA983074 TUW983071:TUW983074 UES983071:UES983074 UOO983071:UOO983074 UYK983071:UYK983074 VIG983071:VIG983074 VSC983071:VSC983074 WBY983071:WBY983074 WLU983071:WLU983074 WVQ983071:WVQ983074 F16:F29 JB31:JB34 SX31:SX34 ACT31:ACT34 AMP31:AMP34 AWL31:AWL34 BGH31:BGH34 BQD31:BQD34 BZZ31:BZZ34 CJV31:CJV34 CTR31:CTR34 DDN31:DDN34 DNJ31:DNJ34 DXF31:DXF34 EHB31:EHB34 EQX31:EQX34 FAT31:FAT34 FKP31:FKP34 FUL31:FUL34 GEH31:GEH34 GOD31:GOD34 GXZ31:GXZ34 HHV31:HHV34 HRR31:HRR34 IBN31:IBN34 ILJ31:ILJ34 IVF31:IVF34 JFB31:JFB34 JOX31:JOX34 JYT31:JYT34 KIP31:KIP34 KSL31:KSL34 LCH31:LCH34 LMD31:LMD34 LVZ31:LVZ34 MFV31:MFV34 MPR31:MPR34 MZN31:MZN34 NJJ31:NJJ34 NTF31:NTF34 ODB31:ODB34 OMX31:OMX34 OWT31:OWT34 PGP31:PGP34 PQL31:PQL34 QAH31:QAH34 QKD31:QKD34 QTZ31:QTZ34 RDV31:RDV34 RNR31:RNR34 RXN31:RXN34 SHJ31:SHJ34 SRF31:SRF34 TBB31:TBB34 TKX31:TKX34 TUT31:TUT34 UEP31:UEP34 UOL31:UOL34 UYH31:UYH34 VID31:VID34 VRZ31:VRZ34 WBV31:WBV34 WLR31:WLR34 WVN31:WVN34 F65567:F65570 JB65567:JB65570 SX65567:SX65570 ACT65567:ACT65570 AMP65567:AMP65570 AWL65567:AWL65570 BGH65567:BGH65570 BQD65567:BQD65570 BZZ65567:BZZ65570 CJV65567:CJV65570 CTR65567:CTR65570 DDN65567:DDN65570 DNJ65567:DNJ65570 DXF65567:DXF65570 EHB65567:EHB65570 EQX65567:EQX65570 FAT65567:FAT65570 FKP65567:FKP65570 FUL65567:FUL65570 GEH65567:GEH65570 GOD65567:GOD65570 GXZ65567:GXZ65570 HHV65567:HHV65570 HRR65567:HRR65570 IBN65567:IBN65570 ILJ65567:ILJ65570 IVF65567:IVF65570 JFB65567:JFB65570 JOX65567:JOX65570 JYT65567:JYT65570 KIP65567:KIP65570 KSL65567:KSL65570 LCH65567:LCH65570 LMD65567:LMD65570 LVZ65567:LVZ65570 MFV65567:MFV65570 MPR65567:MPR65570 MZN65567:MZN65570 NJJ65567:NJJ65570 NTF65567:NTF65570 ODB65567:ODB65570 OMX65567:OMX65570 OWT65567:OWT65570 PGP65567:PGP65570 PQL65567:PQL65570 QAH65567:QAH65570 QKD65567:QKD65570 QTZ65567:QTZ65570 RDV65567:RDV65570 RNR65567:RNR65570 RXN65567:RXN65570 SHJ65567:SHJ65570 SRF65567:SRF65570 TBB65567:TBB65570 TKX65567:TKX65570 TUT65567:TUT65570 UEP65567:UEP65570 UOL65567:UOL65570 UYH65567:UYH65570 VID65567:VID65570 VRZ65567:VRZ65570 WBV65567:WBV65570 WLR65567:WLR65570 WVN65567:WVN65570 F131103:F131106 JB131103:JB131106 SX131103:SX131106 ACT131103:ACT131106 AMP131103:AMP131106 AWL131103:AWL131106 BGH131103:BGH131106 BQD131103:BQD131106 BZZ131103:BZZ131106 CJV131103:CJV131106 CTR131103:CTR131106 DDN131103:DDN131106 DNJ131103:DNJ131106 DXF131103:DXF131106 EHB131103:EHB131106 EQX131103:EQX131106 FAT131103:FAT131106 FKP131103:FKP131106 FUL131103:FUL131106 GEH131103:GEH131106 GOD131103:GOD131106 GXZ131103:GXZ131106 HHV131103:HHV131106 HRR131103:HRR131106 IBN131103:IBN131106 ILJ131103:ILJ131106 IVF131103:IVF131106 JFB131103:JFB131106 JOX131103:JOX131106 JYT131103:JYT131106 KIP131103:KIP131106 KSL131103:KSL131106 LCH131103:LCH131106 LMD131103:LMD131106 LVZ131103:LVZ131106 MFV131103:MFV131106 MPR131103:MPR131106 MZN131103:MZN131106 NJJ131103:NJJ131106 NTF131103:NTF131106 ODB131103:ODB131106 OMX131103:OMX131106 OWT131103:OWT131106 PGP131103:PGP131106 PQL131103:PQL131106 QAH131103:QAH131106 QKD131103:QKD131106 QTZ131103:QTZ131106 RDV131103:RDV131106 RNR131103:RNR131106 RXN131103:RXN131106 SHJ131103:SHJ131106 SRF131103:SRF131106 TBB131103:TBB131106 TKX131103:TKX131106 TUT131103:TUT131106 UEP131103:UEP131106 UOL131103:UOL131106 UYH131103:UYH131106 VID131103:VID131106 VRZ131103:VRZ131106 WBV131103:WBV131106 WLR131103:WLR131106 WVN131103:WVN131106 F196639:F196642 JB196639:JB196642 SX196639:SX196642 ACT196639:ACT196642 AMP196639:AMP196642 AWL196639:AWL196642 BGH196639:BGH196642 BQD196639:BQD196642 BZZ196639:BZZ196642 CJV196639:CJV196642 CTR196639:CTR196642 DDN196639:DDN196642 DNJ196639:DNJ196642 DXF196639:DXF196642 EHB196639:EHB196642 EQX196639:EQX196642 FAT196639:FAT196642 FKP196639:FKP196642 FUL196639:FUL196642 GEH196639:GEH196642 GOD196639:GOD196642 GXZ196639:GXZ196642 HHV196639:HHV196642 HRR196639:HRR196642 IBN196639:IBN196642 ILJ196639:ILJ196642 IVF196639:IVF196642 JFB196639:JFB196642 JOX196639:JOX196642 JYT196639:JYT196642 KIP196639:KIP196642 KSL196639:KSL196642 LCH196639:LCH196642 LMD196639:LMD196642 LVZ196639:LVZ196642 MFV196639:MFV196642 MPR196639:MPR196642 MZN196639:MZN196642 NJJ196639:NJJ196642 NTF196639:NTF196642 ODB196639:ODB196642 OMX196639:OMX196642 OWT196639:OWT196642 PGP196639:PGP196642 PQL196639:PQL196642 QAH196639:QAH196642 QKD196639:QKD196642 QTZ196639:QTZ196642 RDV196639:RDV196642 RNR196639:RNR196642 RXN196639:RXN196642 SHJ196639:SHJ196642 SRF196639:SRF196642 TBB196639:TBB196642 TKX196639:TKX196642 TUT196639:TUT196642 UEP196639:UEP196642 UOL196639:UOL196642 UYH196639:UYH196642 VID196639:VID196642 VRZ196639:VRZ196642 WBV196639:WBV196642 WLR196639:WLR196642 WVN196639:WVN196642 F262175:F262178 JB262175:JB262178 SX262175:SX262178 ACT262175:ACT262178 AMP262175:AMP262178 AWL262175:AWL262178 BGH262175:BGH262178 BQD262175:BQD262178 BZZ262175:BZZ262178 CJV262175:CJV262178 CTR262175:CTR262178 DDN262175:DDN262178 DNJ262175:DNJ262178 DXF262175:DXF262178 EHB262175:EHB262178 EQX262175:EQX262178 FAT262175:FAT262178 FKP262175:FKP262178 FUL262175:FUL262178 GEH262175:GEH262178 GOD262175:GOD262178 GXZ262175:GXZ262178 HHV262175:HHV262178 HRR262175:HRR262178 IBN262175:IBN262178 ILJ262175:ILJ262178 IVF262175:IVF262178 JFB262175:JFB262178 JOX262175:JOX262178 JYT262175:JYT262178 KIP262175:KIP262178 KSL262175:KSL262178 LCH262175:LCH262178 LMD262175:LMD262178 LVZ262175:LVZ262178 MFV262175:MFV262178 MPR262175:MPR262178 MZN262175:MZN262178 NJJ262175:NJJ262178 NTF262175:NTF262178 ODB262175:ODB262178 OMX262175:OMX262178 OWT262175:OWT262178 PGP262175:PGP262178 PQL262175:PQL262178 QAH262175:QAH262178 QKD262175:QKD262178 QTZ262175:QTZ262178 RDV262175:RDV262178 RNR262175:RNR262178 RXN262175:RXN262178 SHJ262175:SHJ262178 SRF262175:SRF262178 TBB262175:TBB262178 TKX262175:TKX262178 TUT262175:TUT262178 UEP262175:UEP262178 UOL262175:UOL262178 UYH262175:UYH262178 VID262175:VID262178 VRZ262175:VRZ262178 WBV262175:WBV262178 WLR262175:WLR262178 WVN262175:WVN262178 F327711:F327714 JB327711:JB327714 SX327711:SX327714 ACT327711:ACT327714 AMP327711:AMP327714 AWL327711:AWL327714 BGH327711:BGH327714 BQD327711:BQD327714 BZZ327711:BZZ327714 CJV327711:CJV327714 CTR327711:CTR327714 DDN327711:DDN327714 DNJ327711:DNJ327714 DXF327711:DXF327714 EHB327711:EHB327714 EQX327711:EQX327714 FAT327711:FAT327714 FKP327711:FKP327714 FUL327711:FUL327714 GEH327711:GEH327714 GOD327711:GOD327714 GXZ327711:GXZ327714 HHV327711:HHV327714 HRR327711:HRR327714 IBN327711:IBN327714 ILJ327711:ILJ327714 IVF327711:IVF327714 JFB327711:JFB327714 JOX327711:JOX327714 JYT327711:JYT327714 KIP327711:KIP327714 KSL327711:KSL327714 LCH327711:LCH327714 LMD327711:LMD327714 LVZ327711:LVZ327714 MFV327711:MFV327714 MPR327711:MPR327714 MZN327711:MZN327714 NJJ327711:NJJ327714 NTF327711:NTF327714 ODB327711:ODB327714 OMX327711:OMX327714 OWT327711:OWT327714 PGP327711:PGP327714 PQL327711:PQL327714 QAH327711:QAH327714 QKD327711:QKD327714 QTZ327711:QTZ327714 RDV327711:RDV327714 RNR327711:RNR327714 RXN327711:RXN327714 SHJ327711:SHJ327714 SRF327711:SRF327714 TBB327711:TBB327714 TKX327711:TKX327714 TUT327711:TUT327714 UEP327711:UEP327714 UOL327711:UOL327714 UYH327711:UYH327714 VID327711:VID327714 VRZ327711:VRZ327714 WBV327711:WBV327714 WLR327711:WLR327714 WVN327711:WVN327714 F393247:F393250 JB393247:JB393250 SX393247:SX393250 ACT393247:ACT393250 AMP393247:AMP393250 AWL393247:AWL393250 BGH393247:BGH393250 BQD393247:BQD393250 BZZ393247:BZZ393250 CJV393247:CJV393250 CTR393247:CTR393250 DDN393247:DDN393250 DNJ393247:DNJ393250 DXF393247:DXF393250 EHB393247:EHB393250 EQX393247:EQX393250 FAT393247:FAT393250 FKP393247:FKP393250 FUL393247:FUL393250 GEH393247:GEH393250 GOD393247:GOD393250 GXZ393247:GXZ393250 HHV393247:HHV393250 HRR393247:HRR393250 IBN393247:IBN393250 ILJ393247:ILJ393250 IVF393247:IVF393250 JFB393247:JFB393250 JOX393247:JOX393250 JYT393247:JYT393250 KIP393247:KIP393250 KSL393247:KSL393250 LCH393247:LCH393250 LMD393247:LMD393250 LVZ393247:LVZ393250 MFV393247:MFV393250 MPR393247:MPR393250 MZN393247:MZN393250 NJJ393247:NJJ393250 NTF393247:NTF393250 ODB393247:ODB393250 OMX393247:OMX393250 OWT393247:OWT393250 PGP393247:PGP393250 PQL393247:PQL393250 QAH393247:QAH393250 QKD393247:QKD393250 QTZ393247:QTZ393250 RDV393247:RDV393250 RNR393247:RNR393250 RXN393247:RXN393250 SHJ393247:SHJ393250 SRF393247:SRF393250 TBB393247:TBB393250 TKX393247:TKX393250 TUT393247:TUT393250 UEP393247:UEP393250 UOL393247:UOL393250 UYH393247:UYH393250 VID393247:VID393250 VRZ393247:VRZ393250 WBV393247:WBV393250 WLR393247:WLR393250 WVN393247:WVN393250 F458783:F458786 JB458783:JB458786 SX458783:SX458786 ACT458783:ACT458786 AMP458783:AMP458786 AWL458783:AWL458786 BGH458783:BGH458786 BQD458783:BQD458786 BZZ458783:BZZ458786 CJV458783:CJV458786 CTR458783:CTR458786 DDN458783:DDN458786 DNJ458783:DNJ458786 DXF458783:DXF458786 EHB458783:EHB458786 EQX458783:EQX458786 FAT458783:FAT458786 FKP458783:FKP458786 FUL458783:FUL458786 GEH458783:GEH458786 GOD458783:GOD458786 GXZ458783:GXZ458786 HHV458783:HHV458786 HRR458783:HRR458786 IBN458783:IBN458786 ILJ458783:ILJ458786 IVF458783:IVF458786 JFB458783:JFB458786 JOX458783:JOX458786 JYT458783:JYT458786 KIP458783:KIP458786 KSL458783:KSL458786 LCH458783:LCH458786 LMD458783:LMD458786 LVZ458783:LVZ458786 MFV458783:MFV458786 MPR458783:MPR458786 MZN458783:MZN458786 NJJ458783:NJJ458786 NTF458783:NTF458786 ODB458783:ODB458786 OMX458783:OMX458786 OWT458783:OWT458786 PGP458783:PGP458786 PQL458783:PQL458786 QAH458783:QAH458786 QKD458783:QKD458786 QTZ458783:QTZ458786 RDV458783:RDV458786 RNR458783:RNR458786 RXN458783:RXN458786 SHJ458783:SHJ458786 SRF458783:SRF458786 TBB458783:TBB458786 TKX458783:TKX458786 TUT458783:TUT458786 UEP458783:UEP458786 UOL458783:UOL458786 UYH458783:UYH458786 VID458783:VID458786 VRZ458783:VRZ458786 WBV458783:WBV458786 WLR458783:WLR458786 WVN458783:WVN458786 F524319:F524322 JB524319:JB524322 SX524319:SX524322 ACT524319:ACT524322 AMP524319:AMP524322 AWL524319:AWL524322 BGH524319:BGH524322 BQD524319:BQD524322 BZZ524319:BZZ524322 CJV524319:CJV524322 CTR524319:CTR524322 DDN524319:DDN524322 DNJ524319:DNJ524322 DXF524319:DXF524322 EHB524319:EHB524322 EQX524319:EQX524322 FAT524319:FAT524322 FKP524319:FKP524322 FUL524319:FUL524322 GEH524319:GEH524322 GOD524319:GOD524322 GXZ524319:GXZ524322 HHV524319:HHV524322 HRR524319:HRR524322 IBN524319:IBN524322 ILJ524319:ILJ524322 IVF524319:IVF524322 JFB524319:JFB524322 JOX524319:JOX524322 JYT524319:JYT524322 KIP524319:KIP524322 KSL524319:KSL524322 LCH524319:LCH524322 LMD524319:LMD524322 LVZ524319:LVZ524322 MFV524319:MFV524322 MPR524319:MPR524322 MZN524319:MZN524322 NJJ524319:NJJ524322 NTF524319:NTF524322 ODB524319:ODB524322 OMX524319:OMX524322 OWT524319:OWT524322 PGP524319:PGP524322 PQL524319:PQL524322 QAH524319:QAH524322 QKD524319:QKD524322 QTZ524319:QTZ524322 RDV524319:RDV524322 RNR524319:RNR524322 RXN524319:RXN524322 SHJ524319:SHJ524322 SRF524319:SRF524322 TBB524319:TBB524322 TKX524319:TKX524322 TUT524319:TUT524322 UEP524319:UEP524322 UOL524319:UOL524322 UYH524319:UYH524322 VID524319:VID524322 VRZ524319:VRZ524322 WBV524319:WBV524322 WLR524319:WLR524322 WVN524319:WVN524322 F589855:F589858 JB589855:JB589858 SX589855:SX589858 ACT589855:ACT589858 AMP589855:AMP589858 AWL589855:AWL589858 BGH589855:BGH589858 BQD589855:BQD589858 BZZ589855:BZZ589858 CJV589855:CJV589858 CTR589855:CTR589858 DDN589855:DDN589858 DNJ589855:DNJ589858 DXF589855:DXF589858 EHB589855:EHB589858 EQX589855:EQX589858 FAT589855:FAT589858 FKP589855:FKP589858 FUL589855:FUL589858 GEH589855:GEH589858 GOD589855:GOD589858 GXZ589855:GXZ589858 HHV589855:HHV589858 HRR589855:HRR589858 IBN589855:IBN589858 ILJ589855:ILJ589858 IVF589855:IVF589858 JFB589855:JFB589858 JOX589855:JOX589858 JYT589855:JYT589858 KIP589855:KIP589858 KSL589855:KSL589858 LCH589855:LCH589858 LMD589855:LMD589858 LVZ589855:LVZ589858 MFV589855:MFV589858 MPR589855:MPR589858 MZN589855:MZN589858 NJJ589855:NJJ589858 NTF589855:NTF589858 ODB589855:ODB589858 OMX589855:OMX589858 OWT589855:OWT589858 PGP589855:PGP589858 PQL589855:PQL589858 QAH589855:QAH589858 QKD589855:QKD589858 QTZ589855:QTZ589858 RDV589855:RDV589858 RNR589855:RNR589858 RXN589855:RXN589858 SHJ589855:SHJ589858 SRF589855:SRF589858 TBB589855:TBB589858 TKX589855:TKX589858 TUT589855:TUT589858 UEP589855:UEP589858 UOL589855:UOL589858 UYH589855:UYH589858 VID589855:VID589858 VRZ589855:VRZ589858 WBV589855:WBV589858 WLR589855:WLR589858 WVN589855:WVN589858 F655391:F655394 JB655391:JB655394 SX655391:SX655394 ACT655391:ACT655394 AMP655391:AMP655394 AWL655391:AWL655394 BGH655391:BGH655394 BQD655391:BQD655394 BZZ655391:BZZ655394 CJV655391:CJV655394 CTR655391:CTR655394 DDN655391:DDN655394 DNJ655391:DNJ655394 DXF655391:DXF655394 EHB655391:EHB655394 EQX655391:EQX655394 FAT655391:FAT655394 FKP655391:FKP655394 FUL655391:FUL655394 GEH655391:GEH655394 GOD655391:GOD655394 GXZ655391:GXZ655394 HHV655391:HHV655394 HRR655391:HRR655394 IBN655391:IBN655394 ILJ655391:ILJ655394 IVF655391:IVF655394 JFB655391:JFB655394 JOX655391:JOX655394 JYT655391:JYT655394 KIP655391:KIP655394 KSL655391:KSL655394 LCH655391:LCH655394 LMD655391:LMD655394 LVZ655391:LVZ655394 MFV655391:MFV655394 MPR655391:MPR655394 MZN655391:MZN655394 NJJ655391:NJJ655394 NTF655391:NTF655394 ODB655391:ODB655394 OMX655391:OMX655394 OWT655391:OWT655394 PGP655391:PGP655394 PQL655391:PQL655394 QAH655391:QAH655394 QKD655391:QKD655394 QTZ655391:QTZ655394 RDV655391:RDV655394 RNR655391:RNR655394 RXN655391:RXN655394 SHJ655391:SHJ655394 SRF655391:SRF655394 TBB655391:TBB655394 TKX655391:TKX655394 TUT655391:TUT655394 UEP655391:UEP655394 UOL655391:UOL655394 UYH655391:UYH655394 VID655391:VID655394 VRZ655391:VRZ655394 WBV655391:WBV655394 WLR655391:WLR655394 WVN655391:WVN655394 F720927:F720930 JB720927:JB720930 SX720927:SX720930 ACT720927:ACT720930 AMP720927:AMP720930 AWL720927:AWL720930 BGH720927:BGH720930 BQD720927:BQD720930 BZZ720927:BZZ720930 CJV720927:CJV720930 CTR720927:CTR720930 DDN720927:DDN720930 DNJ720927:DNJ720930 DXF720927:DXF720930 EHB720927:EHB720930 EQX720927:EQX720930 FAT720927:FAT720930 FKP720927:FKP720930 FUL720927:FUL720930 GEH720927:GEH720930 GOD720927:GOD720930 GXZ720927:GXZ720930 HHV720927:HHV720930 HRR720927:HRR720930 IBN720927:IBN720930 ILJ720927:ILJ720930 IVF720927:IVF720930 JFB720927:JFB720930 JOX720927:JOX720930 JYT720927:JYT720930 KIP720927:KIP720930 KSL720927:KSL720930 LCH720927:LCH720930 LMD720927:LMD720930 LVZ720927:LVZ720930 MFV720927:MFV720930 MPR720927:MPR720930 MZN720927:MZN720930 NJJ720927:NJJ720930 NTF720927:NTF720930 ODB720927:ODB720930 OMX720927:OMX720930 OWT720927:OWT720930 PGP720927:PGP720930 PQL720927:PQL720930 QAH720927:QAH720930 QKD720927:QKD720930 QTZ720927:QTZ720930 RDV720927:RDV720930 RNR720927:RNR720930 RXN720927:RXN720930 SHJ720927:SHJ720930 SRF720927:SRF720930 TBB720927:TBB720930 TKX720927:TKX720930 TUT720927:TUT720930 UEP720927:UEP720930 UOL720927:UOL720930 UYH720927:UYH720930 VID720927:VID720930 VRZ720927:VRZ720930 WBV720927:WBV720930 WLR720927:WLR720930 WVN720927:WVN720930 F786463:F786466 JB786463:JB786466 SX786463:SX786466 ACT786463:ACT786466 AMP786463:AMP786466 AWL786463:AWL786466 BGH786463:BGH786466 BQD786463:BQD786466 BZZ786463:BZZ786466 CJV786463:CJV786466 CTR786463:CTR786466 DDN786463:DDN786466 DNJ786463:DNJ786466 DXF786463:DXF786466 EHB786463:EHB786466 EQX786463:EQX786466 FAT786463:FAT786466 FKP786463:FKP786466 FUL786463:FUL786466 GEH786463:GEH786466 GOD786463:GOD786466 GXZ786463:GXZ786466 HHV786463:HHV786466 HRR786463:HRR786466 IBN786463:IBN786466 ILJ786463:ILJ786466 IVF786463:IVF786466 JFB786463:JFB786466 JOX786463:JOX786466 JYT786463:JYT786466 KIP786463:KIP786466 KSL786463:KSL786466 LCH786463:LCH786466 LMD786463:LMD786466 LVZ786463:LVZ786466 MFV786463:MFV786466 MPR786463:MPR786466 MZN786463:MZN786466 NJJ786463:NJJ786466 NTF786463:NTF786466 ODB786463:ODB786466 OMX786463:OMX786466 OWT786463:OWT786466 PGP786463:PGP786466 PQL786463:PQL786466 QAH786463:QAH786466 QKD786463:QKD786466 QTZ786463:QTZ786466 RDV786463:RDV786466 RNR786463:RNR786466 RXN786463:RXN786466 SHJ786463:SHJ786466 SRF786463:SRF786466 TBB786463:TBB786466 TKX786463:TKX786466 TUT786463:TUT786466 UEP786463:UEP786466 UOL786463:UOL786466 UYH786463:UYH786466 VID786463:VID786466 VRZ786463:VRZ786466 WBV786463:WBV786466 WLR786463:WLR786466 WVN786463:WVN786466 F851999:F852002 JB851999:JB852002 SX851999:SX852002 ACT851999:ACT852002 AMP851999:AMP852002 AWL851999:AWL852002 BGH851999:BGH852002 BQD851999:BQD852002 BZZ851999:BZZ852002 CJV851999:CJV852002 CTR851999:CTR852002 DDN851999:DDN852002 DNJ851999:DNJ852002 DXF851999:DXF852002 EHB851999:EHB852002 EQX851999:EQX852002 FAT851999:FAT852002 FKP851999:FKP852002 FUL851999:FUL852002 GEH851999:GEH852002 GOD851999:GOD852002 GXZ851999:GXZ852002 HHV851999:HHV852002 HRR851999:HRR852002 IBN851999:IBN852002 ILJ851999:ILJ852002 IVF851999:IVF852002 JFB851999:JFB852002 JOX851999:JOX852002 JYT851999:JYT852002 KIP851999:KIP852002 KSL851999:KSL852002 LCH851999:LCH852002 LMD851999:LMD852002 LVZ851999:LVZ852002 MFV851999:MFV852002 MPR851999:MPR852002 MZN851999:MZN852002 NJJ851999:NJJ852002 NTF851999:NTF852002 ODB851999:ODB852002 OMX851999:OMX852002 OWT851999:OWT852002 PGP851999:PGP852002 PQL851999:PQL852002 QAH851999:QAH852002 QKD851999:QKD852002 QTZ851999:QTZ852002 RDV851999:RDV852002 RNR851999:RNR852002 RXN851999:RXN852002 SHJ851999:SHJ852002 SRF851999:SRF852002 TBB851999:TBB852002 TKX851999:TKX852002 TUT851999:TUT852002 UEP851999:UEP852002 UOL851999:UOL852002 UYH851999:UYH852002 VID851999:VID852002 VRZ851999:VRZ852002 WBV851999:WBV852002 WLR851999:WLR852002 WVN851999:WVN852002 F917535:F917538 JB917535:JB917538 SX917535:SX917538 ACT917535:ACT917538 AMP917535:AMP917538 AWL917535:AWL917538 BGH917535:BGH917538 BQD917535:BQD917538 BZZ917535:BZZ917538 CJV917535:CJV917538 CTR917535:CTR917538 DDN917535:DDN917538 DNJ917535:DNJ917538 DXF917535:DXF917538 EHB917535:EHB917538 EQX917535:EQX917538 FAT917535:FAT917538 FKP917535:FKP917538 FUL917535:FUL917538 GEH917535:GEH917538 GOD917535:GOD917538 GXZ917535:GXZ917538 HHV917535:HHV917538 HRR917535:HRR917538 IBN917535:IBN917538 ILJ917535:ILJ917538 IVF917535:IVF917538 JFB917535:JFB917538 JOX917535:JOX917538 JYT917535:JYT917538 KIP917535:KIP917538 KSL917535:KSL917538 LCH917535:LCH917538 LMD917535:LMD917538 LVZ917535:LVZ917538 MFV917535:MFV917538 MPR917535:MPR917538 MZN917535:MZN917538 NJJ917535:NJJ917538 NTF917535:NTF917538 ODB917535:ODB917538 OMX917535:OMX917538 OWT917535:OWT917538 PGP917535:PGP917538 PQL917535:PQL917538 QAH917535:QAH917538 QKD917535:QKD917538 QTZ917535:QTZ917538 RDV917535:RDV917538 RNR917535:RNR917538 RXN917535:RXN917538 SHJ917535:SHJ917538 SRF917535:SRF917538 TBB917535:TBB917538 TKX917535:TKX917538 TUT917535:TUT917538 UEP917535:UEP917538 UOL917535:UOL917538 UYH917535:UYH917538 VID917535:VID917538 VRZ917535:VRZ917538 WBV917535:WBV917538 WLR917535:WLR917538 WVN917535:WVN917538 F983071:F983074 JB983071:JB983074 SX983071:SX983074 ACT983071:ACT983074 AMP983071:AMP983074 AWL983071:AWL983074 BGH983071:BGH983074 BQD983071:BQD983074 BZZ983071:BZZ983074 CJV983071:CJV983074 CTR983071:CTR983074 DDN983071:DDN983074 DNJ983071:DNJ983074 DXF983071:DXF983074 EHB983071:EHB983074 EQX983071:EQX983074 FAT983071:FAT983074 FKP983071:FKP983074 FUL983071:FUL983074 GEH983071:GEH983074 GOD983071:GOD983074 GXZ983071:GXZ983074 HHV983071:HHV983074 HRR983071:HRR983074 IBN983071:IBN983074 ILJ983071:ILJ983074 IVF983071:IVF983074 JFB983071:JFB983074 JOX983071:JOX983074 JYT983071:JYT983074 KIP983071:KIP983074 KSL983071:KSL983074 LCH983071:LCH983074 LMD983071:LMD983074 LVZ983071:LVZ983074 MFV983071:MFV983074 MPR983071:MPR983074 MZN983071:MZN983074 NJJ983071:NJJ983074 NTF983071:NTF983074 ODB983071:ODB983074 OMX983071:OMX983074 OWT983071:OWT983074 PGP983071:PGP983074 PQL983071:PQL983074 QAH983071:QAH983074 QKD983071:QKD983074 QTZ983071:QTZ983074 RDV983071:RDV983074 RNR983071:RNR983074 RXN983071:RXN983074 SHJ983071:SHJ983074 SRF983071:SRF983074 TBB983071:TBB983074 TKX983071:TKX983074 TUT983071:TUT983074 UEP983071:UEP983074 UOL983071:UOL983074 UYH983071:UYH983074 VID983071:VID983074 VRZ983071:VRZ983074 WBV983071:WBV983074 I31:I34 I16:I29" xr:uid="{00000000-0002-0000-0100-000001000000}">
      <formula1>"Accepted, Not accepted, N/A"</formula1>
    </dataValidation>
    <dataValidation type="list" allowBlank="1" showInputMessage="1" showErrorMessage="1" sqref="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xr:uid="{00000000-0002-0000-0100-000002000000}">
      <formula1>"Available, Not available"</formula1>
    </dataValidation>
  </dataValidations>
  <hyperlinks>
    <hyperlink ref="M34" r:id="rId1" location="note-8" xr:uid="{00000000-0004-0000-0100-000000000000}"/>
  </hyperlinks>
  <pageMargins left="0.7" right="0.7" top="0.75" bottom="0.75" header="0.3" footer="0.3"/>
  <pageSetup orientation="portrait"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5">
    <tabColor rgb="FF7030A0"/>
  </sheetPr>
  <dimension ref="A1:L70"/>
  <sheetViews>
    <sheetView zoomScale="85" zoomScaleNormal="85" workbookViewId="0">
      <selection activeCell="A3" sqref="A3"/>
    </sheetView>
  </sheetViews>
  <sheetFormatPr defaultColWidth="8.77734375" defaultRowHeight="12.75"/>
  <cols>
    <col min="1" max="1" width="5.21875" style="60" customWidth="1"/>
    <col min="2" max="2" width="18.6640625" style="60" bestFit="1" customWidth="1"/>
    <col min="3" max="3" width="9.33203125" style="60" customWidth="1"/>
    <col min="4" max="4" width="38.33203125" style="60" customWidth="1"/>
    <col min="5" max="5" width="37.6640625" style="60" customWidth="1"/>
    <col min="6" max="6" width="24.6640625" style="60" customWidth="1"/>
    <col min="7" max="7" width="45.44140625" style="60" customWidth="1"/>
    <col min="8" max="8" width="38.21875" style="60" customWidth="1"/>
    <col min="9" max="9" width="25.21875" style="60" customWidth="1"/>
    <col min="10" max="16384" width="8.77734375" style="60"/>
  </cols>
  <sheetData>
    <row r="1" spans="1:9" ht="38.25">
      <c r="A1" s="53" t="s">
        <v>293</v>
      </c>
      <c r="B1" s="57" t="s">
        <v>185</v>
      </c>
      <c r="C1" s="58" t="s">
        <v>186</v>
      </c>
      <c r="D1" s="59" t="s">
        <v>187</v>
      </c>
      <c r="E1" s="59" t="s">
        <v>188</v>
      </c>
      <c r="F1" s="59" t="s">
        <v>189</v>
      </c>
      <c r="G1" s="59" t="s">
        <v>190</v>
      </c>
      <c r="H1" s="59" t="s">
        <v>191</v>
      </c>
      <c r="I1" s="59" t="s">
        <v>192</v>
      </c>
    </row>
    <row r="2" spans="1:9" ht="16.5" hidden="1">
      <c r="A2" s="61" t="s">
        <v>193</v>
      </c>
      <c r="B2" s="61" t="s">
        <v>194</v>
      </c>
      <c r="C2" s="62" t="s">
        <v>195</v>
      </c>
      <c r="D2" s="63" t="s">
        <v>196</v>
      </c>
      <c r="E2" s="63" t="s">
        <v>197</v>
      </c>
      <c r="F2" s="63" t="s">
        <v>198</v>
      </c>
      <c r="G2" s="63" t="s">
        <v>199</v>
      </c>
      <c r="H2" s="63" t="s">
        <v>200</v>
      </c>
      <c r="I2" s="63" t="s">
        <v>201</v>
      </c>
    </row>
    <row r="3" spans="1:9" ht="16.5">
      <c r="A3" s="61" t="s">
        <v>32</v>
      </c>
      <c r="B3" s="61" t="s">
        <v>33</v>
      </c>
      <c r="C3" s="62" t="s">
        <v>34</v>
      </c>
      <c r="D3" s="13" t="s">
        <v>290</v>
      </c>
      <c r="E3" s="63">
        <v>0</v>
      </c>
      <c r="F3" s="63"/>
      <c r="G3" s="64" t="s">
        <v>202</v>
      </c>
      <c r="H3" s="64" t="s">
        <v>202</v>
      </c>
      <c r="I3" s="64" t="s">
        <v>202</v>
      </c>
    </row>
    <row r="4" spans="1:9" ht="16.5">
      <c r="A4" s="61" t="s">
        <v>32</v>
      </c>
      <c r="B4" s="61" t="s">
        <v>33</v>
      </c>
      <c r="C4" s="62" t="s">
        <v>35</v>
      </c>
      <c r="D4" s="13" t="s">
        <v>291</v>
      </c>
      <c r="E4" s="63">
        <v>0</v>
      </c>
      <c r="F4" s="63"/>
      <c r="G4" s="64" t="s">
        <v>202</v>
      </c>
      <c r="H4" s="64" t="s">
        <v>202</v>
      </c>
      <c r="I4" s="64" t="s">
        <v>202</v>
      </c>
    </row>
    <row r="5" spans="1:9" ht="16.5">
      <c r="A5" s="61" t="s">
        <v>32</v>
      </c>
      <c r="B5" s="61" t="s">
        <v>33</v>
      </c>
      <c r="C5" s="62" t="s">
        <v>36</v>
      </c>
      <c r="D5" s="25" t="s">
        <v>178</v>
      </c>
      <c r="E5" s="63">
        <v>0</v>
      </c>
      <c r="F5" s="63"/>
      <c r="G5" s="64" t="s">
        <v>202</v>
      </c>
      <c r="H5" s="64" t="s">
        <v>202</v>
      </c>
      <c r="I5" s="64" t="s">
        <v>202</v>
      </c>
    </row>
    <row r="6" spans="1:9" ht="16.5">
      <c r="A6" s="61" t="s">
        <v>32</v>
      </c>
      <c r="B6" s="61" t="s">
        <v>37</v>
      </c>
      <c r="C6" s="62" t="s">
        <v>38</v>
      </c>
      <c r="D6" s="25" t="s">
        <v>178</v>
      </c>
      <c r="E6" s="63">
        <v>0</v>
      </c>
      <c r="F6" s="63"/>
      <c r="G6" s="64" t="s">
        <v>202</v>
      </c>
      <c r="H6" s="64" t="s">
        <v>202</v>
      </c>
      <c r="I6" s="64" t="s">
        <v>202</v>
      </c>
    </row>
    <row r="7" spans="1:9" ht="33">
      <c r="A7" s="61" t="s">
        <v>177</v>
      </c>
      <c r="B7" s="61" t="s">
        <v>33</v>
      </c>
      <c r="C7" s="62" t="s">
        <v>39</v>
      </c>
      <c r="D7" s="25" t="s">
        <v>203</v>
      </c>
      <c r="E7" s="63"/>
      <c r="F7" s="63"/>
      <c r="G7" s="64" t="s">
        <v>64</v>
      </c>
      <c r="H7" s="64"/>
      <c r="I7" s="64"/>
    </row>
    <row r="8" spans="1:9" ht="16.5">
      <c r="A8" s="61" t="s">
        <v>177</v>
      </c>
      <c r="B8" s="61" t="s">
        <v>33</v>
      </c>
      <c r="C8" s="62" t="s">
        <v>65</v>
      </c>
      <c r="D8" s="25" t="s">
        <v>204</v>
      </c>
      <c r="E8" s="63"/>
      <c r="F8" s="63"/>
      <c r="G8" s="65" t="s">
        <v>139</v>
      </c>
      <c r="H8" s="64"/>
      <c r="I8" s="64"/>
    </row>
    <row r="9" spans="1:9" ht="33">
      <c r="A9" s="61" t="s">
        <v>177</v>
      </c>
      <c r="B9" s="61" t="s">
        <v>33</v>
      </c>
      <c r="C9" s="62" t="s">
        <v>66</v>
      </c>
      <c r="D9" s="25" t="s">
        <v>205</v>
      </c>
      <c r="E9" s="63"/>
      <c r="F9" s="63"/>
      <c r="G9" s="64" t="s">
        <v>67</v>
      </c>
      <c r="H9" s="64"/>
      <c r="I9" s="64"/>
    </row>
    <row r="10" spans="1:9" ht="33">
      <c r="A10" s="61" t="s">
        <v>177</v>
      </c>
      <c r="B10" s="61" t="s">
        <v>33</v>
      </c>
      <c r="C10" s="62" t="s">
        <v>68</v>
      </c>
      <c r="D10" s="25" t="s">
        <v>206</v>
      </c>
      <c r="E10" s="63"/>
      <c r="F10" s="63"/>
      <c r="G10" s="65" t="s">
        <v>141</v>
      </c>
      <c r="H10" s="64"/>
      <c r="I10" s="64"/>
    </row>
    <row r="11" spans="1:9" ht="66">
      <c r="A11" s="61" t="s">
        <v>177</v>
      </c>
      <c r="B11" s="61" t="s">
        <v>33</v>
      </c>
      <c r="C11" s="62" t="s">
        <v>69</v>
      </c>
      <c r="D11" s="25" t="s">
        <v>207</v>
      </c>
      <c r="E11" s="63"/>
      <c r="F11" s="63"/>
      <c r="G11" s="64" t="s">
        <v>208</v>
      </c>
      <c r="H11" s="64"/>
      <c r="I11" s="64"/>
    </row>
    <row r="12" spans="1:9" ht="33">
      <c r="A12" s="61" t="s">
        <v>177</v>
      </c>
      <c r="B12" s="61" t="s">
        <v>33</v>
      </c>
      <c r="C12" s="62" t="s">
        <v>70</v>
      </c>
      <c r="D12" s="25" t="s">
        <v>209</v>
      </c>
      <c r="E12" s="63"/>
      <c r="F12" s="63"/>
      <c r="G12" s="65" t="s">
        <v>142</v>
      </c>
      <c r="H12" s="64"/>
      <c r="I12" s="64"/>
    </row>
    <row r="13" spans="1:9" ht="51">
      <c r="A13" s="61" t="s">
        <v>177</v>
      </c>
      <c r="B13" s="61" t="s">
        <v>33</v>
      </c>
      <c r="C13" s="62" t="s">
        <v>71</v>
      </c>
      <c r="D13" s="25" t="s">
        <v>210</v>
      </c>
      <c r="E13" s="63"/>
      <c r="F13" s="63"/>
      <c r="G13" s="64" t="s">
        <v>72</v>
      </c>
      <c r="H13" s="64"/>
      <c r="I13" s="64"/>
    </row>
    <row r="14" spans="1:9" ht="51">
      <c r="A14" s="61" t="s">
        <v>177</v>
      </c>
      <c r="B14" s="61" t="s">
        <v>33</v>
      </c>
      <c r="C14" s="62" t="s">
        <v>73</v>
      </c>
      <c r="D14" s="25" t="s">
        <v>211</v>
      </c>
      <c r="E14" s="63"/>
      <c r="F14" s="63"/>
      <c r="G14" s="65" t="s">
        <v>143</v>
      </c>
      <c r="H14" s="64"/>
      <c r="I14" s="64"/>
    </row>
    <row r="15" spans="1:9" ht="51">
      <c r="A15" s="61" t="s">
        <v>177</v>
      </c>
      <c r="B15" s="61" t="s">
        <v>33</v>
      </c>
      <c r="C15" s="62" t="s">
        <v>74</v>
      </c>
      <c r="D15" s="25" t="s">
        <v>212</v>
      </c>
      <c r="E15" s="63"/>
      <c r="F15" s="63"/>
      <c r="G15" s="65" t="s">
        <v>140</v>
      </c>
      <c r="H15" s="64"/>
      <c r="I15" s="64"/>
    </row>
    <row r="16" spans="1:9" ht="181.5">
      <c r="A16" s="61" t="s">
        <v>177</v>
      </c>
      <c r="B16" s="61" t="s">
        <v>33</v>
      </c>
      <c r="C16" s="62" t="s">
        <v>75</v>
      </c>
      <c r="D16" s="25" t="s">
        <v>213</v>
      </c>
      <c r="E16" s="63"/>
      <c r="F16" s="63"/>
      <c r="G16" s="64" t="s">
        <v>214</v>
      </c>
      <c r="H16" s="64"/>
      <c r="I16" s="64"/>
    </row>
    <row r="17" spans="1:9" ht="82.5">
      <c r="A17" s="61" t="s">
        <v>177</v>
      </c>
      <c r="B17" s="61" t="s">
        <v>33</v>
      </c>
      <c r="C17" s="62" t="s">
        <v>76</v>
      </c>
      <c r="D17" s="25" t="s">
        <v>215</v>
      </c>
      <c r="E17" s="63"/>
      <c r="F17" s="63"/>
      <c r="G17" s="64" t="s">
        <v>152</v>
      </c>
      <c r="H17" s="64"/>
      <c r="I17" s="64"/>
    </row>
    <row r="18" spans="1:9" ht="99">
      <c r="A18" s="61" t="s">
        <v>177</v>
      </c>
      <c r="B18" s="61" t="s">
        <v>33</v>
      </c>
      <c r="C18" s="62" t="s">
        <v>77</v>
      </c>
      <c r="D18" s="25" t="s">
        <v>216</v>
      </c>
      <c r="E18" s="63"/>
      <c r="F18" s="63"/>
      <c r="G18" s="64" t="s">
        <v>176</v>
      </c>
      <c r="H18" s="64"/>
      <c r="I18" s="64"/>
    </row>
    <row r="19" spans="1:9" ht="33">
      <c r="A19" s="61" t="s">
        <v>177</v>
      </c>
      <c r="B19" s="61" t="s">
        <v>33</v>
      </c>
      <c r="C19" s="62" t="s">
        <v>107</v>
      </c>
      <c r="D19" s="25" t="s">
        <v>217</v>
      </c>
      <c r="E19" s="63"/>
      <c r="F19" s="63"/>
      <c r="G19" s="64" t="s">
        <v>108</v>
      </c>
      <c r="H19" s="64"/>
      <c r="I19" s="64"/>
    </row>
    <row r="20" spans="1:9" ht="33">
      <c r="A20" s="61" t="s">
        <v>177</v>
      </c>
      <c r="B20" s="61" t="s">
        <v>33</v>
      </c>
      <c r="C20" s="62" t="s">
        <v>78</v>
      </c>
      <c r="D20" s="25" t="s">
        <v>218</v>
      </c>
      <c r="E20" s="63"/>
      <c r="F20" s="63"/>
      <c r="G20" s="64" t="s">
        <v>79</v>
      </c>
      <c r="H20" s="64"/>
      <c r="I20" s="64"/>
    </row>
    <row r="21" spans="1:9" ht="33">
      <c r="A21" s="61" t="s">
        <v>177</v>
      </c>
      <c r="B21" s="61" t="s">
        <v>33</v>
      </c>
      <c r="C21" s="62" t="s">
        <v>80</v>
      </c>
      <c r="D21" s="25" t="s">
        <v>219</v>
      </c>
      <c r="E21" s="63"/>
      <c r="F21" s="63"/>
      <c r="G21" s="64" t="s">
        <v>81</v>
      </c>
      <c r="H21" s="64"/>
      <c r="I21" s="64"/>
    </row>
    <row r="22" spans="1:9" ht="16.5">
      <c r="A22" s="61" t="s">
        <v>177</v>
      </c>
      <c r="B22" s="61" t="s">
        <v>33</v>
      </c>
      <c r="C22" s="62" t="s">
        <v>82</v>
      </c>
      <c r="D22" s="25" t="s">
        <v>220</v>
      </c>
      <c r="E22" s="63"/>
      <c r="F22" s="63"/>
      <c r="G22" s="64" t="s">
        <v>102</v>
      </c>
      <c r="H22" s="64"/>
      <c r="I22" s="64"/>
    </row>
    <row r="23" spans="1:9" ht="33">
      <c r="A23" s="66" t="s">
        <v>177</v>
      </c>
      <c r="B23" s="66" t="s">
        <v>33</v>
      </c>
      <c r="C23" s="67" t="s">
        <v>114</v>
      </c>
      <c r="D23" s="25" t="s">
        <v>221</v>
      </c>
      <c r="E23" s="65"/>
      <c r="F23" s="65"/>
      <c r="G23" s="65" t="s">
        <v>109</v>
      </c>
      <c r="H23" s="65"/>
      <c r="I23" s="65"/>
    </row>
    <row r="24" spans="1:9" ht="33">
      <c r="A24" s="66" t="s">
        <v>177</v>
      </c>
      <c r="B24" s="66" t="s">
        <v>33</v>
      </c>
      <c r="C24" s="67" t="s">
        <v>115</v>
      </c>
      <c r="D24" s="25" t="s">
        <v>222</v>
      </c>
      <c r="E24" s="65"/>
      <c r="F24" s="65"/>
      <c r="G24" s="65" t="s">
        <v>110</v>
      </c>
      <c r="H24" s="65"/>
      <c r="I24" s="65"/>
    </row>
    <row r="25" spans="1:9" ht="33">
      <c r="A25" s="66" t="s">
        <v>177</v>
      </c>
      <c r="B25" s="66" t="s">
        <v>33</v>
      </c>
      <c r="C25" s="67" t="s">
        <v>116</v>
      </c>
      <c r="D25" s="25" t="s">
        <v>223</v>
      </c>
      <c r="E25" s="65"/>
      <c r="F25" s="65"/>
      <c r="G25" s="65" t="s">
        <v>111</v>
      </c>
      <c r="H25" s="65"/>
      <c r="I25" s="65"/>
    </row>
    <row r="26" spans="1:9" ht="16.5">
      <c r="A26" s="66" t="s">
        <v>177</v>
      </c>
      <c r="B26" s="66" t="s">
        <v>33</v>
      </c>
      <c r="C26" s="67" t="s">
        <v>117</v>
      </c>
      <c r="D26" s="25" t="s">
        <v>224</v>
      </c>
      <c r="E26" s="65"/>
      <c r="F26" s="65"/>
      <c r="G26" s="65" t="s">
        <v>112</v>
      </c>
      <c r="H26" s="65"/>
      <c r="I26" s="65"/>
    </row>
    <row r="27" spans="1:9" ht="33">
      <c r="A27" s="66" t="s">
        <v>177</v>
      </c>
      <c r="B27" s="66" t="s">
        <v>33</v>
      </c>
      <c r="C27" s="67" t="s">
        <v>118</v>
      </c>
      <c r="D27" s="25" t="s">
        <v>225</v>
      </c>
      <c r="E27" s="65"/>
      <c r="F27" s="65"/>
      <c r="G27" s="65" t="s">
        <v>113</v>
      </c>
      <c r="H27" s="65"/>
      <c r="I27" s="65"/>
    </row>
    <row r="28" spans="1:9" ht="99">
      <c r="A28" s="66" t="s">
        <v>177</v>
      </c>
      <c r="B28" s="66" t="s">
        <v>33</v>
      </c>
      <c r="C28" s="67" t="s">
        <v>119</v>
      </c>
      <c r="D28" s="25" t="s">
        <v>226</v>
      </c>
      <c r="E28" s="65"/>
      <c r="F28" s="65"/>
      <c r="G28" s="65" t="s">
        <v>153</v>
      </c>
      <c r="H28" s="65"/>
      <c r="I28" s="65"/>
    </row>
    <row r="29" spans="1:9" ht="99">
      <c r="A29" s="66" t="s">
        <v>177</v>
      </c>
      <c r="B29" s="66" t="s">
        <v>33</v>
      </c>
      <c r="C29" s="67" t="s">
        <v>120</v>
      </c>
      <c r="D29" s="25" t="s">
        <v>227</v>
      </c>
      <c r="E29" s="65"/>
      <c r="F29" s="65"/>
      <c r="G29" s="65" t="s">
        <v>149</v>
      </c>
      <c r="H29" s="65"/>
      <c r="I29" s="65"/>
    </row>
    <row r="30" spans="1:9" ht="82.5">
      <c r="A30" s="66" t="s">
        <v>177</v>
      </c>
      <c r="B30" s="66" t="s">
        <v>33</v>
      </c>
      <c r="C30" s="67" t="s">
        <v>121</v>
      </c>
      <c r="D30" s="25" t="s">
        <v>228</v>
      </c>
      <c r="E30" s="65"/>
      <c r="F30" s="65"/>
      <c r="G30" s="65" t="s">
        <v>150</v>
      </c>
      <c r="H30" s="65"/>
      <c r="I30" s="65"/>
    </row>
    <row r="31" spans="1:9" ht="115.5">
      <c r="A31" s="66" t="s">
        <v>177</v>
      </c>
      <c r="B31" s="66" t="s">
        <v>33</v>
      </c>
      <c r="C31" s="67" t="s">
        <v>122</v>
      </c>
      <c r="D31" s="25" t="s">
        <v>229</v>
      </c>
      <c r="E31" s="65"/>
      <c r="F31" s="65"/>
      <c r="G31" s="65" t="s">
        <v>151</v>
      </c>
      <c r="H31" s="65"/>
      <c r="I31" s="65"/>
    </row>
    <row r="32" spans="1:9" ht="78.75">
      <c r="A32" s="66" t="s">
        <v>177</v>
      </c>
      <c r="B32" s="66" t="s">
        <v>33</v>
      </c>
      <c r="C32" s="68" t="s">
        <v>145</v>
      </c>
      <c r="D32" s="25" t="s">
        <v>230</v>
      </c>
      <c r="E32" s="69"/>
      <c r="F32" s="69"/>
      <c r="G32" s="65" t="s">
        <v>83</v>
      </c>
      <c r="H32" s="65"/>
      <c r="I32" s="65"/>
    </row>
    <row r="33" spans="1:9" ht="66">
      <c r="A33" s="66" t="s">
        <v>177</v>
      </c>
      <c r="B33" s="66" t="s">
        <v>33</v>
      </c>
      <c r="C33" s="67" t="s">
        <v>144</v>
      </c>
      <c r="D33" s="25" t="s">
        <v>231</v>
      </c>
      <c r="E33" s="65"/>
      <c r="F33" s="65"/>
      <c r="G33" s="65" t="s">
        <v>123</v>
      </c>
      <c r="H33" s="65"/>
      <c r="I33" s="65"/>
    </row>
    <row r="34" spans="1:9" ht="38.25">
      <c r="A34" s="66" t="s">
        <v>177</v>
      </c>
      <c r="B34" s="66" t="s">
        <v>33</v>
      </c>
      <c r="C34" s="68" t="s">
        <v>126</v>
      </c>
      <c r="D34" s="25" t="s">
        <v>232</v>
      </c>
      <c r="E34" s="69"/>
      <c r="F34" s="54"/>
      <c r="G34" s="65" t="s">
        <v>128</v>
      </c>
      <c r="H34" s="65"/>
      <c r="I34" s="65"/>
    </row>
    <row r="35" spans="1:9" ht="16.5">
      <c r="A35" s="61" t="s">
        <v>177</v>
      </c>
      <c r="B35" s="61" t="s">
        <v>33</v>
      </c>
      <c r="C35" s="62" t="s">
        <v>99</v>
      </c>
      <c r="D35" s="25" t="s">
        <v>233</v>
      </c>
      <c r="E35" s="63"/>
      <c r="F35" s="63"/>
      <c r="G35" s="64" t="s">
        <v>84</v>
      </c>
      <c r="H35" s="64"/>
      <c r="I35" s="64"/>
    </row>
    <row r="36" spans="1:9" ht="33">
      <c r="A36" s="61" t="s">
        <v>177</v>
      </c>
      <c r="B36" s="61" t="s">
        <v>33</v>
      </c>
      <c r="C36" s="62" t="s">
        <v>90</v>
      </c>
      <c r="D36" s="25" t="s">
        <v>234</v>
      </c>
      <c r="E36" s="63"/>
      <c r="F36" s="63"/>
      <c r="G36" s="64" t="s">
        <v>85</v>
      </c>
      <c r="H36" s="64"/>
      <c r="I36" s="64"/>
    </row>
    <row r="37" spans="1:9" ht="16.5">
      <c r="A37" s="61" t="s">
        <v>177</v>
      </c>
      <c r="B37" s="61" t="s">
        <v>33</v>
      </c>
      <c r="C37" s="62" t="s">
        <v>91</v>
      </c>
      <c r="D37" s="25" t="s">
        <v>235</v>
      </c>
      <c r="E37" s="63"/>
      <c r="F37" s="63"/>
      <c r="G37" s="64" t="s">
        <v>86</v>
      </c>
      <c r="H37" s="64"/>
      <c r="I37" s="64"/>
    </row>
    <row r="38" spans="1:9" ht="109.5">
      <c r="A38" s="61" t="s">
        <v>177</v>
      </c>
      <c r="B38" s="61" t="s">
        <v>33</v>
      </c>
      <c r="C38" s="62" t="s">
        <v>98</v>
      </c>
      <c r="D38" s="25" t="s">
        <v>236</v>
      </c>
      <c r="E38" s="25"/>
      <c r="F38" s="63"/>
      <c r="G38" s="65" t="s">
        <v>237</v>
      </c>
      <c r="H38" s="64"/>
      <c r="I38" s="64"/>
    </row>
    <row r="39" spans="1:9" ht="148.5">
      <c r="A39" s="61" t="s">
        <v>177</v>
      </c>
      <c r="B39" s="61" t="s">
        <v>33</v>
      </c>
      <c r="C39" s="62" t="s">
        <v>100</v>
      </c>
      <c r="D39" s="25" t="s">
        <v>238</v>
      </c>
      <c r="E39" s="25"/>
      <c r="F39" s="63"/>
      <c r="G39" s="64" t="s">
        <v>239</v>
      </c>
      <c r="H39" s="64"/>
      <c r="I39" s="64"/>
    </row>
    <row r="40" spans="1:9" ht="99">
      <c r="A40" s="61" t="s">
        <v>177</v>
      </c>
      <c r="B40" s="61" t="s">
        <v>33</v>
      </c>
      <c r="C40" s="62" t="s">
        <v>87</v>
      </c>
      <c r="D40" s="25" t="s">
        <v>240</v>
      </c>
      <c r="E40" s="25"/>
      <c r="F40" s="63"/>
      <c r="G40" s="64" t="s">
        <v>241</v>
      </c>
      <c r="H40" s="64"/>
      <c r="I40" s="64"/>
    </row>
    <row r="41" spans="1:9" ht="66">
      <c r="A41" s="61" t="s">
        <v>177</v>
      </c>
      <c r="B41" s="61" t="s">
        <v>33</v>
      </c>
      <c r="C41" s="62" t="s">
        <v>88</v>
      </c>
      <c r="D41" s="25" t="s">
        <v>242</v>
      </c>
      <c r="E41" s="25"/>
      <c r="F41" s="63"/>
      <c r="G41" s="64" t="s">
        <v>92</v>
      </c>
      <c r="H41" s="64"/>
      <c r="I41" s="64"/>
    </row>
    <row r="42" spans="1:9" ht="66">
      <c r="A42" s="61" t="s">
        <v>177</v>
      </c>
      <c r="B42" s="61" t="s">
        <v>33</v>
      </c>
      <c r="C42" s="62" t="s">
        <v>101</v>
      </c>
      <c r="D42" s="25" t="s">
        <v>243</v>
      </c>
      <c r="E42" s="25"/>
      <c r="F42" s="63"/>
      <c r="G42" s="64" t="s">
        <v>93</v>
      </c>
      <c r="H42" s="64"/>
      <c r="I42" s="64"/>
    </row>
    <row r="43" spans="1:9" ht="231">
      <c r="A43" s="61" t="s">
        <v>177</v>
      </c>
      <c r="B43" s="61" t="s">
        <v>33</v>
      </c>
      <c r="C43" s="62" t="s">
        <v>89</v>
      </c>
      <c r="D43" s="25" t="s">
        <v>244</v>
      </c>
      <c r="E43" s="25"/>
      <c r="F43" s="63"/>
      <c r="G43" s="64" t="s">
        <v>245</v>
      </c>
      <c r="H43" s="64"/>
      <c r="I43" s="64"/>
    </row>
    <row r="44" spans="1:9" ht="99">
      <c r="A44" s="61" t="s">
        <v>177</v>
      </c>
      <c r="B44" s="61" t="s">
        <v>33</v>
      </c>
      <c r="C44" s="62" t="s">
        <v>94</v>
      </c>
      <c r="D44" s="25" t="s">
        <v>246</v>
      </c>
      <c r="E44" s="25"/>
      <c r="F44" s="63"/>
      <c r="G44" s="64" t="s">
        <v>95</v>
      </c>
      <c r="H44" s="64"/>
      <c r="I44" s="64"/>
    </row>
    <row r="45" spans="1:9" ht="99">
      <c r="A45" s="61" t="s">
        <v>177</v>
      </c>
      <c r="B45" s="61" t="s">
        <v>33</v>
      </c>
      <c r="C45" s="62" t="s">
        <v>97</v>
      </c>
      <c r="D45" s="25" t="s">
        <v>247</v>
      </c>
      <c r="E45" s="25"/>
      <c r="F45" s="63"/>
      <c r="G45" s="64" t="s">
        <v>96</v>
      </c>
      <c r="H45" s="64"/>
      <c r="I45" s="64"/>
    </row>
    <row r="46" spans="1:9" ht="25.5">
      <c r="A46" s="61" t="s">
        <v>177</v>
      </c>
      <c r="B46" s="61" t="s">
        <v>33</v>
      </c>
      <c r="C46" s="62" t="s">
        <v>103</v>
      </c>
      <c r="D46" s="25" t="s">
        <v>248</v>
      </c>
      <c r="E46" s="63"/>
      <c r="F46" s="63"/>
      <c r="G46" s="64" t="s">
        <v>104</v>
      </c>
      <c r="H46" s="64"/>
      <c r="I46" s="64"/>
    </row>
    <row r="47" spans="1:9" ht="33">
      <c r="A47" s="61" t="s">
        <v>177</v>
      </c>
      <c r="B47" s="61" t="s">
        <v>33</v>
      </c>
      <c r="C47" s="62" t="s">
        <v>106</v>
      </c>
      <c r="D47" s="25" t="s">
        <v>249</v>
      </c>
      <c r="E47" s="63"/>
      <c r="F47" s="63"/>
      <c r="G47" s="64" t="s">
        <v>105</v>
      </c>
      <c r="H47" s="64"/>
      <c r="I47" s="64"/>
    </row>
    <row r="48" spans="1:9" ht="51">
      <c r="A48" s="61" t="s">
        <v>177</v>
      </c>
      <c r="B48" s="61" t="s">
        <v>37</v>
      </c>
      <c r="C48" s="62" t="s">
        <v>172</v>
      </c>
      <c r="D48" s="25" t="s">
        <v>250</v>
      </c>
      <c r="E48" s="63"/>
      <c r="F48" s="63"/>
      <c r="G48" s="64" t="s">
        <v>164</v>
      </c>
      <c r="H48" s="64"/>
      <c r="I48" s="64"/>
    </row>
    <row r="49" spans="1:12" ht="66">
      <c r="A49" s="61" t="s">
        <v>177</v>
      </c>
      <c r="B49" s="61" t="s">
        <v>37</v>
      </c>
      <c r="C49" s="62" t="s">
        <v>163</v>
      </c>
      <c r="D49" s="25" t="s">
        <v>251</v>
      </c>
      <c r="E49" s="63"/>
      <c r="F49" s="63"/>
      <c r="G49" s="64" t="s">
        <v>154</v>
      </c>
      <c r="H49" s="64"/>
      <c r="I49" s="64"/>
    </row>
    <row r="50" spans="1:12" ht="75">
      <c r="A50" s="66">
        <v>1</v>
      </c>
      <c r="B50" s="61" t="s">
        <v>33</v>
      </c>
      <c r="C50" s="62" t="s">
        <v>39</v>
      </c>
      <c r="D50" s="63" t="s">
        <v>252</v>
      </c>
      <c r="E50" s="63" t="s">
        <v>253</v>
      </c>
      <c r="F50" s="55" t="s">
        <v>181</v>
      </c>
      <c r="G50" s="63" t="s">
        <v>47</v>
      </c>
      <c r="H50" s="63" t="s">
        <v>48</v>
      </c>
      <c r="I50" s="70" t="s">
        <v>182</v>
      </c>
    </row>
    <row r="51" spans="1:12" ht="33">
      <c r="A51" s="66">
        <v>2</v>
      </c>
      <c r="B51" s="61" t="s">
        <v>33</v>
      </c>
      <c r="C51" s="62" t="s">
        <v>39</v>
      </c>
      <c r="D51" s="63" t="s">
        <v>254</v>
      </c>
      <c r="E51" s="63" t="s">
        <v>255</v>
      </c>
      <c r="F51" s="63"/>
      <c r="G51" s="63" t="s">
        <v>49</v>
      </c>
      <c r="H51" s="63" t="s">
        <v>50</v>
      </c>
      <c r="I51" s="63"/>
    </row>
    <row r="52" spans="1:12" ht="37.5" customHeight="1">
      <c r="A52" s="66">
        <v>3</v>
      </c>
      <c r="B52" s="61" t="s">
        <v>33</v>
      </c>
      <c r="C52" s="62" t="s">
        <v>40</v>
      </c>
      <c r="D52" s="63" t="s">
        <v>256</v>
      </c>
      <c r="E52" s="63" t="s">
        <v>257</v>
      </c>
      <c r="F52" s="55" t="s">
        <v>179</v>
      </c>
      <c r="G52" s="63" t="s">
        <v>51</v>
      </c>
      <c r="H52" s="63" t="s">
        <v>52</v>
      </c>
      <c r="I52" s="70" t="s">
        <v>180</v>
      </c>
    </row>
    <row r="53" spans="1:12" ht="49.5">
      <c r="A53" s="66">
        <v>4</v>
      </c>
      <c r="B53" s="61" t="s">
        <v>33</v>
      </c>
      <c r="C53" s="62" t="s">
        <v>41</v>
      </c>
      <c r="D53" s="63" t="s">
        <v>258</v>
      </c>
      <c r="E53" s="63" t="s">
        <v>259</v>
      </c>
      <c r="F53" s="63"/>
      <c r="G53" s="63" t="s">
        <v>53</v>
      </c>
      <c r="H53" s="63" t="s">
        <v>147</v>
      </c>
      <c r="I53" s="63"/>
    </row>
    <row r="54" spans="1:12" ht="75">
      <c r="A54" s="66">
        <v>5</v>
      </c>
      <c r="B54" s="61" t="s">
        <v>33</v>
      </c>
      <c r="C54" s="62" t="s">
        <v>42</v>
      </c>
      <c r="D54" s="63" t="s">
        <v>260</v>
      </c>
      <c r="E54" s="63" t="s">
        <v>261</v>
      </c>
      <c r="F54" s="55" t="s">
        <v>183</v>
      </c>
      <c r="G54" s="63" t="s">
        <v>54</v>
      </c>
      <c r="H54" s="63" t="s">
        <v>55</v>
      </c>
      <c r="I54" s="70" t="s">
        <v>184</v>
      </c>
    </row>
    <row r="55" spans="1:12" ht="37.5" customHeight="1">
      <c r="A55" s="66">
        <v>6</v>
      </c>
      <c r="B55" s="61" t="s">
        <v>33</v>
      </c>
      <c r="C55" s="62" t="s">
        <v>43</v>
      </c>
      <c r="D55" s="63" t="s">
        <v>262</v>
      </c>
      <c r="E55" s="63" t="s">
        <v>263</v>
      </c>
      <c r="F55" s="63"/>
      <c r="G55" s="63" t="s">
        <v>56</v>
      </c>
      <c r="H55" s="63" t="s">
        <v>57</v>
      </c>
      <c r="I55" s="63"/>
    </row>
    <row r="56" spans="1:12" ht="66">
      <c r="A56" s="66">
        <v>7</v>
      </c>
      <c r="B56" s="61" t="s">
        <v>33</v>
      </c>
      <c r="C56" s="68" t="s">
        <v>146</v>
      </c>
      <c r="D56" s="63" t="s">
        <v>264</v>
      </c>
      <c r="E56" s="63" t="s">
        <v>265</v>
      </c>
      <c r="F56" s="63"/>
      <c r="G56" s="63" t="s">
        <v>58</v>
      </c>
      <c r="H56" s="63" t="s">
        <v>59</v>
      </c>
      <c r="I56" s="63"/>
    </row>
    <row r="57" spans="1:12" ht="33">
      <c r="A57" s="66">
        <v>8</v>
      </c>
      <c r="B57" s="61" t="s">
        <v>33</v>
      </c>
      <c r="C57" s="62" t="s">
        <v>44</v>
      </c>
      <c r="D57" s="63" t="s">
        <v>266</v>
      </c>
      <c r="E57" s="63" t="s">
        <v>267</v>
      </c>
      <c r="F57" s="63"/>
      <c r="G57" s="63" t="s">
        <v>60</v>
      </c>
      <c r="H57" s="63" t="s">
        <v>61</v>
      </c>
      <c r="I57" s="63"/>
    </row>
    <row r="58" spans="1:12" ht="51">
      <c r="A58" s="66">
        <v>9</v>
      </c>
      <c r="B58" s="61" t="s">
        <v>45</v>
      </c>
      <c r="C58" s="62" t="s">
        <v>46</v>
      </c>
      <c r="D58" s="63" t="s">
        <v>268</v>
      </c>
      <c r="E58" s="63" t="s">
        <v>269</v>
      </c>
      <c r="F58" s="55" t="s">
        <v>270</v>
      </c>
      <c r="G58" s="63" t="s">
        <v>62</v>
      </c>
      <c r="H58" s="63" t="s">
        <v>63</v>
      </c>
      <c r="I58" s="55" t="s">
        <v>155</v>
      </c>
    </row>
    <row r="59" spans="1:12" ht="82.5">
      <c r="A59" s="66">
        <v>10</v>
      </c>
      <c r="B59" s="66" t="s">
        <v>45</v>
      </c>
      <c r="C59" s="68" t="s">
        <v>127</v>
      </c>
      <c r="D59" s="69" t="s">
        <v>271</v>
      </c>
      <c r="E59" s="69" t="s">
        <v>272</v>
      </c>
      <c r="F59" s="63"/>
      <c r="G59" s="69" t="s">
        <v>129</v>
      </c>
      <c r="H59" s="69" t="s">
        <v>130</v>
      </c>
      <c r="I59" s="63"/>
    </row>
    <row r="60" spans="1:12" ht="67.5">
      <c r="A60" s="66">
        <v>11</v>
      </c>
      <c r="B60" s="66" t="s">
        <v>124</v>
      </c>
      <c r="C60" s="68" t="s">
        <v>126</v>
      </c>
      <c r="D60" s="69" t="s">
        <v>273</v>
      </c>
      <c r="E60" s="69" t="s">
        <v>274</v>
      </c>
      <c r="F60" s="63"/>
      <c r="G60" s="69" t="s">
        <v>125</v>
      </c>
      <c r="H60" s="69" t="s">
        <v>275</v>
      </c>
      <c r="I60" s="71"/>
    </row>
    <row r="61" spans="1:12" ht="33">
      <c r="A61" s="66">
        <v>12</v>
      </c>
      <c r="B61" s="61" t="s">
        <v>37</v>
      </c>
      <c r="C61" s="68" t="s">
        <v>167</v>
      </c>
      <c r="D61" s="69" t="s">
        <v>166</v>
      </c>
      <c r="E61" s="69" t="s">
        <v>165</v>
      </c>
      <c r="F61" s="55" t="s">
        <v>276</v>
      </c>
      <c r="G61" s="69" t="s">
        <v>165</v>
      </c>
      <c r="H61" s="69" t="s">
        <v>165</v>
      </c>
      <c r="I61" s="55" t="s">
        <v>156</v>
      </c>
      <c r="K61" s="38"/>
      <c r="L61" s="38"/>
    </row>
    <row r="62" spans="1:12" ht="33">
      <c r="A62" s="66">
        <v>13</v>
      </c>
      <c r="B62" s="61" t="s">
        <v>37</v>
      </c>
      <c r="C62" s="68" t="s">
        <v>168</v>
      </c>
      <c r="D62" s="69" t="s">
        <v>166</v>
      </c>
      <c r="E62" s="69" t="s">
        <v>165</v>
      </c>
      <c r="F62" s="55" t="s">
        <v>277</v>
      </c>
      <c r="G62" s="69" t="s">
        <v>165</v>
      </c>
      <c r="H62" s="69" t="s">
        <v>165</v>
      </c>
      <c r="I62" s="55" t="s">
        <v>156</v>
      </c>
      <c r="K62" s="38"/>
      <c r="L62" s="38"/>
    </row>
    <row r="63" spans="1:12" ht="33">
      <c r="A63" s="66">
        <v>14</v>
      </c>
      <c r="B63" s="61" t="s">
        <v>37</v>
      </c>
      <c r="C63" s="68" t="s">
        <v>169</v>
      </c>
      <c r="D63" s="69" t="s">
        <v>166</v>
      </c>
      <c r="E63" s="69" t="s">
        <v>165</v>
      </c>
      <c r="F63" s="55" t="s">
        <v>278</v>
      </c>
      <c r="G63" s="69" t="s">
        <v>165</v>
      </c>
      <c r="H63" s="69" t="s">
        <v>165</v>
      </c>
      <c r="I63" s="55" t="s">
        <v>158</v>
      </c>
      <c r="K63" s="38"/>
      <c r="L63" s="38"/>
    </row>
    <row r="64" spans="1:12" ht="33">
      <c r="A64" s="66">
        <v>15</v>
      </c>
      <c r="B64" s="61" t="s">
        <v>37</v>
      </c>
      <c r="C64" s="68" t="s">
        <v>170</v>
      </c>
      <c r="D64" s="69" t="s">
        <v>166</v>
      </c>
      <c r="E64" s="69" t="s">
        <v>165</v>
      </c>
      <c r="F64" s="55" t="s">
        <v>279</v>
      </c>
      <c r="G64" s="69" t="s">
        <v>165</v>
      </c>
      <c r="H64" s="69" t="s">
        <v>165</v>
      </c>
      <c r="I64" s="55" t="s">
        <v>157</v>
      </c>
      <c r="K64" s="38"/>
      <c r="L64" s="38"/>
    </row>
    <row r="65" spans="1:12" ht="33">
      <c r="A65" s="66">
        <v>16</v>
      </c>
      <c r="B65" s="61" t="s">
        <v>37</v>
      </c>
      <c r="C65" s="68" t="s">
        <v>175</v>
      </c>
      <c r="D65" s="69" t="s">
        <v>166</v>
      </c>
      <c r="E65" s="69" t="s">
        <v>165</v>
      </c>
      <c r="F65" s="55" t="s">
        <v>280</v>
      </c>
      <c r="G65" s="69" t="s">
        <v>165</v>
      </c>
      <c r="H65" s="69" t="s">
        <v>165</v>
      </c>
      <c r="I65" s="55" t="s">
        <v>159</v>
      </c>
      <c r="K65" s="38"/>
      <c r="L65" s="38"/>
    </row>
    <row r="66" spans="1:12" ht="49.5">
      <c r="A66" s="66">
        <v>17</v>
      </c>
      <c r="B66" s="61" t="s">
        <v>37</v>
      </c>
      <c r="C66" s="68" t="s">
        <v>174</v>
      </c>
      <c r="D66" s="69" t="s">
        <v>166</v>
      </c>
      <c r="E66" s="69" t="s">
        <v>165</v>
      </c>
      <c r="F66" s="55" t="s">
        <v>281</v>
      </c>
      <c r="G66" s="69" t="s">
        <v>165</v>
      </c>
      <c r="H66" s="69" t="s">
        <v>165</v>
      </c>
      <c r="I66" s="55" t="s">
        <v>160</v>
      </c>
      <c r="K66" s="38"/>
      <c r="L66" s="38"/>
    </row>
    <row r="67" spans="1:12" ht="49.5">
      <c r="A67" s="66">
        <v>18</v>
      </c>
      <c r="B67" s="61" t="s">
        <v>37</v>
      </c>
      <c r="C67" s="68" t="s">
        <v>173</v>
      </c>
      <c r="D67" s="69" t="s">
        <v>166</v>
      </c>
      <c r="E67" s="69" t="s">
        <v>165</v>
      </c>
      <c r="F67" s="55" t="s">
        <v>282</v>
      </c>
      <c r="G67" s="69" t="s">
        <v>165</v>
      </c>
      <c r="H67" s="69" t="s">
        <v>165</v>
      </c>
      <c r="I67" s="55" t="s">
        <v>161</v>
      </c>
      <c r="K67" s="38"/>
      <c r="L67" s="38"/>
    </row>
    <row r="68" spans="1:12" ht="33">
      <c r="A68" s="66">
        <v>19</v>
      </c>
      <c r="B68" s="61" t="s">
        <v>37</v>
      </c>
      <c r="C68" s="68" t="s">
        <v>171</v>
      </c>
      <c r="D68" s="69" t="s">
        <v>166</v>
      </c>
      <c r="E68" s="69" t="s">
        <v>165</v>
      </c>
      <c r="F68" s="55" t="s">
        <v>283</v>
      </c>
      <c r="G68" s="69" t="s">
        <v>165</v>
      </c>
      <c r="H68" s="69" t="s">
        <v>165</v>
      </c>
      <c r="I68" s="55" t="s">
        <v>162</v>
      </c>
      <c r="K68" s="38"/>
      <c r="L68" s="38"/>
    </row>
    <row r="69" spans="1:12" ht="16.5">
      <c r="A69" s="61"/>
      <c r="B69" s="61" t="s">
        <v>284</v>
      </c>
      <c r="C69" s="62"/>
      <c r="D69" s="63"/>
      <c r="E69" s="63"/>
      <c r="F69" s="63"/>
      <c r="G69" s="63"/>
      <c r="H69" s="63"/>
      <c r="I69" s="63"/>
      <c r="L69" s="38"/>
    </row>
    <row r="70" spans="1:12">
      <c r="L70" s="38"/>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3" r:id="rId4" xr:uid="{00000000-0004-0000-0300-000004000000}"/>
    <hyperlink ref="F62" r:id="rId5" xr:uid="{00000000-0004-0000-0300-000005000000}"/>
    <hyperlink ref="F64" r:id="rId6" xr:uid="{00000000-0004-0000-0300-000006000000}"/>
    <hyperlink ref="I50" r:id="rId7" xr:uid="{00000000-0004-0000-0300-000007000000}"/>
    <hyperlink ref="I54" r:id="rId8" xr:uid="{00000000-0004-0000-0300-000008000000}"/>
    <hyperlink ref="F50" r:id="rId9" display="標準開発手順管理表" xr:uid="{00000000-0004-0000-0300-000009000000}"/>
    <hyperlink ref="F54" r:id="rId10" display="標準開発手順管理表" xr:uid="{00000000-0004-0000-0300-00000A000000}"/>
    <hyperlink ref="F52" r:id="rId11" display="プロジェクト計画書" xr:uid="{00000000-0004-0000-0300-00000B000000}"/>
    <hyperlink ref="I52" r:id="rId12" xr:uid="{00000000-0004-0000-0300-00000C000000}"/>
    <hyperlink ref="F65" r:id="rId13" xr:uid="{00000000-0004-0000-0300-00000D000000}"/>
    <hyperlink ref="F66" r:id="rId14" xr:uid="{00000000-0004-0000-0300-00000E000000}"/>
    <hyperlink ref="F67" r:id="rId15" xr:uid="{00000000-0004-0000-0300-00000F000000}"/>
    <hyperlink ref="F68" r:id="rId16" xr:uid="{00000000-0004-0000-0300-000010000000}"/>
    <hyperlink ref="I61" r:id="rId17" xr:uid="{00000000-0004-0000-0300-000011000000}"/>
    <hyperlink ref="I62" r:id="rId18" xr:uid="{00000000-0004-0000-0300-000012000000}"/>
    <hyperlink ref="I63" r:id="rId19" xr:uid="{00000000-0004-0000-0300-000013000000}"/>
    <hyperlink ref="I64" r:id="rId20" xr:uid="{00000000-0004-0000-0300-000014000000}"/>
    <hyperlink ref="I65" r:id="rId21" xr:uid="{00000000-0004-0000-0300-000015000000}"/>
    <hyperlink ref="I66" r:id="rId22" xr:uid="{00000000-0004-0000-0300-000016000000}"/>
    <hyperlink ref="I67" r:id="rId23" xr:uid="{00000000-0004-0000-0300-000017000000}"/>
    <hyperlink ref="I68"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8" activePane="bottomLeft" state="frozen"/>
      <selection pane="bottomLeft" activeCell="B20" sqref="B20:B21"/>
    </sheetView>
  </sheetViews>
  <sheetFormatPr defaultColWidth="8.44140625" defaultRowHeight="14.1" customHeight="1"/>
  <cols>
    <col min="1" max="1" width="2.21875" style="47" customWidth="1"/>
    <col min="2" max="2" width="20.6640625" style="47" customWidth="1"/>
    <col min="3" max="3" width="100.6640625" style="47" customWidth="1"/>
    <col min="4" max="5" width="11.21875" style="47" customWidth="1"/>
    <col min="6" max="16384" width="8.44140625" style="47"/>
  </cols>
  <sheetData>
    <row r="1" spans="1:5" s="39" customFormat="1" ht="3" customHeight="1"/>
    <row r="2" spans="1:5" s="39" customFormat="1" ht="14.1" customHeight="1">
      <c r="B2" s="40" t="s">
        <v>2</v>
      </c>
    </row>
    <row r="3" spans="1:5" s="39" customFormat="1" ht="24.95" customHeight="1">
      <c r="B3" s="41" t="s">
        <v>285</v>
      </c>
      <c r="C3" s="42" t="s">
        <v>131</v>
      </c>
      <c r="D3" s="43"/>
      <c r="E3" s="44"/>
    </row>
    <row r="4" spans="1:5" s="39" customFormat="1" ht="14.1" customHeight="1">
      <c r="B4" s="43" t="s">
        <v>136</v>
      </c>
      <c r="C4" s="40" t="s">
        <v>3</v>
      </c>
    </row>
    <row r="5" spans="1:5" ht="27.95" customHeight="1">
      <c r="A5" s="47" t="s">
        <v>292</v>
      </c>
      <c r="B5" s="45" t="s">
        <v>4</v>
      </c>
      <c r="C5" s="46" t="s">
        <v>5</v>
      </c>
      <c r="D5" s="46" t="s">
        <v>6</v>
      </c>
      <c r="E5" s="46" t="s">
        <v>7</v>
      </c>
    </row>
    <row r="6" spans="1:5" ht="20.100000000000001" customHeight="1">
      <c r="B6" s="383" t="s">
        <v>8</v>
      </c>
      <c r="C6" s="48" t="s">
        <v>132</v>
      </c>
      <c r="D6" s="385" t="s">
        <v>9</v>
      </c>
      <c r="E6" s="385" t="s">
        <v>10</v>
      </c>
    </row>
    <row r="7" spans="1:5" ht="20.100000000000001" customHeight="1">
      <c r="B7" s="384"/>
      <c r="C7" s="49" t="s">
        <v>11</v>
      </c>
      <c r="D7" s="386"/>
      <c r="E7" s="386"/>
    </row>
    <row r="8" spans="1:5" ht="297">
      <c r="B8" s="383" t="s">
        <v>12</v>
      </c>
      <c r="C8" s="49" t="s">
        <v>137</v>
      </c>
      <c r="D8" s="387" t="s">
        <v>13</v>
      </c>
      <c r="E8" s="387" t="s">
        <v>14</v>
      </c>
    </row>
    <row r="9" spans="1:5" ht="229.5">
      <c r="B9" s="384"/>
      <c r="C9" s="49" t="s">
        <v>15</v>
      </c>
      <c r="D9" s="384"/>
      <c r="E9" s="384"/>
    </row>
    <row r="10" spans="1:5" ht="30" customHeight="1">
      <c r="B10" s="383" t="s">
        <v>19</v>
      </c>
      <c r="C10" s="49" t="s">
        <v>133</v>
      </c>
      <c r="D10" s="387" t="s">
        <v>17</v>
      </c>
      <c r="E10" s="387" t="s">
        <v>18</v>
      </c>
    </row>
    <row r="11" spans="1:5" ht="30" customHeight="1">
      <c r="B11" s="384"/>
      <c r="C11" s="49" t="s">
        <v>16</v>
      </c>
      <c r="D11" s="384"/>
      <c r="E11" s="384"/>
    </row>
    <row r="12" spans="1:5" ht="16.5">
      <c r="B12" s="383" t="s">
        <v>22</v>
      </c>
      <c r="C12" s="49" t="s">
        <v>134</v>
      </c>
      <c r="D12" s="387" t="s">
        <v>23</v>
      </c>
      <c r="E12" s="387" t="s">
        <v>21</v>
      </c>
    </row>
    <row r="13" spans="1:5" ht="14.25">
      <c r="B13" s="384"/>
      <c r="C13" s="49" t="s">
        <v>20</v>
      </c>
      <c r="D13" s="384"/>
      <c r="E13" s="384"/>
    </row>
    <row r="14" spans="1:5" ht="16.5">
      <c r="B14" s="383" t="s">
        <v>24</v>
      </c>
      <c r="C14" s="49" t="s">
        <v>135</v>
      </c>
      <c r="D14" s="387" t="s">
        <v>27</v>
      </c>
      <c r="E14" s="387" t="s">
        <v>26</v>
      </c>
    </row>
    <row r="15" spans="1:5" ht="14.25">
      <c r="B15" s="384"/>
      <c r="C15" s="49" t="s">
        <v>25</v>
      </c>
      <c r="D15" s="384"/>
      <c r="E15" s="384"/>
    </row>
    <row r="16" spans="1:5" ht="15">
      <c r="B16" s="383" t="s">
        <v>30</v>
      </c>
      <c r="C16" s="50" t="s">
        <v>138</v>
      </c>
      <c r="D16" s="387" t="s">
        <v>28</v>
      </c>
      <c r="E16" s="387" t="s">
        <v>31</v>
      </c>
    </row>
    <row r="17" spans="2:5" ht="14.25">
      <c r="B17" s="384"/>
      <c r="C17" s="50" t="s">
        <v>29</v>
      </c>
      <c r="D17" s="384"/>
      <c r="E17" s="384"/>
    </row>
    <row r="18" spans="2:5" ht="60">
      <c r="B18" s="383" t="s">
        <v>285</v>
      </c>
      <c r="C18" s="56" t="s">
        <v>288</v>
      </c>
      <c r="D18" s="387" t="s">
        <v>286</v>
      </c>
      <c r="E18" s="387" t="s">
        <v>287</v>
      </c>
    </row>
    <row r="19" spans="2:5" ht="48">
      <c r="B19" s="384"/>
      <c r="C19" s="50" t="s">
        <v>289</v>
      </c>
      <c r="D19" s="384"/>
      <c r="E19" s="384"/>
    </row>
    <row r="20" spans="2:5" ht="14.25">
      <c r="B20" s="383"/>
      <c r="C20" s="49"/>
      <c r="D20" s="383"/>
      <c r="E20" s="383"/>
    </row>
    <row r="21" spans="2:5" ht="14.25">
      <c r="B21" s="384"/>
      <c r="C21" s="49"/>
      <c r="D21" s="384"/>
      <c r="E21" s="384"/>
    </row>
    <row r="22" spans="2:5" ht="14.25">
      <c r="B22" s="383"/>
      <c r="C22" s="49"/>
      <c r="D22" s="383"/>
      <c r="E22" s="383"/>
    </row>
    <row r="23" spans="2:5" ht="14.25">
      <c r="B23" s="384"/>
      <c r="C23" s="49"/>
      <c r="D23" s="384"/>
      <c r="E23" s="384"/>
    </row>
    <row r="24" spans="2:5" ht="14.25">
      <c r="B24" s="383"/>
      <c r="C24" s="49"/>
      <c r="D24" s="383"/>
      <c r="E24" s="383"/>
    </row>
    <row r="25" spans="2:5" ht="14.25">
      <c r="B25" s="384"/>
      <c r="C25" s="49"/>
      <c r="D25" s="384"/>
      <c r="E25" s="384"/>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6"/>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CA4A2B-20B5-40EA-BA65-A63BAC013D2D}">
  <ds:schemaRefs>
    <ds:schemaRef ds:uri="http://schemas.microsoft.com/office/2006/documentManagement/types"/>
    <ds:schemaRef ds:uri="http://purl.org/dc/elements/1.1/"/>
    <ds:schemaRef ds:uri="http://schemas.microsoft.com/office/2006/metadata/properties"/>
    <ds:schemaRef ds:uri="9b590e1c-98aa-45d0-b368-a8263e89f865"/>
    <ds:schemaRef ds:uri="http://schemas.openxmlformats.org/package/2006/metadata/core-properties"/>
    <ds:schemaRef ds:uri="http://schemas.microsoft.com/office/infopath/2007/PartnerControl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3.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Release data Checklist</vt:lpstr>
      <vt:lpstr>REL-SEPG-PRM20190507</vt:lpstr>
      <vt:lpstr>Template Revision history</vt:lpstr>
      <vt:lpstr>'Peer Review Minutes'!Kjitubi</vt:lpstr>
      <vt:lpstr>'Peer Review Minutes'!Knin</vt:lpstr>
      <vt:lpstr>'Peer Review Minutes'!Mjitubi</vt:lpstr>
      <vt:lpstr>'Peer Review Minutes'!Mnin</vt:lpstr>
      <vt:lpstr>'Peer Review Minutes'!Obj_ID</vt:lpstr>
      <vt:lpstr>'Peer Review Minutes'!Obj_issue</vt:lpstr>
      <vt:lpstr>'Peer Review Minutes'!Obj_name</vt:lpstr>
      <vt:lpstr>'Peer Review Minutes'!Obj_time</vt:lpstr>
      <vt:lpstr>'Peer Review Minutes'!Obj_unit</vt:lpstr>
      <vt:lpstr>'Peer Review Minutes'!ProcessName</vt:lpstr>
      <vt:lpstr>'Peer Review Minutes'!syurui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Minh Quoc. Ha</cp:lastModifiedBy>
  <cp:revision/>
  <dcterms:created xsi:type="dcterms:W3CDTF">2018-07-26T03:17:46Z</dcterms:created>
  <dcterms:modified xsi:type="dcterms:W3CDTF">2021-11-23T13:19:58Z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efc5e3be-e9e6-4e8c-a593-6f91ad709e61</vt:lpwstr>
  </property>
</Properties>
</file>