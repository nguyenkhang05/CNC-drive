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workbookPr codeName="ThisWorkbook" defaultThemeVersion="166925"/>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D96B44A0-166F-4535-89B9-90BC261303E6}" xr6:coauthVersionLast="46" xr6:coauthVersionMax="47" xr10:uidLastSave="{00000000-0000-0000-0000-000000000000}"/>
  <bookViews>
    <workbookView xWindow="-120" yWindow="-120" windowWidth="20730" windowHeight="11160" xr2:uid="{00000000-000D-0000-FFFF-FFFF00000000}"/>
  </bookViews>
  <sheets>
    <sheet name="Peer Review Minutes" sheetId="6" r:id="rId1"/>
    <sheet name="Test Report Checklist" sheetId="20" r:id="rId2"/>
    <sheet name="REL-SEPG-PRM20190801" sheetId="16" state="hidden" r:id="rId3"/>
    <sheet name="Template Revision history" sheetId="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6" l="1"/>
  <c r="Z35" i="6"/>
  <c r="X37" i="6"/>
  <c r="X36" i="6"/>
  <c r="Y37" i="6" l="1"/>
  <c r="W37" i="6"/>
  <c r="Y36" i="6"/>
  <c r="W36" i="6"/>
  <c r="Y35" i="6"/>
  <c r="W35" i="6"/>
  <c r="U26" i="6"/>
  <c r="X45" i="6" l="1"/>
  <c r="X44" i="6"/>
  <c r="X43" i="6"/>
  <c r="X42" i="6"/>
  <c r="X41" i="6"/>
  <c r="X40" i="6"/>
  <c r="X39" i="6"/>
  <c r="Z31" i="6"/>
  <c r="Y31" i="6"/>
  <c r="X31" i="6"/>
  <c r="W31" i="6"/>
  <c r="U31" i="6"/>
  <c r="R31" i="6"/>
  <c r="P31" i="6"/>
  <c r="N31" i="6"/>
  <c r="Z30" i="6"/>
  <c r="Y30" i="6"/>
  <c r="X30" i="6"/>
  <c r="W30" i="6"/>
  <c r="U30" i="6"/>
  <c r="R30" i="6"/>
  <c r="P30" i="6"/>
  <c r="Z29" i="6"/>
  <c r="Y44" i="6" l="1"/>
  <c r="Y43" i="6"/>
  <c r="Y42" i="6"/>
  <c r="Y41" i="6"/>
  <c r="Y40" i="6"/>
  <c r="Y39" i="6"/>
  <c r="Y38" i="6"/>
  <c r="Y29" i="6" s="1"/>
  <c r="AA99" i="6" l="1"/>
  <c r="AA98" i="6"/>
  <c r="AA97" i="6"/>
  <c r="AA96" i="6"/>
  <c r="AA95" i="6"/>
  <c r="AA94" i="6"/>
  <c r="AA93" i="6"/>
  <c r="AA92" i="6"/>
  <c r="AA91" i="6"/>
  <c r="AA90" i="6"/>
  <c r="AA89" i="6"/>
  <c r="AA88" i="6"/>
  <c r="AA87" i="6"/>
  <c r="AA86" i="6"/>
  <c r="AA85" i="6"/>
  <c r="AA84" i="6"/>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AA56" i="6"/>
  <c r="AA55" i="6"/>
  <c r="AA54" i="6"/>
  <c r="AA53" i="6"/>
  <c r="AA52" i="6"/>
  <c r="AA51" i="6"/>
  <c r="AA50" i="6"/>
  <c r="AA49" i="6"/>
  <c r="Y45" i="6"/>
  <c r="W45" i="6"/>
  <c r="W44" i="6"/>
  <c r="W43" i="6"/>
  <c r="W42" i="6"/>
  <c r="W41" i="6"/>
  <c r="W40" i="6"/>
  <c r="W39" i="6"/>
  <c r="W38" i="6"/>
  <c r="W29" i="6" s="1"/>
  <c r="X38" i="6" l="1"/>
  <c r="X35" i="6"/>
  <c r="Z1" i="6"/>
  <c r="X29" i="6" l="1"/>
  <c r="N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99"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<sst xmlns="http://schemas.openxmlformats.org/spreadsheetml/2006/main" count="967" uniqueCount="496">
  <si>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</si>
  <si>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</si>
  <si>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</si>
  <si>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</si>
  <si>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</si>
  <si>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</si>
  <si>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</si>
  <si>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</si>
  <si>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</si>
  <si>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</si>
  <si>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</si>
  <si>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</si>
  <si>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</si>
  <si>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</si>
  <si>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</si>
  <si>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</si>
  <si>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</si>
  <si>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</si>
  <si>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</si>
  <si>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</si>
  <si>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</si>
  <si>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</si>
  <si>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</si>
  <si>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</si>
  <si>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</si>
  <si>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</si>
  <si>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</si>
  <si>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</si>
  <si>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</si>
  <si>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</si>
  <si>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</si>
  <si>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</si>
  <si>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</si>
  <si>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</si>
  <si>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</si>
  <si>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</si>
  <si>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</si>
  <si>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</si>
  <si>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</si>
  <si>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</si>
  <si>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</si>
  <si>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</si>
  <si>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</si>
  <si>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</si>
  <si>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</si>
  <si>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</si>
  <si>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</si>
  <si>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</si>
  <si>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</si>
  <si>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</si>
  <si>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</si>
  <si>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</si>
  <si>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</si>
  <si>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</si>
  <si>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</si>
  <si>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</si>
  <si>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</si>
  <si>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</si>
  <si>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</si>
  <si>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</si>
  <si>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</si>
  <si>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</si>
  <si>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</si>
  <si>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</si>
  <si>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</si>
  <si>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</si>
  <si>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</si>
  <si>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</si>
  <si>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</si>
  <si>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</si>
  <si>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</si>
  <si>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</si>
  <si>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</si>
  <si>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</si>
  <si>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</si>
  <si>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</si>
  <si>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</si>
  <si>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</si>
  <si>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</si>
  <si>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</si>
  <si>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</si>
  <si>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</si>
  <si>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</si>
  <si>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</si>
  <si>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</si>
  <si>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</si>
  <si>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</si>
  <si>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</si>
  <si>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</si>
  <si>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</si>
  <si>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</si>
  <si>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</si>
  <si>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</si>
  <si>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</si>
  <si>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</si>
  <si>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</si>
  <si>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</si>
  <si>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</si>
  <si>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</si>
  <si>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</si>
  <si>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</si>
  <si>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</si>
  <si>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</si>
  <si>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</si>
  <si>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</si>
  <si>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</si>
  <si>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</si>
  <si>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</si>
  <si>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</si>
  <si>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</si>
  <si>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</si>
  <si>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</si>
  <si>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</si>
  <si>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</si>
  <si>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</si>
  <si>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</si>
  <si>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</si>
  <si>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</si>
  <si>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</si>
  <si>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</si>
  <si>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</si>
  <si>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</si>
  <si>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</si>
  <si>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</si>
  <si>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</si>
  <si>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</si>
  <si>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</si>
  <si>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</si>
  <si>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</si>
  <si>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</si>
  <si>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</si>
  <si>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</si>
  <si>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</si>
  <si>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</si>
  <si>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</si>
  <si>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</si>
  <si>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</si>
  <si>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</si>
  <si>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</si>
  <si>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</si>
  <si>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</si>
  <si>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</si>
  <si>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</si>
  <si>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</si>
  <si>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</si>
  <si>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</si>
  <si>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</si>
  <si>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 xml:space="preserve">Purpose (viewpoints)
</t>
    </r>
    <r>
      <rPr>
        <sz val="10"/>
        <rFont val="メイリオ"/>
        <family val="3"/>
        <charset val="128"/>
      </rPr>
      <t>目的（観点）</t>
    </r>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</si>
  <si>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</si>
  <si>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</si>
  <si>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</si>
  <si>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</si>
  <si>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</si>
  <si>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</si>
  <si>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</si>
  <si>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</si>
  <si>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</si>
  <si>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</si>
  <si>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</si>
  <si>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</si>
  <si>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</si>
  <si>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</si>
  <si>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</si>
  <si>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</si>
  <si>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</si>
  <si>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</si>
  <si>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</si>
  <si>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</si>
  <si>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</si>
  <si>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</si>
  <si>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</si>
  <si>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</si>
  <si>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</si>
  <si>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</si>
  <si>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</si>
  <si>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</si>
  <si>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</si>
  <si>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</si>
  <si>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Review objects/</t>
    </r>
    <r>
      <rPr>
        <sz val="10"/>
        <rFont val="メイリオ"/>
        <family val="3"/>
        <charset val="128"/>
      </rPr>
      <t>レビュー対象物</t>
    </r>
    <rPh sb="19" eb="22">
      <t>タイショウブツ</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</si>
  <si>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</si>
  <si>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</si>
  <si>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</si>
  <si>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</si>
  <si>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</si>
  <si>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</si>
  <si>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</si>
  <si>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</si>
  <si>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</si>
  <si>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</si>
  <si>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</si>
  <si>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</si>
  <si>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</si>
  <si>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</si>
  <si>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</si>
  <si>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</si>
  <si>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</si>
  <si>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</si>
  <si>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</si>
  <si>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</si>
  <si>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</si>
  <si>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</si>
  <si>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</si>
  <si>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</si>
  <si>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</si>
  <si>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</si>
  <si>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</si>
  <si>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</si>
  <si>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</si>
  <si>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</si>
  <si>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</si>
  <si>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</si>
  <si>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</si>
  <si>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</si>
  <si>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</si>
  <si>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</si>
  <si>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</si>
  <si>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</si>
  <si>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</si>
  <si>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</si>
  <si>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</si>
  <si>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</si>
  <si>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</si>
  <si>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</si>
  <si>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</si>
  <si>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</si>
  <si>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</si>
  <si>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</si>
  <si>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</si>
  <si>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</si>
  <si>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</si>
  <si>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</si>
  <si>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</si>
  <si>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</si>
  <si>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</si>
  <si>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</si>
  <si>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</si>
  <si>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</si>
  <si>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</si>
  <si>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</si>
  <si>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</si>
  <si>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</si>
  <si>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</si>
  <si>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</si>
  <si>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</si>
  <si>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</si>
  <si>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</si>
  <si>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</si>
  <si>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</si>
  <si>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</si>
  <si>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</si>
  <si>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</si>
  <si>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</si>
  <si>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</si>
  <si>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</si>
  <si>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</si>
  <si>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</si>
  <si>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</si>
  <si>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</si>
  <si>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</si>
  <si>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</si>
  <si>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</si>
  <si>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</si>
  <si>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</si>
  <si>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</si>
  <si>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</si>
  <si>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</si>
  <si>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</si>
  <si>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</si>
  <si>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</si>
  <si>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</si>
  <si>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</si>
  <si>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</si>
  <si>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</si>
  <si>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</si>
  <si>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</si>
  <si>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</si>
  <si>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</si>
  <si>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</si>
  <si>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</si>
  <si>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</si>
  <si>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</si>
  <si>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</si>
  <si>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</si>
  <si>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</si>
  <si>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</si>
  <si>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</si>
  <si>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</si>
  <si>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</si>
  <si>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</si>
  <si>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</si>
  <si>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</si>
  <si>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</si>
  <si>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</si>
  <si>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</si>
  <si>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</si>
  <si>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</si>
  <si>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</si>
  <si>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</si>
  <si>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</si>
  <si>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</si>
  <si>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</si>
  <si>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</si>
  <si>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</si>
  <si>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</si>
  <si>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</si>
  <si>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</si>
  <si>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</si>
  <si>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</si>
  <si>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</si>
  <si>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</si>
  <si>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</si>
  <si>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</si>
  <si>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</si>
  <si>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</si>
  <si>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</si>
  <si>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</si>
  <si>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</si>
  <si>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</si>
  <si>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</si>
  <si>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</si>
  <si>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</si>
  <si>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</si>
  <si>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</si>
  <si>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</si>
  <si>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</si>
  <si>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</si>
  <si>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</si>
  <si>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</si>
  <si>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</si>
  <si>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</si>
  <si>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</si>
  <si>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</si>
  <si>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</si>
  <si>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</si>
  <si>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</si>
  <si>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</si>
  <si>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</si>
  <si>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</si>
  <si>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</si>
  <si>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1st review</t>
  </si>
  <si>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</si>
  <si>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</si>
  <si>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</si>
  <si>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</si>
  <si>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</si>
  <si>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</si>
  <si>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</si>
  <si>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</si>
  <si>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</si>
  <si>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</si>
  <si>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</si>
  <si>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</si>
  <si>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</si>
  <si>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</si>
  <si>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</si>
  <si>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</si>
  <si>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</si>
  <si>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</si>
  <si>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</si>
  <si>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</si>
  <si>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</si>
  <si>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</si>
  <si>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</si>
  <si>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</si>
  <si>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</si>
  <si>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</si>
  <si>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</si>
  <si>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</si>
  <si>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</si>
  <si>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</si>
  <si>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</si>
  <si>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</si>
  <si>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</si>
  <si>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</si>
  <si>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</si>
  <si>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</si>
  <si>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</si>
  <si>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</si>
  <si>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</si>
  <si>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</si>
  <si>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</si>
  <si>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</si>
  <si>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</si>
  <si>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</si>
  <si>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</si>
  <si>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</si>
  <si>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</si>
  <si>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</si>
  <si>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RVC</t>
  </si>
  <si>
    <t>Pass-around</t>
  </si>
  <si>
    <t>N/A</t>
  </si>
  <si>
    <t>Page</t>
  </si>
  <si>
    <t>Project Name</t>
    <phoneticPr fontId="4"/>
  </si>
  <si>
    <t>Review date &amp; time</t>
    <phoneticPr fontId="4"/>
  </si>
  <si>
    <t>Product part name</t>
    <phoneticPr fontId="4"/>
  </si>
  <si>
    <t>Target revision</t>
    <phoneticPr fontId="4"/>
  </si>
  <si>
    <t>Description</t>
    <phoneticPr fontId="4"/>
  </si>
  <si>
    <t>Priority</t>
  </si>
  <si>
    <t>Pre-check</t>
    <phoneticPr fontId="4"/>
  </si>
  <si>
    <t>Check date</t>
    <phoneticPr fontId="4"/>
  </si>
  <si>
    <t>Design Specification (INT)</t>
  </si>
  <si>
    <t>Low</t>
  </si>
  <si>
    <t>Accepted</t>
  </si>
  <si>
    <t>High</t>
  </si>
  <si>
    <t>Item 
No.</t>
    <phoneticPr fontId="4"/>
  </si>
  <si>
    <t>Available</t>
  </si>
  <si>
    <t>Core Software</t>
  </si>
  <si>
    <t xml:space="preserve">     GuideCheck:20200818</t>
  </si>
  <si>
    <t>Guide_Off</t>
  </si>
  <si>
    <t>use department checklist</t>
  </si>
  <si>
    <t>Unit test process</t>
  </si>
  <si>
    <t>Test Report</t>
  </si>
  <si>
    <t>Have date report created, revision number described clearly</t>
  </si>
  <si>
    <t>Have name of author, reviewer, approver described clearly</t>
  </si>
  <si>
    <t>New/Modified/Deleted content must be described in Revision History table</t>
  </si>
  <si>
    <t>New/Modified/Deleted content must be highlight</t>
  </si>
  <si>
    <t>Specify reference documents</t>
  </si>
  <si>
    <t>If model is a wrapper or integration one, check description information is synchronized with sub model or not.</t>
  </si>
  <si>
    <t>Detail Requirement (REQ)</t>
  </si>
  <si>
    <t>Test Specification (VRF)</t>
  </si>
  <si>
    <t>Test Items Checklist (VRF-01)</t>
  </si>
  <si>
    <t>[Notes]</t>
    <phoneticPr fontId="4"/>
  </si>
  <si>
    <t>* "Pre-Check" and "Check" column: Enter Accepted/Not accepted/NA and no. of issues pointed out.</t>
  </si>
  <si>
    <t>Review member</t>
    <phoneticPr fontId="4"/>
  </si>
  <si>
    <t>Item 
no.</t>
    <phoneticPr fontId="4"/>
  </si>
  <si>
    <t>Check</t>
    <phoneticPr fontId="4"/>
  </si>
  <si>
    <t>1. General</t>
    <phoneticPr fontId="4"/>
  </si>
  <si>
    <t>Available or not</t>
    <phoneticPr fontId="4"/>
  </si>
  <si>
    <t>Reason if not available</t>
    <phoneticPr fontId="4"/>
  </si>
  <si>
    <t>U2B</t>
  </si>
  <si>
    <t>Renesas Design Vietnam Co., Ltd
Software Engineering Division
Core Software Department
Core Software 1 Section
RH850 Modeling Group</t>
  </si>
  <si>
    <t>Test Report (INR) Review Checklist</t>
  </si>
  <si>
    <t>ver1.19</t>
  </si>
  <si>
    <t>This checklist is a collection of points requiring attention in review of Test Report (INR).</t>
  </si>
  <si>
    <t>Checked by</t>
    <phoneticPr fontId="4"/>
  </si>
  <si>
    <t>Remarks</t>
    <phoneticPr fontId="4"/>
  </si>
  <si>
    <t>Text must be concise, and easy and clear for a third party to understand.</t>
    <phoneticPr fontId="4"/>
  </si>
  <si>
    <t>Have acceptance of test described clearly</t>
  </si>
  <si>
    <t>Have number of test for each test items and distinguished clearly normal, abnormal and boundary</t>
  </si>
  <si>
    <t>Medium</t>
  </si>
  <si>
    <t>Test result for each test items are specified</t>
  </si>
  <si>
    <t>Have records of test result</t>
  </si>
  <si>
    <t>Include bug curve</t>
  </si>
  <si>
    <t>Include result report on progress (test completed curve)</t>
  </si>
  <si>
    <t>13</t>
  </si>
  <si>
    <t>For Coverage report, each reason should be able to answer the following questions:
  1. Why this source codes exist?
  2. What kind of situation is this source code executed? 
  3. Why are TMs difficult to create?
  4. If TMs could not be created, why do you judge OK about this source code ?</t>
  </si>
  <si>
    <t>14</t>
  </si>
  <si>
    <t>Average coverage rate is described. Note: average rate is calculated base on the coverage rate and number of code lines of each files.</t>
  </si>
  <si>
    <t>15</t>
  </si>
  <si>
    <t>16</t>
  </si>
  <si>
    <t>For maintenance models, PIC should check the legacy test report for basic mistakes (such as typo, incorrect model name, etc.), see Task #149147: Acceptance(AC phase):feedback by REL (ECC_LRAM) 2 (INR) - MCU_Modeling/E2x-FCC2_ECC - RVC REDMINE)</t>
  </si>
  <si>
    <t xml:space="preserve">2. Items to be Included </t>
    <phoneticPr fontId="4"/>
  </si>
  <si>
    <t>2.1 Items of the planned and actual measurement value</t>
  </si>
  <si>
    <t>Number line of code, source code version are described clearly</t>
  </si>
  <si>
    <t>Number of test items are described clearly &amp; match with VRF-01</t>
  </si>
  <si>
    <t>Number of defects are described clearly</t>
  </si>
  <si>
    <t>Have coverage result (ratio number, uncover lines with reason) &amp; match with result get from simulation</t>
  </si>
  <si>
    <t>Timing report (if exist) must get from simulation result</t>
  </si>
  <si>
    <t>Info in Bug_report sheet must match with VRF-01</t>
  </si>
  <si>
    <t>Have info about env which is used to get Coverage report</t>
  </si>
  <si>
    <t>Related Document Checklist</t>
  </si>
  <si>
    <t>Review Test Report Checklist (INR)</t>
  </si>
  <si>
    <t>This is not wrapper or intergration model</t>
  </si>
  <si>
    <t>Summary report</t>
  </si>
  <si>
    <t>Uncoverage report</t>
  </si>
  <si>
    <t>Reqtify data</t>
  </si>
  <si>
    <t>proceedings</t>
  </si>
  <si>
    <t>By running Reqtify tool, I checked coverage rate, INR covers 100% report files.</t>
  </si>
  <si>
    <t>By running Reqtify tool, I checked binding requirements with reference, they are binding correct</t>
  </si>
  <si>
    <t>Test Report Checklist</t>
  </si>
  <si>
    <r>
      <t xml:space="preserve">Result of the determination
</t>
    </r>
    <r>
      <rPr>
        <sz val="10"/>
        <rFont val="メイリオ"/>
        <family val="3"/>
        <charset val="128"/>
      </rPr>
      <t>判定</t>
    </r>
  </si>
  <si>
    <r>
      <t xml:space="preserve">Approve INR, reason:
</t>
    </r>
    <r>
      <rPr>
        <sz val="10"/>
        <color theme="1"/>
        <rFont val="Arial"/>
        <family val="2"/>
      </rPr>
      <t xml:space="preserve">- All objects are reviewed. And all issues are confirmed fixed.
</t>
    </r>
    <r>
      <rPr>
        <sz val="10"/>
        <rFont val="Arial"/>
        <family val="2"/>
      </rPr>
      <t>- Review indexes are in range.</t>
    </r>
  </si>
  <si>
    <r>
      <t>Notes/</t>
    </r>
    <r>
      <rPr>
        <sz val="10"/>
        <rFont val="メイリオ"/>
        <family val="3"/>
        <charset val="128"/>
      </rPr>
      <t>備考</t>
    </r>
  </si>
  <si>
    <t>Duong Phan</t>
  </si>
  <si>
    <t>Minh Ha</t>
  </si>
  <si>
    <t>Verification report of SPIDCTL (INR)</t>
  </si>
  <si>
    <t>INR-MCS-21038_SPIDCTL.xlsx</t>
  </si>
  <si>
    <t>SPIDCTL_summary_info</t>
  </si>
  <si>
    <t>SPIDCTL_uncoverage_report.txt</t>
  </si>
  <si>
    <t>21038_U2B_SPIDCTL.7z</t>
  </si>
  <si>
    <t>SPIDCTL</t>
  </si>
  <si>
    <t>Summary</t>
  </si>
  <si>
    <t>Issue</t>
  </si>
  <si>
    <t>I think the removed memory check error should be filled grey instead of blue</t>
  </si>
  <si>
    <t>Appendix</t>
  </si>
  <si>
    <t>Appendix tab should be colored blue</t>
  </si>
  <si>
    <t>AI</t>
  </si>
  <si>
    <t>I think the removed tenary case should be filled grey instead of blue</t>
  </si>
  <si>
    <t>Revision</t>
  </si>
  <si>
    <t>Please correct Author check date from Nov/20/2020 to Nov/20/2021</t>
  </si>
  <si>
    <t>Nov/23/2021</t>
  </si>
  <si>
    <t>Duong Phan
Nov/23/2021</t>
  </si>
  <si>
    <t>I updated it</t>
  </si>
  <si>
    <t>Threadhold is 30% for Review issue density and Review speed, so:
- Review issue density = 0.1212 is in range  0.1652 +/- 30% (0.1156 - 0.2148)
- Review speed = 20.63 is in range 19.74 +/- 30% (13.818 - 25.662)</t>
  </si>
  <si>
    <t>Chuong Le
Nov/23/2021</t>
  </si>
  <si>
    <t>MCU_model (RH850/U2B)
Development for SPIDCTL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</si>
</sst>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49">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b/>
      <sz val="10"/>
      <name val="ARIAL"/>
      <family val="2"/>
    </font>
    <font>
      <sz val="9"/>
      <color indexed="81"/>
      <name val="Tahoma"/>
      <family val="2"/>
    </font>
    <font>
      <b/>
      <sz val="9"/>
      <color indexed="81"/>
      <name val="Tahoma"/>
      <family val="2"/>
    </font>
    <font>
      <sz val="10"/>
      <color rgb="FF000000"/>
      <name val="Arial"/>
      <family val="2"/>
    </font>
  </fonts>
  <fills count="19">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
      <patternFill patternType="solid">
        <fgColor rgb="FFFFFF99"/>
        <bgColor indexed="64"/>
      </patternFill>
    </fill>
    <fill>
      <patternFill patternType="solid">
        <fgColor theme="0" tint="-4.9989318521683403E-2"/>
        <bgColor indexed="64"/>
      </patternFill>
    </fill>
  </fills>
  <borders count="5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s>
  <cellStyleXfs count="23">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alignment vertical="center"/>
    </xf>
    <xf numFmtId="0" fontId="5" fillId="0" borderId="0"/>
  </cellStyleXfs>
  <cellXfs count="407">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23" fillId="0" borderId="0" xfId="21" applyFont="1">
      <alignment vertical="center"/>
    </xf>
    <xf numFmtId="0" fontId="23" fillId="0" borderId="0" xfId="21" applyFont="1" applyAlignment="1">
      <alignment vertical="center" wrapText="1"/>
    </xf>
    <xf numFmtId="0" fontId="23" fillId="0" borderId="0" xfId="21" applyFont="1" applyAlignment="1">
      <alignment horizontal="center" vertical="center"/>
    </xf>
    <xf numFmtId="169" fontId="23" fillId="0" borderId="0" xfId="21" applyNumberFormat="1" applyFont="1">
      <alignment vertical="center"/>
    </xf>
    <xf numFmtId="0" fontId="23" fillId="0" borderId="0" xfId="22" applyFont="1" applyAlignment="1">
      <alignment wrapText="1"/>
    </xf>
    <xf numFmtId="0" fontId="23" fillId="13" borderId="25" xfId="21" applyFont="1" applyFill="1" applyBorder="1" applyAlignment="1">
      <alignment horizontal="center" vertical="center" wrapText="1"/>
    </xf>
    <xf numFmtId="0" fontId="23" fillId="10" borderId="27" xfId="21" applyFont="1" applyFill="1" applyBorder="1" applyAlignment="1">
      <alignment horizontal="center" vertical="center"/>
    </xf>
    <xf numFmtId="0" fontId="23" fillId="13" borderId="25" xfId="21" applyFont="1" applyFill="1" applyBorder="1" applyAlignment="1">
      <alignment horizontal="center" vertical="center"/>
    </xf>
    <xf numFmtId="169" fontId="23" fillId="13" borderId="28" xfId="21" applyNumberFormat="1" applyFont="1" applyFill="1" applyBorder="1" applyAlignment="1">
      <alignment horizontal="center" vertical="center"/>
    </xf>
    <xf numFmtId="0" fontId="23" fillId="13" borderId="29" xfId="21" applyFont="1" applyFill="1" applyBorder="1" applyAlignment="1">
      <alignment horizontal="center" vertical="center"/>
    </xf>
    <xf numFmtId="0" fontId="23" fillId="14" borderId="25" xfId="21" applyFont="1" applyFill="1" applyBorder="1" applyAlignment="1">
      <alignment horizontal="center" vertical="center"/>
    </xf>
    <xf numFmtId="169" fontId="23" fillId="14" borderId="28" xfId="21" applyNumberFormat="1" applyFont="1" applyFill="1" applyBorder="1" applyAlignment="1">
      <alignment horizontal="center" vertical="center"/>
    </xf>
    <xf numFmtId="0" fontId="23" fillId="14" borderId="29" xfId="21" applyFont="1" applyFill="1" applyBorder="1" applyAlignment="1">
      <alignment horizontal="center" vertical="center"/>
    </xf>
    <xf numFmtId="0" fontId="23" fillId="0" borderId="36" xfId="4" applyFont="1" applyBorder="1" applyAlignment="1">
      <alignment horizontal="center" vertical="center"/>
    </xf>
    <xf numFmtId="0" fontId="23" fillId="0" borderId="34" xfId="21" applyFont="1" applyBorder="1" applyAlignment="1">
      <alignment horizontal="center" vertical="center"/>
    </xf>
    <xf numFmtId="170" fontId="23" fillId="0" borderId="13" xfId="21" applyNumberFormat="1" applyFont="1" applyBorder="1" applyAlignment="1">
      <alignment horizontal="center" vertical="center"/>
    </xf>
    <xf numFmtId="0" fontId="23" fillId="0" borderId="40" xfId="21" applyFont="1" applyBorder="1" applyAlignment="1">
      <alignment horizontal="center" vertical="center"/>
    </xf>
    <xf numFmtId="0" fontId="23" fillId="0" borderId="0" xfId="4" applyFont="1" applyAlignment="1">
      <alignment horizontal="center" vertical="center"/>
    </xf>
    <xf numFmtId="169" fontId="23" fillId="0" borderId="0" xfId="4" applyNumberFormat="1" applyFont="1">
      <alignment vertical="center"/>
    </xf>
    <xf numFmtId="0" fontId="23" fillId="0" borderId="0" xfId="22" applyFont="1"/>
    <xf numFmtId="0" fontId="23" fillId="0" borderId="34" xfId="4" applyFont="1" applyBorder="1" applyAlignment="1">
      <alignment horizontal="center" vertical="center"/>
    </xf>
    <xf numFmtId="0" fontId="23" fillId="0" borderId="37" xfId="4" applyFont="1" applyBorder="1">
      <alignment vertical="center"/>
    </xf>
    <xf numFmtId="0" fontId="23" fillId="0" borderId="36" xfId="4" applyFont="1" applyBorder="1">
      <alignment vertical="center"/>
    </xf>
    <xf numFmtId="0" fontId="23" fillId="16" borderId="3" xfId="21" applyFont="1" applyFill="1" applyBorder="1" applyAlignment="1">
      <alignment vertical="center" wrapText="1"/>
    </xf>
    <xf numFmtId="170" fontId="23" fillId="16" borderId="3" xfId="21" applyNumberFormat="1" applyFont="1" applyFill="1" applyBorder="1" applyAlignment="1">
      <alignment horizontal="center" vertical="center"/>
    </xf>
    <xf numFmtId="0" fontId="23" fillId="13" borderId="50" xfId="21" applyFont="1" applyFill="1" applyBorder="1" applyAlignment="1">
      <alignment horizontal="center" vertical="center" wrapText="1"/>
    </xf>
    <xf numFmtId="0" fontId="23" fillId="13" borderId="46" xfId="21" applyFont="1" applyFill="1" applyBorder="1" applyAlignment="1">
      <alignment horizontal="center" vertical="center" wrapText="1"/>
    </xf>
    <xf numFmtId="0" fontId="23" fillId="0" borderId="13" xfId="21" applyFont="1" applyBorder="1" applyAlignment="1">
      <alignment horizontal="center" vertical="center"/>
    </xf>
    <xf numFmtId="0" fontId="23" fillId="0" borderId="39" xfId="21" applyFont="1" applyBorder="1" applyAlignment="1">
      <alignment horizontal="center" vertical="center"/>
    </xf>
    <xf numFmtId="0" fontId="23" fillId="0" borderId="0" xfId="21" applyFont="1" applyAlignment="1">
      <alignment horizontal="right" vertical="center"/>
    </xf>
    <xf numFmtId="0" fontId="23" fillId="0" borderId="13" xfId="5" applyFont="1" applyBorder="1" applyAlignment="1" applyProtection="1">
      <alignment horizontal="center" vertical="center"/>
      <protection locked="0"/>
    </xf>
    <xf numFmtId="49" fontId="23" fillId="0" borderId="13" xfId="5" applyNumberFormat="1" applyFont="1" applyBorder="1" applyAlignment="1" applyProtection="1">
      <alignment horizontal="left" vertical="center" wrapText="1"/>
      <protection locked="0"/>
    </xf>
    <xf numFmtId="0" fontId="45" fillId="0" borderId="0" xfId="21" applyFont="1" applyAlignment="1">
      <alignment vertical="center"/>
    </xf>
    <xf numFmtId="0" fontId="23" fillId="0" borderId="0" xfId="4" applyFont="1" applyBorder="1">
      <alignment vertical="center"/>
    </xf>
    <xf numFmtId="0" fontId="23" fillId="0" borderId="0" xfId="22" applyFont="1" applyBorder="1" applyAlignment="1">
      <alignment vertical="center"/>
    </xf>
    <xf numFmtId="0" fontId="23" fillId="0" borderId="0" xfId="22" applyFont="1" applyBorder="1" applyAlignment="1">
      <alignment wrapText="1"/>
    </xf>
    <xf numFmtId="0" fontId="23" fillId="0" borderId="0" xfId="22" applyFont="1" applyBorder="1" applyAlignment="1">
      <alignment vertical="center" wrapText="1"/>
    </xf>
    <xf numFmtId="169" fontId="23" fillId="0" borderId="0" xfId="4" applyNumberFormat="1" applyFont="1" applyBorder="1">
      <alignment vertical="center"/>
    </xf>
    <xf numFmtId="0" fontId="23" fillId="0" borderId="0" xfId="22" applyFont="1" applyBorder="1" applyAlignment="1">
      <alignment horizontal="left"/>
    </xf>
    <xf numFmtId="0" fontId="23" fillId="0" borderId="0" xfId="4" applyFont="1" applyBorder="1" applyAlignment="1">
      <alignment horizontal="left"/>
    </xf>
    <xf numFmtId="169" fontId="23" fillId="0" borderId="0" xfId="4" applyNumberFormat="1" applyFont="1" applyBorder="1" applyAlignment="1">
      <alignment horizontal="left"/>
    </xf>
    <xf numFmtId="0" fontId="23" fillId="0" borderId="34" xfId="4" applyNumberFormat="1" applyFont="1" applyBorder="1" applyAlignment="1">
      <alignment horizontal="center" vertical="center"/>
    </xf>
    <xf numFmtId="0" fontId="23" fillId="0" borderId="36" xfId="4" applyFont="1" applyFill="1" applyBorder="1" applyAlignment="1">
      <alignment horizontal="center" vertical="center"/>
    </xf>
    <xf numFmtId="49" fontId="45" fillId="16" borderId="38" xfId="21" applyNumberFormat="1" applyFont="1" applyFill="1" applyBorder="1" applyAlignment="1">
      <alignment vertical="center"/>
    </xf>
    <xf numFmtId="0" fontId="23" fillId="16" borderId="3" xfId="21" applyFont="1" applyFill="1" applyBorder="1" applyAlignment="1">
      <alignment vertical="center"/>
    </xf>
    <xf numFmtId="0" fontId="23" fillId="16" borderId="35" xfId="21" applyFont="1" applyFill="1" applyBorder="1" applyAlignment="1">
      <alignment vertical="center"/>
    </xf>
    <xf numFmtId="0" fontId="23" fillId="0" borderId="43" xfId="4" applyFont="1" applyFill="1" applyBorder="1" applyAlignment="1">
      <alignment horizontal="center" vertical="center"/>
    </xf>
    <xf numFmtId="0" fontId="23" fillId="0" borderId="48" xfId="21" applyFont="1" applyBorder="1" applyAlignment="1">
      <alignment horizontal="center" vertical="center"/>
    </xf>
    <xf numFmtId="0" fontId="23" fillId="15" borderId="0" xfId="4" applyFont="1" applyFill="1" applyAlignment="1">
      <alignment vertical="center" wrapText="1"/>
    </xf>
    <xf numFmtId="0" fontId="23" fillId="17" borderId="21" xfId="22" applyFont="1" applyFill="1" applyBorder="1" applyAlignment="1">
      <alignment vertical="center" wrapText="1"/>
    </xf>
    <xf numFmtId="171" fontId="23" fillId="17" borderId="21" xfId="22" quotePrefix="1" applyNumberFormat="1" applyFont="1" applyFill="1" applyBorder="1" applyAlignment="1">
      <alignment horizontal="left" vertical="center" wrapText="1"/>
    </xf>
    <xf numFmtId="49" fontId="23" fillId="0" borderId="34" xfId="21" applyNumberFormat="1" applyFont="1" applyFill="1" applyBorder="1" applyAlignment="1">
      <alignment horizontal="center" vertical="center"/>
    </xf>
    <xf numFmtId="0" fontId="23" fillId="0" borderId="36" xfId="21" applyFont="1" applyBorder="1">
      <alignment vertical="center"/>
    </xf>
    <xf numFmtId="49" fontId="23" fillId="7" borderId="34" xfId="21" applyNumberFormat="1" applyFont="1" applyFill="1" applyBorder="1" applyAlignment="1">
      <alignment horizontal="center" vertical="center"/>
    </xf>
    <xf numFmtId="0" fontId="23" fillId="7" borderId="36" xfId="4" applyFont="1" applyFill="1" applyBorder="1" applyAlignment="1">
      <alignment horizontal="center" vertical="center"/>
    </xf>
    <xf numFmtId="0" fontId="23" fillId="7" borderId="34" xfId="4" applyFont="1" applyFill="1" applyBorder="1" applyAlignment="1">
      <alignment horizontal="center" vertical="center"/>
    </xf>
    <xf numFmtId="0" fontId="23" fillId="7" borderId="36" xfId="21" applyFont="1" applyFill="1" applyBorder="1">
      <alignment vertical="center"/>
    </xf>
    <xf numFmtId="49" fontId="45" fillId="13" borderId="38" xfId="4" applyNumberFormat="1" applyFont="1" applyFill="1" applyBorder="1" applyAlignment="1">
      <alignment vertical="center"/>
    </xf>
    <xf numFmtId="0" fontId="23" fillId="13" borderId="3" xfId="4" applyFont="1" applyFill="1" applyBorder="1" applyAlignment="1">
      <alignment vertical="center" wrapText="1"/>
    </xf>
    <xf numFmtId="0" fontId="23" fillId="13" borderId="3" xfId="4" applyFont="1" applyFill="1" applyBorder="1" applyAlignment="1">
      <alignment vertical="center"/>
    </xf>
    <xf numFmtId="170" fontId="23" fillId="13" borderId="3" xfId="4" applyNumberFormat="1" applyFont="1" applyFill="1" applyBorder="1" applyAlignment="1">
      <alignment horizontal="center" vertical="center"/>
    </xf>
    <xf numFmtId="0" fontId="23" fillId="13" borderId="35" xfId="4" applyFont="1" applyFill="1" applyBorder="1" applyAlignment="1">
      <alignment vertical="center"/>
    </xf>
    <xf numFmtId="0" fontId="23" fillId="0" borderId="40" xfId="4" applyFont="1" applyFill="1" applyBorder="1" applyAlignment="1">
      <alignment horizontal="center" vertical="center"/>
    </xf>
    <xf numFmtId="0" fontId="23" fillId="0" borderId="43" xfId="4" applyFont="1" applyBorder="1">
      <alignment vertical="center"/>
    </xf>
    <xf numFmtId="0" fontId="23" fillId="0" borderId="36" xfId="21" applyFont="1" applyFill="1" applyBorder="1" applyAlignment="1">
      <alignment vertical="center" wrapText="1"/>
    </xf>
    <xf numFmtId="0" fontId="23" fillId="0" borderId="40" xfId="4" applyFont="1" applyBorder="1" applyAlignment="1">
      <alignment horizontal="center" vertical="center"/>
    </xf>
    <xf numFmtId="170" fontId="23" fillId="0" borderId="48" xfId="21" applyNumberFormat="1" applyFont="1" applyBorder="1" applyAlignment="1">
      <alignment horizontal="center" vertical="center"/>
    </xf>
    <xf numFmtId="0" fontId="23" fillId="0" borderId="49" xfId="4" applyFont="1" applyBorder="1">
      <alignment vertical="center"/>
    </xf>
    <xf numFmtId="14" fontId="23" fillId="0" borderId="13" xfId="4" applyNumberFormat="1" applyFont="1" applyBorder="1" applyAlignment="1">
      <alignment horizontal="center" vertical="center" wrapText="1" shrinkToFit="1"/>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2" borderId="13" xfId="4" applyFont="1" applyFill="1" applyBorder="1" applyAlignment="1">
      <alignment horizontal="center" vertical="center" wrapText="1"/>
    </xf>
    <xf numFmtId="14" fontId="23" fillId="0" borderId="13" xfId="5" applyNumberFormat="1" applyFont="1" applyBorder="1" applyAlignment="1" applyProtection="1">
      <alignment horizontal="center" vertical="center" wrapText="1"/>
      <protection locked="0"/>
    </xf>
    <xf numFmtId="0" fontId="23" fillId="2" borderId="13" xfId="5" applyFont="1" applyFill="1" applyBorder="1" applyAlignment="1">
      <alignment horizontal="center" vertical="center" wrapText="1"/>
    </xf>
    <xf numFmtId="0" fontId="23" fillId="2" borderId="2" xfId="4" applyFont="1" applyFill="1" applyBorder="1" applyAlignment="1">
      <alignment horizontal="center" vertical="center" wrapText="1"/>
    </xf>
    <xf numFmtId="0" fontId="23" fillId="2" borderId="4" xfId="4" applyFont="1" applyFill="1" applyBorder="1" applyAlignment="1">
      <alignment horizontal="center" vertical="center"/>
    </xf>
    <xf numFmtId="0" fontId="23" fillId="2" borderId="13" xfId="4" applyFont="1" applyFill="1" applyBorder="1" applyAlignment="1">
      <alignment horizontal="center" vertical="center"/>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9" borderId="2" xfId="4" applyFont="1" applyFill="1" applyBorder="1" applyAlignment="1" applyProtection="1">
      <alignment vertical="center" wrapText="1" shrinkToFit="1"/>
      <protection locked="0"/>
    </xf>
    <xf numFmtId="0" fontId="23" fillId="9" borderId="3" xfId="4" applyFont="1" applyFill="1" applyBorder="1" applyAlignment="1" applyProtection="1">
      <alignment vertical="center" wrapText="1" shrinkToFit="1"/>
      <protection locked="0"/>
    </xf>
    <xf numFmtId="0" fontId="23" fillId="9" borderId="4" xfId="4" applyFont="1" applyFill="1" applyBorder="1" applyAlignment="1" applyProtection="1">
      <alignment vertical="center" wrapText="1" shrinkToFi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0" borderId="13" xfId="5" applyFont="1" applyBorder="1" applyAlignment="1" applyProtection="1">
      <alignment horizontal="left" vertical="center" wrapText="1"/>
      <protection locked="0"/>
    </xf>
    <xf numFmtId="0" fontId="23" fillId="9" borderId="2" xfId="4" quotePrefix="1" applyFont="1" applyFill="1" applyBorder="1" applyAlignment="1" applyProtection="1">
      <alignment horizontal="right" vertical="center" wrapText="1"/>
      <protection locked="0"/>
    </xf>
    <xf numFmtId="0" fontId="0" fillId="0" borderId="3" xfId="0" applyBorder="1" applyAlignment="1">
      <alignment horizontal="right" vertical="center" wrapText="1"/>
    </xf>
    <xf numFmtId="0" fontId="0" fillId="0" borderId="4" xfId="0" applyBorder="1" applyAlignment="1">
      <alignment horizontal="right" vertical="center" wrapText="1"/>
    </xf>
    <xf numFmtId="0" fontId="23" fillId="9" borderId="2" xfId="4" quotePrefix="1" applyFont="1" applyFill="1" applyBorder="1" applyAlignment="1" applyProtection="1">
      <alignment horizontal="right" vertical="center" shrinkToFit="1"/>
      <protection locked="0"/>
    </xf>
    <xf numFmtId="0" fontId="23" fillId="9" borderId="4" xfId="4" quotePrefix="1" applyFont="1" applyFill="1" applyBorder="1" applyAlignment="1" applyProtection="1">
      <alignment horizontal="right" vertical="center" shrinkToFit="1"/>
      <protection locked="0"/>
    </xf>
    <xf numFmtId="0" fontId="23" fillId="6" borderId="13" xfId="4" applyFont="1" applyFill="1" applyBorder="1" applyAlignment="1">
      <alignment horizontal="center" vertical="center" wrapText="1"/>
    </xf>
    <xf numFmtId="0" fontId="23" fillId="0" borderId="13" xfId="4" applyFont="1" applyBorder="1" applyAlignment="1">
      <alignment horizontal="left" vertical="center" wrapText="1"/>
    </xf>
    <xf numFmtId="14" fontId="23" fillId="0" borderId="13" xfId="4" applyNumberFormat="1" applyFont="1" applyBorder="1" applyAlignment="1">
      <alignment horizontal="center" vertical="center" wrapText="1"/>
    </xf>
    <xf numFmtId="0" fontId="23" fillId="9" borderId="2" xfId="4" applyFont="1" applyFill="1" applyBorder="1" applyAlignment="1" applyProtection="1">
      <alignment vertical="center" shrinkToFit="1"/>
      <protection locked="0"/>
    </xf>
    <xf numFmtId="0" fontId="23" fillId="9" borderId="4" xfId="4" applyFont="1" applyFill="1" applyBorder="1" applyAlignment="1" applyProtection="1">
      <alignment vertical="center" shrinkToFit="1"/>
      <protection locked="0"/>
    </xf>
    <xf numFmtId="0" fontId="23" fillId="5"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43" fillId="2" borderId="2" xfId="4" applyFont="1" applyFill="1" applyBorder="1" applyAlignment="1">
      <alignment horizontal="center" vertical="center"/>
    </xf>
    <xf numFmtId="171" fontId="23" fillId="9" borderId="2" xfId="4" applyNumberFormat="1" applyFont="1" applyFill="1" applyBorder="1" applyAlignment="1" applyProtection="1">
      <alignment horizontal="right" vertical="center" wrapText="1" shrinkToFit="1"/>
      <protection locked="0"/>
    </xf>
    <xf numFmtId="171" fontId="23" fillId="9" borderId="3" xfId="4" applyNumberFormat="1" applyFont="1" applyFill="1" applyBorder="1" applyAlignment="1" applyProtection="1">
      <alignment horizontal="right" vertical="center" wrapText="1" shrinkToFit="1"/>
      <protection locked="0"/>
    </xf>
    <xf numFmtId="171" fontId="23" fillId="9" borderId="4" xfId="4" applyNumberFormat="1" applyFont="1" applyFill="1" applyBorder="1" applyAlignment="1" applyProtection="1">
      <alignment horizontal="right" vertical="center" wrapText="1" shrinkToFit="1"/>
      <protection locked="0"/>
    </xf>
    <xf numFmtId="14" fontId="23" fillId="0" borderId="2" xfId="4" applyNumberFormat="1" applyFont="1" applyBorder="1" applyAlignment="1">
      <alignment horizontal="left" vertical="center" wrapText="1"/>
    </xf>
    <xf numFmtId="0" fontId="0" fillId="0" borderId="4" xfId="0" applyBorder="1" applyAlignment="1">
      <alignment horizontal="left" vertical="center" wrapText="1"/>
    </xf>
    <xf numFmtId="166" fontId="23" fillId="0" borderId="13" xfId="4" applyNumberFormat="1" applyFont="1" applyBorder="1">
      <alignment vertical="center"/>
    </xf>
    <xf numFmtId="165" fontId="23" fillId="0" borderId="13" xfId="4" applyNumberFormat="1" applyFont="1" applyBorder="1">
      <alignment vertical="center"/>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3" xfId="4" applyFont="1" applyFill="1" applyBorder="1" applyAlignment="1">
      <alignment horizontal="center"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14" fontId="23" fillId="0" borderId="13" xfId="4" applyNumberFormat="1" applyFont="1" applyBorder="1" applyAlignment="1">
      <alignment horizontal="center" vertical="center"/>
    </xf>
    <xf numFmtId="0" fontId="23" fillId="0" borderId="13" xfId="4" applyFont="1" applyBorder="1" applyAlignment="1">
      <alignment horizontal="center" vertical="center"/>
    </xf>
    <xf numFmtId="2" fontId="23" fillId="0" borderId="13" xfId="4" applyNumberFormat="1" applyFont="1" applyBorder="1" applyAlignment="1">
      <alignment horizontal="center" vertical="center"/>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14" fontId="23" fillId="0" borderId="13" xfId="4" applyNumberFormat="1" applyFont="1" applyBorder="1" applyAlignment="1" applyProtection="1">
      <alignment horizontal="center" vertical="center" shrinkToFi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9" fillId="9" borderId="6" xfId="2" applyFont="1" applyFill="1" applyBorder="1" applyAlignment="1">
      <alignment horizontal="center" vertical="center" wrapText="1"/>
    </xf>
    <xf numFmtId="0" fontId="23" fillId="0" borderId="13" xfId="4" applyFont="1" applyBorder="1" applyAlignment="1" applyProtection="1">
      <alignment horizontal="left" vertical="top" wrapText="1"/>
      <protection locked="0"/>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0" borderId="3" xfId="4" applyFont="1" applyBorder="1" applyAlignment="1" applyProtection="1">
      <alignment vertical="center" wrapText="1" shrinkToFit="1"/>
      <protection locked="0"/>
    </xf>
    <xf numFmtId="0" fontId="23" fillId="0" borderId="13" xfId="4" applyFont="1" applyBorder="1" applyAlignment="1" applyProtection="1">
      <alignment horizontal="center" vertical="center" wrapText="1"/>
      <protection locked="0"/>
    </xf>
    <xf numFmtId="0" fontId="23" fillId="9" borderId="13" xfId="4" applyFont="1" applyFill="1" applyBorder="1" applyAlignment="1" applyProtection="1">
      <alignment horizontal="center" vertical="center" wrapText="1"/>
      <protection locked="0"/>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3" borderId="8" xfId="4" applyFont="1" applyFill="1" applyBorder="1" applyAlignment="1">
      <alignment horizontal="center" vertical="center"/>
    </xf>
    <xf numFmtId="0" fontId="23" fillId="3" borderId="8" xfId="4" applyFont="1" applyFill="1" applyBorder="1" applyAlignment="1" applyProtection="1">
      <alignment vertical="center" shrinkToFi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9" borderId="2" xfId="5" applyFont="1" applyFill="1" applyBorder="1" applyAlignment="1" applyProtection="1">
      <alignment horizontal="left" vertical="center" wrapText="1"/>
      <protection locked="0"/>
    </xf>
    <xf numFmtId="0" fontId="23" fillId="9" borderId="3" xfId="5" applyFont="1" applyFill="1" applyBorder="1" applyAlignment="1" applyProtection="1">
      <alignment horizontal="left" vertical="center" wrapText="1"/>
      <protection locked="0"/>
    </xf>
    <xf numFmtId="0" fontId="23" fillId="9" borderId="4" xfId="5" applyFont="1" applyFill="1" applyBorder="1" applyAlignment="1" applyProtection="1">
      <alignment horizontal="left" vertical="center" wrapText="1"/>
      <protection locked="0"/>
    </xf>
    <xf numFmtId="0" fontId="23" fillId="18" borderId="13" xfId="4" quotePrefix="1" applyFont="1" applyFill="1" applyBorder="1" applyAlignment="1">
      <alignment horizontal="left" vertical="center" wrapText="1"/>
    </xf>
    <xf numFmtId="0" fontId="23" fillId="18" borderId="13" xfId="4" applyFont="1" applyFill="1" applyBorder="1" applyAlignment="1">
      <alignment horizontal="left" vertical="center"/>
    </xf>
    <xf numFmtId="0" fontId="23" fillId="3" borderId="0" xfId="5" applyFont="1" applyFill="1" applyAlignment="1" applyProtection="1">
      <alignment horizontal="left" vertical="center" wrapText="1"/>
      <protection locked="0"/>
    </xf>
    <xf numFmtId="14" fontId="23" fillId="3" borderId="0" xfId="4" applyNumberFormat="1" applyFont="1" applyFill="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14" fontId="23" fillId="0" borderId="2" xfId="4" applyNumberFormat="1" applyFont="1"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left" vertical="center" wrapText="1"/>
    </xf>
    <xf numFmtId="0" fontId="23" fillId="0" borderId="2" xfId="5" quotePrefix="1"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0" borderId="2" xfId="5" applyFont="1" applyBorder="1" applyAlignment="1" applyProtection="1">
      <alignment horizontal="left" vertical="center" wrapText="1"/>
      <protection locked="0"/>
    </xf>
    <xf numFmtId="14" fontId="23" fillId="0" borderId="2" xfId="5" applyNumberFormat="1" applyFont="1" applyBorder="1" applyAlignment="1" applyProtection="1">
      <alignment horizontal="left" vertical="center" wrapText="1"/>
      <protection locked="0"/>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3" fillId="0" borderId="2" xfId="4" applyFont="1" applyFill="1" applyBorder="1" applyAlignment="1">
      <alignment horizontal="left" vertical="center" wrapText="1"/>
    </xf>
    <xf numFmtId="0" fontId="23" fillId="0" borderId="35" xfId="4" applyFont="1" applyFill="1" applyBorder="1" applyAlignment="1">
      <alignment horizontal="left" vertical="center" wrapText="1"/>
    </xf>
    <xf numFmtId="0" fontId="23" fillId="0" borderId="15" xfId="22" applyFont="1" applyBorder="1" applyAlignment="1">
      <alignment horizontal="center" vertical="center"/>
    </xf>
    <xf numFmtId="0" fontId="23" fillId="0" borderId="16" xfId="22" applyFont="1" applyBorder="1" applyAlignment="1">
      <alignment horizontal="center" vertical="center"/>
    </xf>
    <xf numFmtId="0" fontId="23" fillId="0" borderId="19" xfId="22" applyFont="1" applyBorder="1" applyAlignment="1">
      <alignment horizontal="center" vertical="center"/>
    </xf>
    <xf numFmtId="0" fontId="23" fillId="0" borderId="20" xfId="22" applyFont="1" applyBorder="1" applyAlignment="1">
      <alignment horizontal="center" vertical="center"/>
    </xf>
    <xf numFmtId="0" fontId="23" fillId="17" borderId="17" xfId="22" applyFont="1" applyFill="1" applyBorder="1" applyAlignment="1">
      <alignment horizontal="left" vertical="center" wrapText="1"/>
    </xf>
    <xf numFmtId="0" fontId="23" fillId="17" borderId="21" xfId="22" applyFont="1" applyFill="1" applyBorder="1" applyAlignment="1">
      <alignment horizontal="left" vertical="center" wrapText="1"/>
    </xf>
    <xf numFmtId="0" fontId="23" fillId="0" borderId="15" xfId="4" applyFont="1" applyFill="1" applyBorder="1" applyAlignment="1">
      <alignment horizontal="center" vertical="center"/>
    </xf>
    <xf numFmtId="0" fontId="23" fillId="0" borderId="16" xfId="4" applyFont="1" applyFill="1" applyBorder="1" applyAlignment="1">
      <alignment horizontal="center" vertical="center"/>
    </xf>
    <xf numFmtId="0" fontId="23" fillId="0" borderId="19" xfId="4" applyFont="1" applyFill="1" applyBorder="1" applyAlignment="1">
      <alignment horizontal="center" vertical="center"/>
    </xf>
    <xf numFmtId="0" fontId="23" fillId="0" borderId="20" xfId="4" applyFont="1" applyFill="1" applyBorder="1" applyAlignment="1">
      <alignment horizontal="center" vertical="center"/>
    </xf>
    <xf numFmtId="170" fontId="23" fillId="17" borderId="15" xfId="22" applyNumberFormat="1" applyFont="1" applyFill="1" applyBorder="1" applyAlignment="1">
      <alignment horizontal="left" vertical="center"/>
    </xf>
    <xf numFmtId="170" fontId="23" fillId="17" borderId="18" xfId="22" applyNumberFormat="1" applyFont="1" applyFill="1" applyBorder="1" applyAlignment="1">
      <alignment horizontal="left" vertical="center"/>
    </xf>
    <xf numFmtId="170" fontId="23" fillId="17" borderId="16" xfId="22" applyNumberFormat="1" applyFont="1" applyFill="1" applyBorder="1" applyAlignment="1">
      <alignment horizontal="left" vertical="center"/>
    </xf>
    <xf numFmtId="170" fontId="23" fillId="17" borderId="19" xfId="22" applyNumberFormat="1" applyFont="1" applyFill="1" applyBorder="1" applyAlignment="1">
      <alignment horizontal="left" vertical="center"/>
    </xf>
    <xf numFmtId="170" fontId="23" fillId="17" borderId="22" xfId="22" applyNumberFormat="1" applyFont="1" applyFill="1" applyBorder="1" applyAlignment="1">
      <alignment horizontal="left" vertical="center"/>
    </xf>
    <xf numFmtId="170" fontId="23" fillId="17" borderId="20" xfId="22" applyNumberFormat="1" applyFont="1" applyFill="1" applyBorder="1" applyAlignment="1">
      <alignment horizontal="left" vertical="center"/>
    </xf>
    <xf numFmtId="0" fontId="23" fillId="0" borderId="23" xfId="22" applyFont="1" applyBorder="1" applyAlignment="1">
      <alignment horizontal="center" vertical="center"/>
    </xf>
    <xf numFmtId="0" fontId="23" fillId="0" borderId="24" xfId="22" applyFont="1" applyBorder="1" applyAlignment="1">
      <alignment horizontal="center" vertical="center"/>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0" fontId="23" fillId="17" borderId="15" xfId="22" applyFont="1" applyFill="1" applyBorder="1" applyAlignment="1">
      <alignment horizontal="left" vertical="center"/>
    </xf>
    <xf numFmtId="0" fontId="23" fillId="17" borderId="18" xfId="22" applyFont="1" applyFill="1" applyBorder="1" applyAlignment="1">
      <alignment horizontal="left" vertical="center"/>
    </xf>
    <xf numFmtId="0" fontId="23" fillId="17" borderId="16" xfId="22" applyFont="1" applyFill="1" applyBorder="1" applyAlignment="1">
      <alignment horizontal="left" vertical="center"/>
    </xf>
    <xf numFmtId="0" fontId="23" fillId="17" borderId="19" xfId="22" applyFont="1" applyFill="1" applyBorder="1" applyAlignment="1">
      <alignment horizontal="left" vertical="center"/>
    </xf>
    <xf numFmtId="0" fontId="23" fillId="17" borderId="22" xfId="22" applyFont="1" applyFill="1" applyBorder="1" applyAlignment="1">
      <alignment horizontal="left" vertical="center"/>
    </xf>
    <xf numFmtId="0" fontId="23" fillId="17" borderId="20" xfId="22" applyFont="1" applyFill="1" applyBorder="1" applyAlignment="1">
      <alignment horizontal="left" vertical="center"/>
    </xf>
    <xf numFmtId="0" fontId="23" fillId="13" borderId="26" xfId="21" applyFont="1" applyFill="1" applyBorder="1" applyAlignment="1">
      <alignment horizontal="left" vertical="center" wrapText="1"/>
    </xf>
    <xf numFmtId="0" fontId="23" fillId="13" borderId="24" xfId="21" applyFont="1" applyFill="1" applyBorder="1" applyAlignment="1">
      <alignment horizontal="left" vertical="center" wrapText="1"/>
    </xf>
    <xf numFmtId="0" fontId="45" fillId="15" borderId="23" xfId="21" applyFont="1" applyFill="1" applyBorder="1" applyAlignment="1">
      <alignment horizontal="left" vertical="center"/>
    </xf>
    <xf numFmtId="0" fontId="23" fillId="15" borderId="30" xfId="21" applyFont="1" applyFill="1" applyBorder="1">
      <alignment vertical="center"/>
    </xf>
    <xf numFmtId="0" fontId="23" fillId="15" borderId="24" xfId="21" applyFont="1" applyFill="1" applyBorder="1">
      <alignment vertical="center"/>
    </xf>
    <xf numFmtId="49" fontId="45" fillId="16" borderId="31" xfId="21" applyNumberFormat="1" applyFont="1" applyFill="1" applyBorder="1" applyAlignment="1">
      <alignment vertical="center"/>
    </xf>
    <xf numFmtId="0" fontId="23" fillId="16" borderId="32" xfId="21" applyFont="1" applyFill="1" applyBorder="1" applyAlignment="1">
      <alignment vertical="center"/>
    </xf>
    <xf numFmtId="0" fontId="23" fillId="16" borderId="33" xfId="21" applyFont="1" applyFill="1" applyBorder="1" applyAlignment="1">
      <alignment vertical="center"/>
    </xf>
    <xf numFmtId="0" fontId="23" fillId="0" borderId="2" xfId="21" applyFont="1" applyBorder="1" applyAlignment="1">
      <alignment vertical="center" wrapText="1"/>
    </xf>
    <xf numFmtId="0" fontId="23" fillId="0" borderId="35" xfId="21" applyFont="1" applyBorder="1" applyAlignment="1">
      <alignment vertical="center" wrapText="1"/>
    </xf>
    <xf numFmtId="0" fontId="23" fillId="0" borderId="2" xfId="21" applyFont="1" applyFill="1" applyBorder="1" applyAlignment="1">
      <alignment vertical="center" wrapText="1"/>
    </xf>
    <xf numFmtId="0" fontId="23" fillId="0" borderId="35" xfId="21" applyFont="1" applyFill="1" applyBorder="1" applyAlignment="1">
      <alignment vertical="center" wrapText="1"/>
    </xf>
    <xf numFmtId="0" fontId="23" fillId="0" borderId="2" xfId="21" applyFont="1" applyBorder="1" applyAlignment="1">
      <alignment horizontal="left" vertical="center" wrapText="1"/>
    </xf>
    <xf numFmtId="0" fontId="23" fillId="0" borderId="35" xfId="21" applyFont="1" applyBorder="1" applyAlignment="1">
      <alignment horizontal="left" vertical="center" wrapText="1"/>
    </xf>
    <xf numFmtId="0" fontId="23" fillId="0" borderId="2" xfId="4" applyFont="1" applyBorder="1" applyAlignment="1">
      <alignment vertical="center" wrapText="1"/>
    </xf>
    <xf numFmtId="0" fontId="23" fillId="0" borderId="35" xfId="4" applyFont="1" applyBorder="1" applyAlignment="1">
      <alignment vertical="center" wrapText="1"/>
    </xf>
    <xf numFmtId="0" fontId="27" fillId="0" borderId="2" xfId="21" applyFont="1" applyBorder="1" applyAlignment="1">
      <alignment horizontal="left" vertical="center" wrapText="1"/>
    </xf>
    <xf numFmtId="0" fontId="27" fillId="0" borderId="4" xfId="21" applyFont="1" applyBorder="1" applyAlignment="1">
      <alignment horizontal="left" vertical="center" wrapText="1"/>
    </xf>
    <xf numFmtId="0" fontId="23" fillId="0" borderId="13" xfId="21" applyFont="1" applyBorder="1" applyAlignment="1">
      <alignment horizontal="left" vertical="center"/>
    </xf>
    <xf numFmtId="0" fontId="23" fillId="0" borderId="37" xfId="21" applyFont="1" applyBorder="1" applyAlignment="1">
      <alignment horizontal="left" vertical="center"/>
    </xf>
    <xf numFmtId="0" fontId="23" fillId="7" borderId="2" xfId="21" applyFont="1" applyFill="1" applyBorder="1" applyAlignment="1">
      <alignment vertical="center" wrapText="1"/>
    </xf>
    <xf numFmtId="0" fontId="23" fillId="7" borderId="35" xfId="21" applyFont="1" applyFill="1" applyBorder="1" applyAlignment="1">
      <alignment vertical="center" wrapText="1"/>
    </xf>
    <xf numFmtId="0" fontId="23" fillId="0" borderId="35" xfId="4" applyFont="1" applyBorder="1" applyAlignment="1">
      <alignment horizontal="left" vertical="center" wrapText="1"/>
    </xf>
    <xf numFmtId="0" fontId="23" fillId="0" borderId="41" xfId="4" applyFont="1" applyFill="1" applyBorder="1" applyAlignment="1">
      <alignment horizontal="left" vertical="center" wrapText="1"/>
    </xf>
    <xf numFmtId="0" fontId="23" fillId="0" borderId="42" xfId="4" applyFont="1" applyFill="1" applyBorder="1" applyAlignment="1">
      <alignment horizontal="left" vertical="center" wrapText="1"/>
    </xf>
    <xf numFmtId="0" fontId="45" fillId="15" borderId="23" xfId="21" applyFont="1" applyFill="1" applyBorder="1" applyAlignment="1">
      <alignment vertical="center"/>
    </xf>
    <xf numFmtId="0" fontId="45" fillId="15" borderId="30" xfId="21" applyFont="1" applyFill="1" applyBorder="1" applyAlignment="1">
      <alignment vertical="center"/>
    </xf>
    <xf numFmtId="0" fontId="45" fillId="15" borderId="24" xfId="21" applyFont="1" applyFill="1" applyBorder="1" applyAlignment="1">
      <alignment vertical="center"/>
    </xf>
    <xf numFmtId="0" fontId="23" fillId="13" borderId="44" xfId="21" applyFont="1" applyFill="1" applyBorder="1" applyAlignment="1">
      <alignment horizontal="center" vertical="center" wrapText="1"/>
    </xf>
    <xf numFmtId="0" fontId="23" fillId="13" borderId="45" xfId="21" applyFont="1" applyFill="1" applyBorder="1" applyAlignment="1">
      <alignment horizontal="center" vertical="center" wrapText="1"/>
    </xf>
    <xf numFmtId="0" fontId="23" fillId="13" borderId="46" xfId="21" applyFont="1" applyFill="1" applyBorder="1" applyAlignment="1">
      <alignment horizontal="center" vertical="center"/>
    </xf>
    <xf numFmtId="0" fontId="23" fillId="13" borderId="51" xfId="21" applyFont="1" applyFill="1" applyBorder="1" applyAlignment="1">
      <alignment horizontal="center" vertical="center"/>
    </xf>
    <xf numFmtId="0" fontId="27" fillId="0" borderId="41" xfId="21" applyFont="1" applyBorder="1" applyAlignment="1">
      <alignment horizontal="left" vertical="center" wrapText="1"/>
    </xf>
    <xf numFmtId="0" fontId="27" fillId="0" borderId="47" xfId="21" applyFont="1" applyBorder="1" applyAlignment="1">
      <alignment horizontal="left" vertical="center" wrapText="1"/>
    </xf>
    <xf numFmtId="0" fontId="23" fillId="0" borderId="48" xfId="21" applyFont="1" applyBorder="1" applyAlignment="1">
      <alignment horizontal="left" vertical="center"/>
    </xf>
    <xf numFmtId="0" fontId="23" fillId="0" borderId="49" xfId="21" applyFont="1" applyBorder="1" applyAlignment="1">
      <alignment horizontal="left" vertical="center"/>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3">
    <cellStyle name="Normal" xfId="0" builtinId="0"/>
    <cellStyle name="Normal 2" xfId="21"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コードレビューに関するコメント" xfId="22" xr:uid="{00000000-0005-0000-0000-000014000000}"/>
    <cellStyle name="標準_コードレビューに関するコメント_コードレビューチェックリストv0.22" xfId="5" xr:uid="{00000000-0005-0000-0000-000015000000}"/>
    <cellStyle name="標準_レビューチェックリスト_機能仕様書" xfId="6" xr:uid="{00000000-0005-0000-0000-000016000000}"/>
  </cellStyles>
  <dxfs count="657">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56"/>
      <tableStyleElement type="headerRow" dxfId="655"/>
    </tableStyle>
  </tableStyles>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4"/>
  <sheetViews>
    <sheetView showGridLines="0" tabSelected="1" zoomScale="70" zoomScaleNormal="70" zoomScaleSheetLayoutView="100" workbookViewId="0">
      <selection activeCell="U12" sqref="U12:W16"/>
    </sheetView>
  </sheetViews>
  <sheetFormatPr defaultColWidth="8.88671875" defaultRowHeight="12.75"/>
  <cols>
    <col min="1" max="2" width="2.6640625" style="16" customWidth="1"/>
    <col min="3" max="3" width="5" style="16" customWidth="1"/>
    <col min="4" max="4" width="6.6640625" style="16" customWidth="1"/>
    <col min="5" max="5" width="9.6640625" style="16" customWidth="1"/>
    <col min="6" max="6" width="12.109375" style="16" customWidth="1"/>
    <col min="7" max="7" width="9.6640625" style="16" customWidth="1"/>
    <col min="8" max="13" width="6.6640625" style="16" customWidth="1"/>
    <col min="14" max="14" width="8.109375" style="16" customWidth="1"/>
    <col min="15" max="16" width="9.6640625" style="16" customWidth="1"/>
    <col min="17" max="21" width="6.6640625" style="16" customWidth="1"/>
    <col min="22" max="22" width="7.6640625" style="16" customWidth="1"/>
    <col min="23" max="23" width="9.6640625" style="16" customWidth="1"/>
    <col min="24" max="24" width="11.5546875" style="16" customWidth="1"/>
    <col min="25" max="26" width="9.6640625" style="16" customWidth="1"/>
    <col min="27" max="28" width="2.6640625" style="16" hidden="1" customWidth="1"/>
    <col min="29" max="29" width="2.6640625" style="16" customWidth="1"/>
    <col min="30" max="40" width="8.88671875" style="16"/>
    <col min="41" max="41" width="3.33203125" style="16" customWidth="1"/>
    <col min="42" max="42" width="8.88671875" style="16" customWidth="1"/>
    <col min="43" max="43" width="36.33203125" style="16" customWidth="1"/>
    <col min="44" max="44" width="13.21875" style="16" customWidth="1"/>
    <col min="45" max="45" width="10" style="16" customWidth="1"/>
    <col min="46" max="46" width="11.6640625" style="16" customWidth="1"/>
    <col min="47" max="51" width="8.88671875" style="16" customWidth="1"/>
    <col min="52" max="16384" width="8.886718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408</v>
      </c>
      <c r="D2" s="9"/>
      <c r="E2" s="9"/>
      <c r="F2" s="9"/>
      <c r="G2" s="9"/>
      <c r="H2" s="9"/>
      <c r="I2" s="9"/>
      <c r="J2" s="157" t="s">
        <v>134</v>
      </c>
      <c r="K2" s="158"/>
      <c r="L2" s="158"/>
      <c r="M2" s="158"/>
      <c r="N2" s="158"/>
      <c r="O2" s="158"/>
      <c r="P2" s="158"/>
      <c r="Q2" s="158"/>
      <c r="R2" s="158"/>
      <c r="S2" s="158"/>
      <c r="T2" s="158"/>
      <c r="U2" s="158"/>
      <c r="V2" s="158"/>
      <c r="W2" s="158"/>
      <c r="X2" s="158"/>
      <c r="Y2" s="10"/>
      <c r="Z2" s="10"/>
      <c r="AA2" s="6"/>
      <c r="AB2" s="6"/>
    </row>
    <row r="3" spans="2:28" s="7" customFormat="1" ht="17.100000000000001" customHeight="1">
      <c r="B3" s="11" t="s">
        <v>1</v>
      </c>
      <c r="C3" s="236" t="s">
        <v>135</v>
      </c>
      <c r="D3" s="236"/>
      <c r="E3" s="236"/>
      <c r="F3" s="236"/>
      <c r="G3" s="236" t="s">
        <v>136</v>
      </c>
      <c r="H3" s="236"/>
      <c r="I3" s="236"/>
      <c r="J3" s="236"/>
      <c r="K3" s="236"/>
      <c r="L3" s="236"/>
      <c r="M3" s="236"/>
      <c r="N3" s="236"/>
      <c r="O3" s="236"/>
      <c r="P3" s="236"/>
      <c r="Q3" s="236"/>
      <c r="R3" s="237" t="s">
        <v>137</v>
      </c>
      <c r="S3" s="238"/>
      <c r="T3" s="239"/>
      <c r="U3" s="243" t="s">
        <v>225</v>
      </c>
      <c r="V3" s="244"/>
      <c r="W3" s="244"/>
      <c r="X3" s="244"/>
      <c r="Y3" s="244"/>
      <c r="Z3" s="245"/>
    </row>
    <row r="4" spans="2:28" s="7" customFormat="1" ht="17.100000000000001" customHeight="1">
      <c r="B4" s="11"/>
      <c r="C4" s="249" t="s">
        <v>430</v>
      </c>
      <c r="D4" s="250"/>
      <c r="E4" s="250"/>
      <c r="F4" s="250"/>
      <c r="G4" s="251" t="s">
        <v>138</v>
      </c>
      <c r="H4" s="252"/>
      <c r="I4" s="252"/>
      <c r="J4" s="252"/>
      <c r="K4" s="252"/>
      <c r="L4" s="252"/>
      <c r="M4" s="252"/>
      <c r="N4" s="252"/>
      <c r="O4" s="252"/>
      <c r="P4" s="252"/>
      <c r="Q4" s="253"/>
      <c r="R4" s="240"/>
      <c r="S4" s="241"/>
      <c r="T4" s="242"/>
      <c r="U4" s="246"/>
      <c r="V4" s="247"/>
      <c r="W4" s="247"/>
      <c r="X4" s="247"/>
      <c r="Y4" s="247"/>
      <c r="Z4" s="248"/>
    </row>
    <row r="5" spans="2:28" s="7" customFormat="1" ht="17.100000000000001" customHeight="1">
      <c r="B5" s="11"/>
      <c r="C5" s="250"/>
      <c r="D5" s="250"/>
      <c r="E5" s="250"/>
      <c r="F5" s="250"/>
      <c r="G5" s="254"/>
      <c r="H5" s="255"/>
      <c r="I5" s="255"/>
      <c r="J5" s="255"/>
      <c r="K5" s="255"/>
      <c r="L5" s="255"/>
      <c r="M5" s="255"/>
      <c r="N5" s="255"/>
      <c r="O5" s="255"/>
      <c r="P5" s="255"/>
      <c r="Q5" s="256"/>
      <c r="R5" s="237" t="s">
        <v>139</v>
      </c>
      <c r="S5" s="238"/>
      <c r="T5" s="239"/>
      <c r="U5" s="260" t="s">
        <v>490</v>
      </c>
      <c r="V5" s="261"/>
      <c r="W5" s="261"/>
      <c r="X5" s="261"/>
      <c r="Y5" s="261"/>
      <c r="Z5" s="262"/>
    </row>
    <row r="6" spans="2:28" s="7" customFormat="1" ht="17.100000000000001" customHeight="1">
      <c r="B6" s="11"/>
      <c r="C6" s="250"/>
      <c r="D6" s="250"/>
      <c r="E6" s="250"/>
      <c r="F6" s="250"/>
      <c r="G6" s="257"/>
      <c r="H6" s="258"/>
      <c r="I6" s="258"/>
      <c r="J6" s="258"/>
      <c r="K6" s="258"/>
      <c r="L6" s="258"/>
      <c r="M6" s="258"/>
      <c r="N6" s="258"/>
      <c r="O6" s="258"/>
      <c r="P6" s="258"/>
      <c r="Q6" s="259"/>
      <c r="R6" s="240"/>
      <c r="S6" s="241"/>
      <c r="T6" s="242"/>
      <c r="U6" s="263"/>
      <c r="V6" s="264"/>
      <c r="W6" s="264"/>
      <c r="X6" s="264"/>
      <c r="Y6" s="264"/>
      <c r="Z6" s="265"/>
    </row>
    <row r="7" spans="2:28" s="7" customFormat="1" ht="17.100000000000001" customHeight="1">
      <c r="B7" s="11"/>
      <c r="C7" s="250"/>
      <c r="D7" s="250"/>
      <c r="E7" s="250"/>
      <c r="F7" s="250"/>
      <c r="G7" s="236" t="s">
        <v>330</v>
      </c>
      <c r="H7" s="236"/>
      <c r="I7" s="236"/>
      <c r="J7" s="236"/>
      <c r="K7" s="236"/>
      <c r="L7" s="236"/>
      <c r="M7" s="236"/>
      <c r="N7" s="236"/>
      <c r="O7" s="236"/>
      <c r="P7" s="236"/>
      <c r="Q7" s="236"/>
      <c r="R7" s="237" t="s">
        <v>140</v>
      </c>
      <c r="S7" s="238"/>
      <c r="T7" s="239"/>
      <c r="U7" s="243" t="s">
        <v>388</v>
      </c>
      <c r="V7" s="244"/>
      <c r="W7" s="244"/>
      <c r="X7" s="244"/>
      <c r="Y7" s="244"/>
      <c r="Z7" s="245"/>
    </row>
    <row r="8" spans="2:28" s="7" customFormat="1" ht="17.100000000000001" customHeight="1">
      <c r="B8" s="11"/>
      <c r="C8" s="250"/>
      <c r="D8" s="250"/>
      <c r="E8" s="250"/>
      <c r="F8" s="250"/>
      <c r="G8" s="266" t="s">
        <v>410</v>
      </c>
      <c r="H8" s="267"/>
      <c r="I8" s="267"/>
      <c r="J8" s="267"/>
      <c r="K8" s="267"/>
      <c r="L8" s="267"/>
      <c r="M8" s="267"/>
      <c r="N8" s="267"/>
      <c r="O8" s="267"/>
      <c r="P8" s="267"/>
      <c r="Q8" s="268"/>
      <c r="R8" s="240"/>
      <c r="S8" s="241"/>
      <c r="T8" s="242"/>
      <c r="U8" s="246"/>
      <c r="V8" s="247"/>
      <c r="W8" s="247"/>
      <c r="X8" s="247"/>
      <c r="Y8" s="247"/>
      <c r="Z8" s="248"/>
    </row>
    <row r="9" spans="2:28" s="7" customFormat="1" ht="17.100000000000001" customHeight="1">
      <c r="B9" s="11"/>
      <c r="C9" s="250"/>
      <c r="D9" s="250"/>
      <c r="E9" s="250"/>
      <c r="F9" s="250"/>
      <c r="G9" s="269"/>
      <c r="H9" s="270"/>
      <c r="I9" s="270"/>
      <c r="J9" s="270"/>
      <c r="K9" s="270"/>
      <c r="L9" s="270"/>
      <c r="M9" s="270"/>
      <c r="N9" s="270"/>
      <c r="O9" s="270"/>
      <c r="P9" s="270"/>
      <c r="Q9" s="271"/>
      <c r="R9" s="237" t="s">
        <v>141</v>
      </c>
      <c r="S9" s="238"/>
      <c r="T9" s="239"/>
      <c r="U9" s="243" t="s">
        <v>406</v>
      </c>
      <c r="V9" s="244"/>
      <c r="W9" s="244"/>
      <c r="X9" s="244"/>
      <c r="Y9" s="244"/>
      <c r="Z9" s="245"/>
    </row>
    <row r="10" spans="2:28" s="7" customFormat="1" ht="17.100000000000001" customHeight="1">
      <c r="B10" s="11"/>
      <c r="C10" s="250"/>
      <c r="D10" s="250"/>
      <c r="E10" s="250"/>
      <c r="F10" s="250"/>
      <c r="G10" s="272"/>
      <c r="H10" s="273"/>
      <c r="I10" s="273"/>
      <c r="J10" s="273"/>
      <c r="K10" s="273"/>
      <c r="L10" s="273"/>
      <c r="M10" s="273"/>
      <c r="N10" s="273"/>
      <c r="O10" s="273"/>
      <c r="P10" s="273"/>
      <c r="Q10" s="274"/>
      <c r="R10" s="240"/>
      <c r="S10" s="241"/>
      <c r="T10" s="242"/>
      <c r="U10" s="246"/>
      <c r="V10" s="247"/>
      <c r="W10" s="247"/>
      <c r="X10" s="247"/>
      <c r="Y10" s="247"/>
      <c r="Z10" s="248"/>
    </row>
    <row r="11" spans="2:28" s="7" customFormat="1" ht="33" customHeight="1">
      <c r="B11" s="11"/>
      <c r="C11" s="250"/>
      <c r="D11" s="250"/>
      <c r="E11" s="250"/>
      <c r="F11" s="250"/>
      <c r="G11" s="236" t="s">
        <v>142</v>
      </c>
      <c r="H11" s="236"/>
      <c r="I11" s="236"/>
      <c r="J11" s="236"/>
      <c r="K11" s="236"/>
      <c r="L11" s="236"/>
      <c r="M11" s="236"/>
      <c r="N11" s="236"/>
      <c r="O11" s="236"/>
      <c r="P11" s="236"/>
      <c r="Q11" s="236"/>
      <c r="R11" s="236"/>
      <c r="S11" s="236"/>
      <c r="T11" s="236"/>
      <c r="U11" s="275" t="s">
        <v>143</v>
      </c>
      <c r="V11" s="275"/>
      <c r="W11" s="275"/>
      <c r="X11" s="275" t="s">
        <v>144</v>
      </c>
      <c r="Y11" s="275"/>
      <c r="Z11" s="275"/>
    </row>
    <row r="12" spans="2:28" s="7" customFormat="1" ht="17.100000000000001" customHeight="1">
      <c r="B12" s="11"/>
      <c r="C12" s="250"/>
      <c r="D12" s="250"/>
      <c r="E12" s="250"/>
      <c r="F12" s="250"/>
      <c r="G12" s="283" t="s">
        <v>495</v>
      </c>
      <c r="H12" s="267"/>
      <c r="I12" s="267"/>
      <c r="J12" s="267"/>
      <c r="K12" s="267"/>
      <c r="L12" s="267"/>
      <c r="M12" s="267"/>
      <c r="N12" s="267"/>
      <c r="O12" s="267"/>
      <c r="P12" s="267"/>
      <c r="Q12" s="267"/>
      <c r="R12" s="267"/>
      <c r="S12" s="267"/>
      <c r="T12" s="268"/>
      <c r="U12" s="276" t="s">
        <v>494</v>
      </c>
      <c r="V12" s="276"/>
      <c r="W12" s="276"/>
      <c r="X12" s="276" t="s">
        <v>491</v>
      </c>
      <c r="Y12" s="276"/>
      <c r="Z12" s="276"/>
    </row>
    <row r="13" spans="2:28" s="7" customFormat="1" ht="17.100000000000001" customHeight="1">
      <c r="B13" s="11"/>
      <c r="C13" s="250"/>
      <c r="D13" s="250"/>
      <c r="E13" s="250"/>
      <c r="F13" s="250"/>
      <c r="G13" s="269"/>
      <c r="H13" s="270"/>
      <c r="I13" s="270"/>
      <c r="J13" s="270"/>
      <c r="K13" s="270"/>
      <c r="L13" s="270"/>
      <c r="M13" s="270"/>
      <c r="N13" s="270"/>
      <c r="O13" s="270"/>
      <c r="P13" s="270"/>
      <c r="Q13" s="270"/>
      <c r="R13" s="270"/>
      <c r="S13" s="270"/>
      <c r="T13" s="271"/>
      <c r="U13" s="276"/>
      <c r="V13" s="276"/>
      <c r="W13" s="276"/>
      <c r="X13" s="276"/>
      <c r="Y13" s="276"/>
      <c r="Z13" s="276"/>
    </row>
    <row r="14" spans="2:28" s="7" customFormat="1" ht="17.100000000000001" customHeight="1">
      <c r="B14" s="11"/>
      <c r="C14" s="250"/>
      <c r="D14" s="250"/>
      <c r="E14" s="250"/>
      <c r="F14" s="250"/>
      <c r="G14" s="269"/>
      <c r="H14" s="270"/>
      <c r="I14" s="270"/>
      <c r="J14" s="270"/>
      <c r="K14" s="270"/>
      <c r="L14" s="270"/>
      <c r="M14" s="270"/>
      <c r="N14" s="270"/>
      <c r="O14" s="270"/>
      <c r="P14" s="270"/>
      <c r="Q14" s="270"/>
      <c r="R14" s="270"/>
      <c r="S14" s="270"/>
      <c r="T14" s="271"/>
      <c r="U14" s="276"/>
      <c r="V14" s="276"/>
      <c r="W14" s="276"/>
      <c r="X14" s="276"/>
      <c r="Y14" s="276"/>
      <c r="Z14" s="276"/>
    </row>
    <row r="15" spans="2:28" s="7" customFormat="1" ht="17.100000000000001" customHeight="1">
      <c r="B15" s="11"/>
      <c r="C15" s="250"/>
      <c r="D15" s="250"/>
      <c r="E15" s="250"/>
      <c r="F15" s="250"/>
      <c r="G15" s="272"/>
      <c r="H15" s="273"/>
      <c r="I15" s="273"/>
      <c r="J15" s="273"/>
      <c r="K15" s="273"/>
      <c r="L15" s="273"/>
      <c r="M15" s="273"/>
      <c r="N15" s="273"/>
      <c r="O15" s="273"/>
      <c r="P15" s="273"/>
      <c r="Q15" s="273"/>
      <c r="R15" s="273"/>
      <c r="S15" s="273"/>
      <c r="T15" s="274"/>
      <c r="U15" s="276"/>
      <c r="V15" s="276"/>
      <c r="W15" s="276"/>
      <c r="X15" s="276"/>
      <c r="Y15" s="276"/>
      <c r="Z15" s="276"/>
    </row>
    <row r="16" spans="2:28" s="7" customFormat="1" ht="17.100000000000001" customHeight="1">
      <c r="B16" s="12"/>
      <c r="C16" s="250"/>
      <c r="D16" s="250"/>
      <c r="E16" s="250"/>
      <c r="F16" s="250"/>
      <c r="G16" s="277" t="s">
        <v>145</v>
      </c>
      <c r="H16" s="278"/>
      <c r="I16" s="278"/>
      <c r="J16" s="278"/>
      <c r="K16" s="279"/>
      <c r="L16" s="280">
        <v>21038</v>
      </c>
      <c r="M16" s="281"/>
      <c r="N16" s="281"/>
      <c r="O16" s="281"/>
      <c r="P16" s="281"/>
      <c r="Q16" s="281"/>
      <c r="R16" s="281"/>
      <c r="S16" s="281"/>
      <c r="T16" s="282"/>
      <c r="U16" s="276"/>
      <c r="V16" s="276"/>
      <c r="W16" s="276"/>
      <c r="X16" s="276"/>
      <c r="Y16" s="276"/>
      <c r="Z16" s="276"/>
    </row>
    <row r="17" spans="2:26" s="7" customFormat="1" ht="15.75" customHeight="1">
      <c r="B17" s="12"/>
      <c r="E17" s="13"/>
      <c r="L17" s="12"/>
    </row>
    <row r="18" spans="2:26" s="14" customFormat="1" ht="16.5">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54.75" customHeight="1">
      <c r="C19" s="167" t="s">
        <v>147</v>
      </c>
      <c r="D19" s="167"/>
      <c r="E19" s="167"/>
      <c r="F19" s="167"/>
      <c r="G19" s="284" t="s">
        <v>461</v>
      </c>
      <c r="H19" s="284"/>
      <c r="I19" s="284"/>
      <c r="J19" s="284"/>
      <c r="K19" s="284"/>
      <c r="L19" s="284"/>
      <c r="M19" s="284"/>
      <c r="N19" s="284"/>
      <c r="O19" s="284"/>
      <c r="P19" s="284"/>
      <c r="Q19" s="284"/>
      <c r="R19" s="284"/>
      <c r="S19" s="284"/>
      <c r="T19" s="284"/>
      <c r="U19" s="284"/>
      <c r="V19" s="284"/>
      <c r="W19" s="284"/>
      <c r="X19" s="284"/>
      <c r="Y19" s="284"/>
      <c r="Z19" s="284"/>
    </row>
    <row r="20" spans="2:26" ht="16.5">
      <c r="C20" s="298" t="s">
        <v>148</v>
      </c>
      <c r="D20" s="298"/>
      <c r="E20" s="298"/>
      <c r="F20" s="298"/>
      <c r="G20" s="296" t="s">
        <v>389</v>
      </c>
      <c r="H20" s="296"/>
      <c r="I20" s="296"/>
      <c r="J20" s="296"/>
      <c r="K20" s="299" t="s">
        <v>108</v>
      </c>
      <c r="L20" s="300"/>
      <c r="M20" s="301"/>
      <c r="N20" s="227" t="s">
        <v>339</v>
      </c>
      <c r="O20" s="227"/>
      <c r="P20" s="227"/>
      <c r="Q20" s="227"/>
      <c r="R20" s="227"/>
      <c r="S20" s="227"/>
      <c r="T20" s="227"/>
    </row>
    <row r="21" spans="2:26" ht="27.75" customHeight="1">
      <c r="C21" s="285" t="s">
        <v>149</v>
      </c>
      <c r="D21" s="286"/>
      <c r="E21" s="286"/>
      <c r="F21" s="287"/>
      <c r="G21" s="297" t="s">
        <v>409</v>
      </c>
      <c r="H21" s="296"/>
      <c r="I21" s="296"/>
      <c r="J21" s="296"/>
      <c r="K21" s="299" t="s">
        <v>150</v>
      </c>
      <c r="L21" s="300"/>
      <c r="M21" s="301"/>
      <c r="N21" s="302" t="s">
        <v>469</v>
      </c>
      <c r="O21" s="303"/>
      <c r="P21" s="303"/>
      <c r="Q21" s="303"/>
      <c r="R21" s="303"/>
      <c r="S21" s="303"/>
      <c r="T21" s="304"/>
    </row>
    <row r="22" spans="2:26" s="14" customFormat="1" ht="16.5">
      <c r="C22" s="18" t="s">
        <v>151</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159" t="s">
        <v>152</v>
      </c>
      <c r="D23" s="160"/>
      <c r="E23" s="160"/>
      <c r="F23" s="161"/>
      <c r="G23" s="221" t="s">
        <v>153</v>
      </c>
      <c r="H23" s="222"/>
      <c r="I23" s="288"/>
      <c r="J23" s="288"/>
      <c r="K23" s="289" t="s">
        <v>154</v>
      </c>
      <c r="L23" s="290"/>
      <c r="M23" s="288"/>
      <c r="N23" s="288"/>
      <c r="O23" s="289" t="s">
        <v>155</v>
      </c>
      <c r="P23" s="290"/>
      <c r="Q23" s="291"/>
      <c r="R23" s="292"/>
      <c r="S23" s="293" t="s">
        <v>156</v>
      </c>
      <c r="T23" s="294"/>
      <c r="U23" s="291" t="s">
        <v>473</v>
      </c>
      <c r="V23" s="295"/>
      <c r="W23" s="295"/>
      <c r="X23" s="295"/>
      <c r="Y23" s="295"/>
      <c r="Z23" s="292"/>
    </row>
    <row r="24" spans="2:26" ht="36" customHeight="1">
      <c r="C24" s="162"/>
      <c r="D24" s="163"/>
      <c r="E24" s="163"/>
      <c r="F24" s="164"/>
      <c r="G24" s="221" t="s">
        <v>157</v>
      </c>
      <c r="H24" s="222"/>
      <c r="I24" s="223" t="s">
        <v>474</v>
      </c>
      <c r="J24" s="223"/>
      <c r="K24" s="223"/>
      <c r="L24" s="223"/>
      <c r="M24" s="223"/>
      <c r="N24" s="223"/>
      <c r="O24" s="223"/>
      <c r="P24" s="223"/>
      <c r="Q24" s="223"/>
      <c r="R24" s="223"/>
      <c r="S24" s="223"/>
      <c r="T24" s="223"/>
      <c r="U24" s="223"/>
      <c r="V24" s="223"/>
      <c r="W24" s="223"/>
      <c r="X24" s="223"/>
      <c r="Y24" s="223"/>
      <c r="Z24" s="223"/>
    </row>
    <row r="25" spans="2:26" ht="61.5" customHeight="1">
      <c r="C25" s="167" t="s">
        <v>158</v>
      </c>
      <c r="D25" s="167"/>
      <c r="E25" s="167"/>
      <c r="F25" s="167"/>
      <c r="G25" s="165" t="s">
        <v>159</v>
      </c>
      <c r="H25" s="170"/>
      <c r="I25" s="235"/>
      <c r="J25" s="235"/>
      <c r="K25" s="221" t="s">
        <v>160</v>
      </c>
      <c r="L25" s="222"/>
      <c r="M25" s="229"/>
      <c r="N25" s="229"/>
      <c r="O25" s="165" t="s">
        <v>161</v>
      </c>
      <c r="P25" s="170"/>
      <c r="Q25" s="230"/>
      <c r="R25" s="231"/>
      <c r="S25" s="165" t="s">
        <v>162</v>
      </c>
      <c r="T25" s="165"/>
      <c r="U25" s="227"/>
      <c r="V25" s="227"/>
      <c r="W25" s="22" t="s">
        <v>163</v>
      </c>
      <c r="X25" s="232"/>
      <c r="Y25" s="233"/>
      <c r="Z25" s="234"/>
    </row>
    <row r="26" spans="2:26" ht="61.5" customHeight="1">
      <c r="C26" s="168" t="s">
        <v>164</v>
      </c>
      <c r="D26" s="216"/>
      <c r="E26" s="216"/>
      <c r="F26" s="169"/>
      <c r="G26" s="224" t="s">
        <v>165</v>
      </c>
      <c r="H26" s="225"/>
      <c r="I26" s="226" t="s">
        <v>490</v>
      </c>
      <c r="J26" s="226"/>
      <c r="K26" s="165" t="s">
        <v>166</v>
      </c>
      <c r="L26" s="170"/>
      <c r="M26" s="226" t="s">
        <v>490</v>
      </c>
      <c r="N26" s="226"/>
      <c r="O26" s="165" t="s">
        <v>167</v>
      </c>
      <c r="P26" s="165"/>
      <c r="Q26" s="227">
        <v>2</v>
      </c>
      <c r="R26" s="227"/>
      <c r="S26" s="165" t="s">
        <v>168</v>
      </c>
      <c r="T26" s="170"/>
      <c r="U26" s="228">
        <f>SUM(Z35:Z44)</f>
        <v>1.6</v>
      </c>
      <c r="V26" s="228"/>
      <c r="W26" s="23"/>
      <c r="X26" s="24"/>
      <c r="Y26" s="24"/>
      <c r="Z26" s="24"/>
    </row>
    <row r="27" spans="2:26" ht="16.5">
      <c r="C27" s="16" t="s">
        <v>169</v>
      </c>
    </row>
    <row r="28" spans="2:26" ht="69.75" customHeight="1">
      <c r="C28" s="173" t="s">
        <v>170</v>
      </c>
      <c r="D28" s="174"/>
      <c r="E28" s="174"/>
      <c r="F28" s="174"/>
      <c r="G28" s="175"/>
      <c r="H28" s="168" t="s">
        <v>171</v>
      </c>
      <c r="I28" s="171"/>
      <c r="J28" s="171"/>
      <c r="K28" s="171"/>
      <c r="L28" s="171"/>
      <c r="M28" s="172"/>
      <c r="N28" s="299" t="s">
        <v>172</v>
      </c>
      <c r="O28" s="332"/>
      <c r="P28" s="332"/>
      <c r="Q28" s="332"/>
      <c r="R28" s="332"/>
      <c r="S28" s="333"/>
      <c r="U28" s="62" t="s">
        <v>341</v>
      </c>
      <c r="V28" s="62" t="s">
        <v>342</v>
      </c>
      <c r="W28" s="155" t="s">
        <v>348</v>
      </c>
      <c r="X28" s="156"/>
      <c r="Y28" s="155" t="s">
        <v>343</v>
      </c>
      <c r="Z28" s="156"/>
    </row>
    <row r="29" spans="2:26" ht="39" customHeight="1">
      <c r="C29" s="176"/>
      <c r="D29" s="177"/>
      <c r="E29" s="177"/>
      <c r="F29" s="177"/>
      <c r="G29" s="178"/>
      <c r="H29" s="168" t="s">
        <v>173</v>
      </c>
      <c r="I29" s="169"/>
      <c r="J29" s="165" t="s">
        <v>174</v>
      </c>
      <c r="K29" s="170"/>
      <c r="L29" s="165" t="s">
        <v>175</v>
      </c>
      <c r="M29" s="170"/>
      <c r="N29" s="299" t="s">
        <v>173</v>
      </c>
      <c r="O29" s="301"/>
      <c r="P29" s="191" t="s">
        <v>174</v>
      </c>
      <c r="Q29" s="334"/>
      <c r="R29" s="191" t="s">
        <v>175</v>
      </c>
      <c r="S29" s="334"/>
      <c r="U29" s="59">
        <v>33</v>
      </c>
      <c r="V29" s="62" t="s">
        <v>344</v>
      </c>
      <c r="W29" s="59">
        <f t="shared" ref="W29:Z31" si="0">SUMIF($V$34:$V$45,$V29,W$34:W$45)</f>
        <v>5.4516000000000009</v>
      </c>
      <c r="X29" s="59">
        <f t="shared" si="0"/>
        <v>4</v>
      </c>
      <c r="Y29" s="60">
        <f t="shared" si="0"/>
        <v>1.6718172146511983</v>
      </c>
      <c r="Z29" s="60">
        <f t="shared" si="0"/>
        <v>1.6</v>
      </c>
    </row>
    <row r="30" spans="2:26" ht="31.5" customHeight="1">
      <c r="C30" s="168" t="s">
        <v>176</v>
      </c>
      <c r="D30" s="216"/>
      <c r="E30" s="216"/>
      <c r="F30" s="216"/>
      <c r="G30" s="169"/>
      <c r="H30" s="205">
        <v>0.16520000000000001</v>
      </c>
      <c r="I30" s="205"/>
      <c r="J30" s="205" t="s">
        <v>390</v>
      </c>
      <c r="K30" s="205"/>
      <c r="L30" s="205" t="s">
        <v>390</v>
      </c>
      <c r="M30" s="205"/>
      <c r="N30" s="335">
        <f>IFERROR(SUMIF(V34:V45,"Page",X34:X45)/SUMIF(V34:V45,"Page",T34:U45),0)</f>
        <v>0.12121212121212122</v>
      </c>
      <c r="O30" s="335"/>
      <c r="P30" s="335">
        <f>IFERROR(SUMIF(V34:V45,"Line",X34:X45)/SUMIF(V34:V45,"Line",T34:U45),0)</f>
        <v>0</v>
      </c>
      <c r="Q30" s="335"/>
      <c r="R30" s="335">
        <f>IFERROR(SUMIF(V34:V45,"Number",X34:X45)/SUMIF(V34:V45,"Number",T34:U45),0)</f>
        <v>0</v>
      </c>
      <c r="S30" s="335"/>
      <c r="U30" s="59">
        <f>SUMIF($V$34:$V$45,$V30,T$34:T$45)</f>
        <v>0</v>
      </c>
      <c r="V30" s="62" t="s">
        <v>345</v>
      </c>
      <c r="W30" s="59">
        <f t="shared" si="0"/>
        <v>0</v>
      </c>
      <c r="X30" s="59">
        <f t="shared" si="0"/>
        <v>0</v>
      </c>
      <c r="Y30" s="60">
        <f t="shared" si="0"/>
        <v>0</v>
      </c>
      <c r="Z30" s="60">
        <f t="shared" si="0"/>
        <v>0</v>
      </c>
    </row>
    <row r="31" spans="2:26" ht="35.25" customHeight="1">
      <c r="C31" s="168" t="s">
        <v>177</v>
      </c>
      <c r="D31" s="216"/>
      <c r="E31" s="216"/>
      <c r="F31" s="216"/>
      <c r="G31" s="169"/>
      <c r="H31" s="206">
        <v>19.739000000000001</v>
      </c>
      <c r="I31" s="206"/>
      <c r="J31" s="206" t="s">
        <v>390</v>
      </c>
      <c r="K31" s="206"/>
      <c r="L31" s="206" t="s">
        <v>390</v>
      </c>
      <c r="M31" s="206"/>
      <c r="N31" s="220">
        <f>IFERROR(SUMIF(V34:V45,"Page",T34:U45)/SUMIF(V34:V45,"Page",Z34:Z45),0)</f>
        <v>20.625</v>
      </c>
      <c r="O31" s="220"/>
      <c r="P31" s="220">
        <f>IFERROR(SUMIF(V34:V45,"Line",T34:U45)/SUMIF(V34:V45,"Line",Z34:Z45),0)</f>
        <v>0</v>
      </c>
      <c r="Q31" s="220"/>
      <c r="R31" s="220">
        <f>IFERROR(SUMIF(V34:V45,"Number",T34:U45)/SUMIF(V34:V45,"Number",Z34:Z45),0)</f>
        <v>0</v>
      </c>
      <c r="S31" s="220"/>
      <c r="U31" s="59">
        <f>SUMIF($V$34:$V$45,$V31,T$34:T$45)</f>
        <v>0</v>
      </c>
      <c r="V31" s="62" t="s">
        <v>346</v>
      </c>
      <c r="W31" s="59">
        <f t="shared" si="0"/>
        <v>0</v>
      </c>
      <c r="X31" s="59">
        <f t="shared" si="0"/>
        <v>0</v>
      </c>
      <c r="Y31" s="60">
        <f t="shared" si="0"/>
        <v>0</v>
      </c>
      <c r="Z31" s="60">
        <f t="shared" si="0"/>
        <v>0</v>
      </c>
    </row>
    <row r="32" spans="2:26" ht="16.5" customHeight="1">
      <c r="C32" s="15" t="s">
        <v>178</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217" t="s">
        <v>386</v>
      </c>
      <c r="D33" s="218"/>
      <c r="E33" s="159" t="s">
        <v>179</v>
      </c>
      <c r="F33" s="207"/>
      <c r="G33" s="207"/>
      <c r="H33" s="207"/>
      <c r="I33" s="207"/>
      <c r="J33" s="207"/>
      <c r="K33" s="207"/>
      <c r="L33" s="210" t="s">
        <v>180</v>
      </c>
      <c r="M33" s="211"/>
      <c r="N33" s="211"/>
      <c r="O33" s="211"/>
      <c r="P33" s="211"/>
      <c r="Q33" s="210" t="s">
        <v>181</v>
      </c>
      <c r="R33" s="211"/>
      <c r="S33" s="214"/>
      <c r="T33" s="305" t="s">
        <v>182</v>
      </c>
      <c r="U33" s="306"/>
      <c r="V33" s="309" t="s">
        <v>183</v>
      </c>
      <c r="W33" s="309" t="s">
        <v>184</v>
      </c>
      <c r="X33" s="309"/>
      <c r="Y33" s="309" t="s">
        <v>185</v>
      </c>
      <c r="Z33" s="310"/>
      <c r="BL33" s="16" t="s">
        <v>186</v>
      </c>
    </row>
    <row r="34" spans="3:64" ht="50.25" customHeight="1">
      <c r="C34" s="208"/>
      <c r="D34" s="219"/>
      <c r="E34" s="208"/>
      <c r="F34" s="209"/>
      <c r="G34" s="209"/>
      <c r="H34" s="209"/>
      <c r="I34" s="209"/>
      <c r="J34" s="209"/>
      <c r="K34" s="209"/>
      <c r="L34" s="212"/>
      <c r="M34" s="213"/>
      <c r="N34" s="213"/>
      <c r="O34" s="213"/>
      <c r="P34" s="213"/>
      <c r="Q34" s="212"/>
      <c r="R34" s="213"/>
      <c r="S34" s="215"/>
      <c r="T34" s="307"/>
      <c r="U34" s="308"/>
      <c r="V34" s="309"/>
      <c r="W34" s="26" t="s">
        <v>187</v>
      </c>
      <c r="X34" s="17" t="s">
        <v>188</v>
      </c>
      <c r="Y34" s="26" t="s">
        <v>187</v>
      </c>
      <c r="Z34" s="26" t="s">
        <v>188</v>
      </c>
    </row>
    <row r="35" spans="3:64" ht="18" customHeight="1">
      <c r="C35" s="199">
        <v>1</v>
      </c>
      <c r="D35" s="169"/>
      <c r="E35" s="182" t="s">
        <v>475</v>
      </c>
      <c r="F35" s="183"/>
      <c r="G35" s="183"/>
      <c r="H35" s="183"/>
      <c r="I35" s="183"/>
      <c r="J35" s="183"/>
      <c r="K35" s="184"/>
      <c r="L35" s="182" t="s">
        <v>476</v>
      </c>
      <c r="M35" s="183"/>
      <c r="N35" s="183"/>
      <c r="O35" s="183"/>
      <c r="P35" s="184"/>
      <c r="Q35" s="200">
        <v>1.1000000000000001</v>
      </c>
      <c r="R35" s="201"/>
      <c r="S35" s="202"/>
      <c r="T35" s="194">
        <v>32</v>
      </c>
      <c r="U35" s="195"/>
      <c r="V35" s="55" t="s">
        <v>391</v>
      </c>
      <c r="W35" s="27">
        <f>IF(V35="Page",$H$30*T35,IF(V35="Line",$J$30*T35,IF(V35="Number",$L$30*T35,"")))</f>
        <v>5.2864000000000004</v>
      </c>
      <c r="X35" s="28">
        <f>COUNTIF(AA$49:AA$99,C35)</f>
        <v>4</v>
      </c>
      <c r="Y35" s="27">
        <f>IFERROR(IF(V35="Page",T35/$H$31,IF(V35="Line",T35/$J$31,IF(V35="Number",T35/$L$31,""))),"")</f>
        <v>1.6211560869344952</v>
      </c>
      <c r="Z35" s="56">
        <f>(1.5+1.5)/2</f>
        <v>1.5</v>
      </c>
    </row>
    <row r="36" spans="3:64" ht="18" customHeight="1">
      <c r="C36" s="199">
        <v>2</v>
      </c>
      <c r="D36" s="169"/>
      <c r="E36" s="182" t="s">
        <v>463</v>
      </c>
      <c r="F36" s="183"/>
      <c r="G36" s="183"/>
      <c r="H36" s="183"/>
      <c r="I36" s="183"/>
      <c r="J36" s="183"/>
      <c r="K36" s="184"/>
      <c r="L36" s="182" t="s">
        <v>477</v>
      </c>
      <c r="M36" s="183"/>
      <c r="N36" s="183"/>
      <c r="O36" s="183"/>
      <c r="P36" s="183"/>
      <c r="Q36" s="186" t="s">
        <v>225</v>
      </c>
      <c r="R36" s="187"/>
      <c r="S36" s="188"/>
      <c r="T36" s="189" t="s">
        <v>225</v>
      </c>
      <c r="U36" s="190"/>
      <c r="V36" s="55" t="s">
        <v>2</v>
      </c>
      <c r="W36" s="27" t="str">
        <f>IF(V36="Page",$H$30*T36,IF(V36="Line",$J$30*T36,IF(V36="Number",$L$30*T36,"")))</f>
        <v/>
      </c>
      <c r="X36" s="28" t="str">
        <f t="shared" ref="X36:X45" si="1">IF(AND($V36&lt;&gt;"(Select)",$V36&lt;&gt;""),COUNTIF(AA$48:AA$99,C36),"")</f>
        <v/>
      </c>
      <c r="Y36" s="27" t="str">
        <f>IFERROR(IF(V36="Page",T36/$H$31,IF(V36="Line",T36/$J$31,IF(V36="Number",T36/$L$31,""))),"")</f>
        <v/>
      </c>
      <c r="Z36" s="56"/>
    </row>
    <row r="37" spans="3:64" ht="18" customHeight="1">
      <c r="C37" s="199">
        <v>3</v>
      </c>
      <c r="D37" s="169"/>
      <c r="E37" s="182" t="s">
        <v>464</v>
      </c>
      <c r="F37" s="183"/>
      <c r="G37" s="183"/>
      <c r="H37" s="183"/>
      <c r="I37" s="183"/>
      <c r="J37" s="183"/>
      <c r="K37" s="184"/>
      <c r="L37" s="182" t="s">
        <v>478</v>
      </c>
      <c r="M37" s="183"/>
      <c r="N37" s="183"/>
      <c r="O37" s="183"/>
      <c r="P37" s="183"/>
      <c r="Q37" s="186" t="s">
        <v>225</v>
      </c>
      <c r="R37" s="187"/>
      <c r="S37" s="188"/>
      <c r="T37" s="189" t="s">
        <v>225</v>
      </c>
      <c r="U37" s="190"/>
      <c r="V37" s="55" t="s">
        <v>2</v>
      </c>
      <c r="W37" s="27" t="str">
        <f>IF(V37="Page",$H$30*T37,IF(V37="Line",$J$30*T37,IF(V37="Number",$L$30*T37,"")))</f>
        <v/>
      </c>
      <c r="X37" s="28" t="str">
        <f t="shared" si="1"/>
        <v/>
      </c>
      <c r="Y37" s="27" t="str">
        <f>IFERROR(IF(V37="Page",T37/$H$31,IF(V37="Line",T37/$J$31,IF(V37="Number",T37/$L$31,""))),"")</f>
        <v/>
      </c>
      <c r="Z37" s="56"/>
    </row>
    <row r="38" spans="3:64" ht="18" customHeight="1">
      <c r="C38" s="199">
        <v>4</v>
      </c>
      <c r="D38" s="169"/>
      <c r="E38" s="182" t="s">
        <v>465</v>
      </c>
      <c r="F38" s="183"/>
      <c r="G38" s="183"/>
      <c r="H38" s="183"/>
      <c r="I38" s="183"/>
      <c r="J38" s="183"/>
      <c r="K38" s="184"/>
      <c r="L38" s="182" t="s">
        <v>479</v>
      </c>
      <c r="M38" s="183"/>
      <c r="N38" s="183"/>
      <c r="O38" s="183"/>
      <c r="P38" s="184"/>
      <c r="Q38" s="186" t="s">
        <v>225</v>
      </c>
      <c r="R38" s="187"/>
      <c r="S38" s="188"/>
      <c r="T38" s="189">
        <v>1</v>
      </c>
      <c r="U38" s="190"/>
      <c r="V38" s="55" t="s">
        <v>391</v>
      </c>
      <c r="W38" s="27">
        <f t="shared" ref="W38:W45" si="2">IF(V38="Page",$H$30*T38,IF(V38="Line",$J$30*T38,IF(V38="Number",$L$30*T38,"")))</f>
        <v>0.16520000000000001</v>
      </c>
      <c r="X38" s="28">
        <f t="shared" si="1"/>
        <v>0</v>
      </c>
      <c r="Y38" s="27">
        <f t="shared" ref="Y38:Y45" si="3">IFERROR(IF(V38="Page",T38/$H$31,IF(V38="Line",T38/$J$31,IF(V38="Number",T38/$L$31,""))),"")</f>
        <v>5.0661127716702975E-2</v>
      </c>
      <c r="Z38" s="56">
        <f>(0.1+0.1)/2</f>
        <v>0.1</v>
      </c>
    </row>
    <row r="39" spans="3:64" ht="18" customHeight="1">
      <c r="C39" s="199">
        <v>5</v>
      </c>
      <c r="D39" s="169"/>
      <c r="E39" s="315"/>
      <c r="F39" s="316"/>
      <c r="G39" s="316"/>
      <c r="H39" s="316"/>
      <c r="I39" s="316"/>
      <c r="J39" s="316"/>
      <c r="K39" s="317"/>
      <c r="L39" s="315"/>
      <c r="M39" s="316"/>
      <c r="N39" s="316"/>
      <c r="O39" s="316"/>
      <c r="P39" s="317"/>
      <c r="Q39" s="186"/>
      <c r="R39" s="187"/>
      <c r="S39" s="188"/>
      <c r="T39" s="189"/>
      <c r="U39" s="190"/>
      <c r="V39" s="55" t="s">
        <v>2</v>
      </c>
      <c r="W39" s="27" t="str">
        <f t="shared" si="2"/>
        <v/>
      </c>
      <c r="X39" s="28" t="str">
        <f t="shared" si="1"/>
        <v/>
      </c>
      <c r="Y39" s="27" t="str">
        <f t="shared" si="3"/>
        <v/>
      </c>
      <c r="Z39" s="56"/>
    </row>
    <row r="40" spans="3:64" ht="18" customHeight="1">
      <c r="C40" s="199">
        <v>6</v>
      </c>
      <c r="D40" s="169"/>
      <c r="E40" s="182"/>
      <c r="F40" s="183"/>
      <c r="G40" s="183"/>
      <c r="H40" s="183"/>
      <c r="I40" s="183"/>
      <c r="J40" s="183"/>
      <c r="K40" s="184"/>
      <c r="L40" s="182"/>
      <c r="M40" s="183"/>
      <c r="N40" s="183"/>
      <c r="O40" s="183"/>
      <c r="P40" s="184"/>
      <c r="Q40" s="179"/>
      <c r="R40" s="180"/>
      <c r="S40" s="181"/>
      <c r="T40" s="194"/>
      <c r="U40" s="195"/>
      <c r="V40" s="55" t="s">
        <v>2</v>
      </c>
      <c r="W40" s="27" t="str">
        <f t="shared" si="2"/>
        <v/>
      </c>
      <c r="X40" s="28" t="str">
        <f t="shared" si="1"/>
        <v/>
      </c>
      <c r="Y40" s="27" t="str">
        <f t="shared" si="3"/>
        <v/>
      </c>
      <c r="Z40" s="56"/>
    </row>
    <row r="41" spans="3:64" ht="18" customHeight="1">
      <c r="C41" s="199">
        <v>7</v>
      </c>
      <c r="D41" s="169"/>
      <c r="E41" s="182"/>
      <c r="F41" s="183"/>
      <c r="G41" s="183"/>
      <c r="H41" s="183"/>
      <c r="I41" s="183"/>
      <c r="J41" s="183"/>
      <c r="K41" s="184"/>
      <c r="L41" s="182"/>
      <c r="M41" s="183"/>
      <c r="N41" s="183"/>
      <c r="O41" s="183"/>
      <c r="P41" s="184"/>
      <c r="Q41" s="179"/>
      <c r="R41" s="180"/>
      <c r="S41" s="181"/>
      <c r="T41" s="194"/>
      <c r="U41" s="195"/>
      <c r="V41" s="55" t="s">
        <v>2</v>
      </c>
      <c r="W41" s="27" t="str">
        <f t="shared" si="2"/>
        <v/>
      </c>
      <c r="X41" s="28" t="str">
        <f t="shared" si="1"/>
        <v/>
      </c>
      <c r="Y41" s="27" t="str">
        <f t="shared" si="3"/>
        <v/>
      </c>
      <c r="Z41" s="56"/>
    </row>
    <row r="42" spans="3:64" ht="18" customHeight="1">
      <c r="C42" s="199">
        <v>8</v>
      </c>
      <c r="D42" s="169"/>
      <c r="E42" s="182"/>
      <c r="F42" s="183"/>
      <c r="G42" s="183"/>
      <c r="H42" s="183"/>
      <c r="I42" s="183"/>
      <c r="J42" s="183"/>
      <c r="K42" s="184"/>
      <c r="L42" s="182"/>
      <c r="M42" s="183"/>
      <c r="N42" s="183"/>
      <c r="O42" s="183"/>
      <c r="P42" s="184"/>
      <c r="Q42" s="179"/>
      <c r="R42" s="180"/>
      <c r="S42" s="181"/>
      <c r="T42" s="194"/>
      <c r="U42" s="195"/>
      <c r="V42" s="55" t="s">
        <v>2</v>
      </c>
      <c r="W42" s="27" t="str">
        <f t="shared" si="2"/>
        <v/>
      </c>
      <c r="X42" s="28" t="str">
        <f t="shared" si="1"/>
        <v/>
      </c>
      <c r="Y42" s="27" t="str">
        <f t="shared" si="3"/>
        <v/>
      </c>
      <c r="Z42" s="56"/>
    </row>
    <row r="43" spans="3:64" ht="18" customHeight="1">
      <c r="C43" s="199">
        <v>9</v>
      </c>
      <c r="D43" s="169"/>
      <c r="E43" s="182"/>
      <c r="F43" s="183"/>
      <c r="G43" s="183"/>
      <c r="H43" s="183"/>
      <c r="I43" s="183"/>
      <c r="J43" s="183"/>
      <c r="K43" s="184"/>
      <c r="L43" s="182"/>
      <c r="M43" s="183"/>
      <c r="N43" s="183"/>
      <c r="O43" s="183"/>
      <c r="P43" s="184"/>
      <c r="Q43" s="179"/>
      <c r="R43" s="180"/>
      <c r="S43" s="181"/>
      <c r="T43" s="194"/>
      <c r="U43" s="195"/>
      <c r="V43" s="55" t="s">
        <v>2</v>
      </c>
      <c r="W43" s="27" t="str">
        <f t="shared" si="2"/>
        <v/>
      </c>
      <c r="X43" s="28" t="str">
        <f t="shared" si="1"/>
        <v/>
      </c>
      <c r="Y43" s="27" t="str">
        <f t="shared" si="3"/>
        <v/>
      </c>
      <c r="Z43" s="56"/>
    </row>
    <row r="44" spans="3:64" ht="18" customHeight="1">
      <c r="C44" s="199">
        <v>10</v>
      </c>
      <c r="D44" s="169"/>
      <c r="E44" s="182"/>
      <c r="F44" s="183"/>
      <c r="G44" s="183"/>
      <c r="H44" s="183"/>
      <c r="I44" s="183"/>
      <c r="J44" s="183"/>
      <c r="K44" s="184"/>
      <c r="L44" s="182"/>
      <c r="M44" s="183"/>
      <c r="N44" s="183"/>
      <c r="O44" s="183"/>
      <c r="P44" s="184"/>
      <c r="Q44" s="179"/>
      <c r="R44" s="180"/>
      <c r="S44" s="181"/>
      <c r="T44" s="194"/>
      <c r="U44" s="195"/>
      <c r="V44" s="55" t="s">
        <v>2</v>
      </c>
      <c r="W44" s="27" t="str">
        <f t="shared" si="2"/>
        <v/>
      </c>
      <c r="X44" s="28" t="str">
        <f t="shared" si="1"/>
        <v/>
      </c>
      <c r="Y44" s="27" t="str">
        <f t="shared" si="3"/>
        <v/>
      </c>
      <c r="Z44" s="56"/>
    </row>
    <row r="45" spans="3:64" ht="9.9499999999999993" customHeight="1">
      <c r="C45" s="311"/>
      <c r="D45" s="311"/>
      <c r="E45" s="314"/>
      <c r="F45" s="314"/>
      <c r="G45" s="314"/>
      <c r="H45" s="314"/>
      <c r="I45" s="314"/>
      <c r="J45" s="314"/>
      <c r="K45" s="314"/>
      <c r="L45" s="314"/>
      <c r="M45" s="314"/>
      <c r="N45" s="314"/>
      <c r="O45" s="314"/>
      <c r="P45" s="314"/>
      <c r="Q45" s="313"/>
      <c r="R45" s="313"/>
      <c r="S45" s="313"/>
      <c r="T45" s="312"/>
      <c r="U45" s="312"/>
      <c r="V45" s="29"/>
      <c r="W45" s="30" t="str">
        <f t="shared" si="2"/>
        <v/>
      </c>
      <c r="X45" s="61" t="str">
        <f t="shared" si="1"/>
        <v/>
      </c>
      <c r="Y45" s="30" t="str">
        <f t="shared" si="3"/>
        <v/>
      </c>
      <c r="Z45" s="30"/>
    </row>
    <row r="46" spans="3:64" s="14" customFormat="1" ht="18" customHeight="1">
      <c r="C46" s="14" t="s">
        <v>189</v>
      </c>
    </row>
    <row r="47" spans="3:64" ht="28.5" customHeight="1">
      <c r="C47" s="167" t="s">
        <v>377</v>
      </c>
      <c r="D47" s="167" t="s">
        <v>190</v>
      </c>
      <c r="E47" s="167"/>
      <c r="F47" s="167" t="s">
        <v>191</v>
      </c>
      <c r="G47" s="165" t="s">
        <v>192</v>
      </c>
      <c r="H47" s="191" t="s">
        <v>193</v>
      </c>
      <c r="I47" s="191"/>
      <c r="J47" s="191"/>
      <c r="K47" s="191"/>
      <c r="L47" s="191"/>
      <c r="M47" s="191"/>
      <c r="N47" s="191"/>
      <c r="O47" s="165" t="s">
        <v>194</v>
      </c>
      <c r="P47" s="165" t="s">
        <v>195</v>
      </c>
      <c r="Q47" s="165" t="s">
        <v>196</v>
      </c>
      <c r="R47" s="165"/>
      <c r="S47" s="191" t="s">
        <v>197</v>
      </c>
      <c r="T47" s="191"/>
      <c r="U47" s="191"/>
      <c r="V47" s="191"/>
      <c r="W47" s="191"/>
      <c r="X47" s="165" t="s">
        <v>198</v>
      </c>
      <c r="Y47" s="165" t="s">
        <v>199</v>
      </c>
      <c r="Z47" s="165"/>
    </row>
    <row r="48" spans="3:64" s="31" customFormat="1" ht="102.75" customHeight="1">
      <c r="C48" s="167"/>
      <c r="D48" s="17" t="s">
        <v>200</v>
      </c>
      <c r="E48" s="17" t="s">
        <v>201</v>
      </c>
      <c r="F48" s="167"/>
      <c r="G48" s="165"/>
      <c r="H48" s="191"/>
      <c r="I48" s="191"/>
      <c r="J48" s="191"/>
      <c r="K48" s="191"/>
      <c r="L48" s="191"/>
      <c r="M48" s="191"/>
      <c r="N48" s="191"/>
      <c r="O48" s="165"/>
      <c r="P48" s="165"/>
      <c r="Q48" s="165"/>
      <c r="R48" s="165"/>
      <c r="S48" s="191"/>
      <c r="T48" s="191"/>
      <c r="U48" s="191"/>
      <c r="V48" s="191"/>
      <c r="W48" s="191"/>
      <c r="X48" s="165"/>
      <c r="Y48" s="165"/>
      <c r="Z48" s="165"/>
    </row>
    <row r="49" spans="3:27" ht="33" customHeight="1">
      <c r="C49" s="84">
        <v>1</v>
      </c>
      <c r="D49" s="116">
        <v>1</v>
      </c>
      <c r="E49" s="33" t="s">
        <v>481</v>
      </c>
      <c r="F49" s="32" t="s">
        <v>474</v>
      </c>
      <c r="G49" s="32" t="s">
        <v>482</v>
      </c>
      <c r="H49" s="185" t="s">
        <v>483</v>
      </c>
      <c r="I49" s="185"/>
      <c r="J49" s="185"/>
      <c r="K49" s="185"/>
      <c r="L49" s="185"/>
      <c r="M49" s="185"/>
      <c r="N49" s="185"/>
      <c r="O49" s="32" t="s">
        <v>486</v>
      </c>
      <c r="P49" s="34" t="s">
        <v>473</v>
      </c>
      <c r="Q49" s="324" t="s">
        <v>490</v>
      </c>
      <c r="R49" s="325"/>
      <c r="S49" s="232" t="s">
        <v>492</v>
      </c>
      <c r="T49" s="326"/>
      <c r="U49" s="326"/>
      <c r="V49" s="326"/>
      <c r="W49" s="204"/>
      <c r="X49" s="32" t="s">
        <v>474</v>
      </c>
      <c r="Y49" s="324" t="s">
        <v>490</v>
      </c>
      <c r="Z49" s="325"/>
      <c r="AA49" s="16">
        <f>IF(G49="Issue",D49,"")</f>
        <v>1</v>
      </c>
    </row>
    <row r="50" spans="3:27" ht="33" customHeight="1">
      <c r="C50" s="84">
        <v>2</v>
      </c>
      <c r="D50" s="116">
        <v>1</v>
      </c>
      <c r="E50" s="33" t="s">
        <v>484</v>
      </c>
      <c r="F50" s="32" t="s">
        <v>474</v>
      </c>
      <c r="G50" s="32" t="s">
        <v>482</v>
      </c>
      <c r="H50" s="185" t="s">
        <v>485</v>
      </c>
      <c r="I50" s="185"/>
      <c r="J50" s="185"/>
      <c r="K50" s="185"/>
      <c r="L50" s="185"/>
      <c r="M50" s="185"/>
      <c r="N50" s="185"/>
      <c r="O50" s="32" t="s">
        <v>486</v>
      </c>
      <c r="P50" s="34" t="s">
        <v>473</v>
      </c>
      <c r="Q50" s="324" t="s">
        <v>490</v>
      </c>
      <c r="R50" s="325"/>
      <c r="S50" s="232" t="s">
        <v>492</v>
      </c>
      <c r="T50" s="326"/>
      <c r="U50" s="326"/>
      <c r="V50" s="326"/>
      <c r="W50" s="204"/>
      <c r="X50" s="32" t="s">
        <v>474</v>
      </c>
      <c r="Y50" s="324" t="s">
        <v>490</v>
      </c>
      <c r="Z50" s="325"/>
      <c r="AA50" s="16">
        <f>IF(G50="Issue",D50,"")</f>
        <v>1</v>
      </c>
    </row>
    <row r="51" spans="3:27" ht="33" customHeight="1">
      <c r="C51" s="84">
        <v>3</v>
      </c>
      <c r="D51" s="116">
        <v>1</v>
      </c>
      <c r="E51" s="33" t="s">
        <v>484</v>
      </c>
      <c r="F51" s="32" t="s">
        <v>474</v>
      </c>
      <c r="G51" s="32" t="s">
        <v>482</v>
      </c>
      <c r="H51" s="185" t="s">
        <v>487</v>
      </c>
      <c r="I51" s="185"/>
      <c r="J51" s="185"/>
      <c r="K51" s="185"/>
      <c r="L51" s="185"/>
      <c r="M51" s="185"/>
      <c r="N51" s="185"/>
      <c r="O51" s="32" t="s">
        <v>486</v>
      </c>
      <c r="P51" s="34" t="s">
        <v>473</v>
      </c>
      <c r="Q51" s="324" t="s">
        <v>490</v>
      </c>
      <c r="R51" s="325"/>
      <c r="S51" s="232" t="s">
        <v>492</v>
      </c>
      <c r="T51" s="233"/>
      <c r="U51" s="233"/>
      <c r="V51" s="233"/>
      <c r="W51" s="234"/>
      <c r="X51" s="32" t="s">
        <v>474</v>
      </c>
      <c r="Y51" s="324" t="s">
        <v>490</v>
      </c>
      <c r="Z51" s="325"/>
      <c r="AA51" s="16">
        <f t="shared" ref="AA51:AA98" si="4">IF(G51="Issue",D51,"")</f>
        <v>1</v>
      </c>
    </row>
    <row r="52" spans="3:27" ht="33" customHeight="1">
      <c r="C52" s="84">
        <v>4</v>
      </c>
      <c r="D52" s="116">
        <v>1</v>
      </c>
      <c r="E52" s="33" t="s">
        <v>488</v>
      </c>
      <c r="F52" s="32" t="s">
        <v>474</v>
      </c>
      <c r="G52" s="32" t="s">
        <v>482</v>
      </c>
      <c r="H52" s="327" t="s">
        <v>489</v>
      </c>
      <c r="I52" s="328"/>
      <c r="J52" s="328"/>
      <c r="K52" s="328"/>
      <c r="L52" s="328"/>
      <c r="M52" s="328"/>
      <c r="N52" s="329"/>
      <c r="O52" s="32" t="s">
        <v>486</v>
      </c>
      <c r="P52" s="34" t="s">
        <v>473</v>
      </c>
      <c r="Q52" s="324" t="s">
        <v>490</v>
      </c>
      <c r="R52" s="325"/>
      <c r="S52" s="232" t="s">
        <v>492</v>
      </c>
      <c r="T52" s="326"/>
      <c r="U52" s="326"/>
      <c r="V52" s="326"/>
      <c r="W52" s="204"/>
      <c r="X52" s="154" t="s">
        <v>474</v>
      </c>
      <c r="Y52" s="324" t="s">
        <v>490</v>
      </c>
      <c r="Z52" s="325"/>
      <c r="AA52" s="16">
        <f t="shared" si="4"/>
        <v>1</v>
      </c>
    </row>
    <row r="53" spans="3:27" ht="33" customHeight="1">
      <c r="C53" s="84">
        <v>5</v>
      </c>
      <c r="D53" s="116" t="s">
        <v>225</v>
      </c>
      <c r="E53" s="33" t="s">
        <v>225</v>
      </c>
      <c r="F53" s="32" t="s">
        <v>474</v>
      </c>
      <c r="G53" s="32" t="s">
        <v>466</v>
      </c>
      <c r="H53" s="327" t="s">
        <v>467</v>
      </c>
      <c r="I53" s="328"/>
      <c r="J53" s="328"/>
      <c r="K53" s="328"/>
      <c r="L53" s="328"/>
      <c r="M53" s="328"/>
      <c r="N53" s="329"/>
      <c r="O53" s="32" t="s">
        <v>2</v>
      </c>
      <c r="P53" s="34"/>
      <c r="Q53" s="203"/>
      <c r="R53" s="204"/>
      <c r="S53" s="232"/>
      <c r="T53" s="326"/>
      <c r="U53" s="326"/>
      <c r="V53" s="326"/>
      <c r="W53" s="204"/>
      <c r="X53" s="35"/>
      <c r="Y53" s="203"/>
      <c r="Z53" s="204"/>
      <c r="AA53" s="16" t="str">
        <f t="shared" si="4"/>
        <v/>
      </c>
    </row>
    <row r="54" spans="3:27" ht="33" customHeight="1">
      <c r="C54" s="84">
        <v>6</v>
      </c>
      <c r="D54" s="116" t="s">
        <v>225</v>
      </c>
      <c r="E54" s="33" t="s">
        <v>225</v>
      </c>
      <c r="F54" s="32" t="s">
        <v>474</v>
      </c>
      <c r="G54" s="32" t="s">
        <v>466</v>
      </c>
      <c r="H54" s="330" t="s">
        <v>468</v>
      </c>
      <c r="I54" s="328"/>
      <c r="J54" s="328"/>
      <c r="K54" s="328"/>
      <c r="L54" s="328"/>
      <c r="M54" s="328"/>
      <c r="N54" s="329"/>
      <c r="O54" s="32" t="s">
        <v>2</v>
      </c>
      <c r="P54" s="34"/>
      <c r="Q54" s="193"/>
      <c r="R54" s="193"/>
      <c r="S54" s="192"/>
      <c r="T54" s="192"/>
      <c r="U54" s="192"/>
      <c r="V54" s="192"/>
      <c r="W54" s="192"/>
      <c r="X54" s="35"/>
      <c r="Y54" s="166"/>
      <c r="Z54" s="166"/>
      <c r="AA54" s="16" t="str">
        <f t="shared" si="4"/>
        <v/>
      </c>
    </row>
    <row r="55" spans="3:27" ht="33" customHeight="1">
      <c r="C55" s="84">
        <v>7</v>
      </c>
      <c r="D55" s="32"/>
      <c r="E55" s="117"/>
      <c r="F55" s="32"/>
      <c r="G55" s="32" t="s">
        <v>2</v>
      </c>
      <c r="H55" s="185"/>
      <c r="I55" s="185"/>
      <c r="J55" s="185"/>
      <c r="K55" s="185"/>
      <c r="L55" s="185"/>
      <c r="M55" s="185"/>
      <c r="N55" s="185"/>
      <c r="O55" s="32" t="s">
        <v>2</v>
      </c>
      <c r="P55" s="34"/>
      <c r="Q55" s="203"/>
      <c r="R55" s="204"/>
      <c r="S55" s="232"/>
      <c r="T55" s="326"/>
      <c r="U55" s="326"/>
      <c r="V55" s="326"/>
      <c r="W55" s="204"/>
      <c r="X55" s="35"/>
      <c r="Y55" s="203"/>
      <c r="Z55" s="204"/>
      <c r="AA55" s="16" t="str">
        <f t="shared" si="4"/>
        <v/>
      </c>
    </row>
    <row r="56" spans="3:27" ht="33" customHeight="1">
      <c r="C56" s="84">
        <v>8</v>
      </c>
      <c r="D56" s="32"/>
      <c r="E56" s="33"/>
      <c r="F56" s="32"/>
      <c r="G56" s="32" t="s">
        <v>2</v>
      </c>
      <c r="H56" s="185"/>
      <c r="I56" s="185"/>
      <c r="J56" s="185"/>
      <c r="K56" s="185"/>
      <c r="L56" s="185"/>
      <c r="M56" s="185"/>
      <c r="N56" s="185"/>
      <c r="O56" s="32" t="s">
        <v>2</v>
      </c>
      <c r="P56" s="34"/>
      <c r="Q56" s="203"/>
      <c r="R56" s="204"/>
      <c r="S56" s="232"/>
      <c r="T56" s="326"/>
      <c r="U56" s="326"/>
      <c r="V56" s="326"/>
      <c r="W56" s="204"/>
      <c r="X56" s="35"/>
      <c r="Y56" s="203"/>
      <c r="Z56" s="204"/>
      <c r="AA56" s="16" t="str">
        <f t="shared" si="4"/>
        <v/>
      </c>
    </row>
    <row r="57" spans="3:27" ht="33" customHeight="1">
      <c r="C57" s="84">
        <v>9</v>
      </c>
      <c r="D57" s="32"/>
      <c r="E57" s="33"/>
      <c r="F57" s="32"/>
      <c r="G57" s="32" t="s">
        <v>2</v>
      </c>
      <c r="H57" s="185"/>
      <c r="I57" s="185"/>
      <c r="J57" s="185"/>
      <c r="K57" s="185"/>
      <c r="L57" s="185"/>
      <c r="M57" s="185"/>
      <c r="N57" s="185"/>
      <c r="O57" s="32" t="s">
        <v>2</v>
      </c>
      <c r="P57" s="34"/>
      <c r="Q57" s="203"/>
      <c r="R57" s="204"/>
      <c r="S57" s="232"/>
      <c r="T57" s="326"/>
      <c r="U57" s="326"/>
      <c r="V57" s="326"/>
      <c r="W57" s="204"/>
      <c r="X57" s="35"/>
      <c r="Y57" s="331"/>
      <c r="Z57" s="204"/>
      <c r="AA57" s="16" t="str">
        <f t="shared" si="4"/>
        <v/>
      </c>
    </row>
    <row r="58" spans="3:27" ht="33" customHeight="1">
      <c r="C58" s="84">
        <v>10</v>
      </c>
      <c r="D58" s="32"/>
      <c r="E58" s="33"/>
      <c r="F58" s="32"/>
      <c r="G58" s="32" t="s">
        <v>2</v>
      </c>
      <c r="H58" s="185"/>
      <c r="I58" s="185"/>
      <c r="J58" s="185"/>
      <c r="K58" s="185"/>
      <c r="L58" s="185"/>
      <c r="M58" s="185"/>
      <c r="N58" s="185"/>
      <c r="O58" s="32" t="s">
        <v>2</v>
      </c>
      <c r="P58" s="34"/>
      <c r="Q58" s="203"/>
      <c r="R58" s="204"/>
      <c r="S58" s="232"/>
      <c r="T58" s="326"/>
      <c r="U58" s="326"/>
      <c r="V58" s="326"/>
      <c r="W58" s="204"/>
      <c r="X58" s="35"/>
      <c r="Y58" s="331"/>
      <c r="Z58" s="204"/>
      <c r="AA58" s="16" t="str">
        <f t="shared" si="4"/>
        <v/>
      </c>
    </row>
    <row r="59" spans="3:27" ht="33" customHeight="1">
      <c r="C59" s="84">
        <v>11</v>
      </c>
      <c r="D59" s="32"/>
      <c r="E59" s="33"/>
      <c r="F59" s="32"/>
      <c r="G59" s="32" t="s">
        <v>2</v>
      </c>
      <c r="H59" s="185"/>
      <c r="I59" s="185"/>
      <c r="J59" s="185"/>
      <c r="K59" s="185"/>
      <c r="L59" s="185"/>
      <c r="M59" s="185"/>
      <c r="N59" s="185"/>
      <c r="O59" s="32" t="s">
        <v>2</v>
      </c>
      <c r="P59" s="34"/>
      <c r="Q59" s="193"/>
      <c r="R59" s="193"/>
      <c r="S59" s="192"/>
      <c r="T59" s="192"/>
      <c r="U59" s="192"/>
      <c r="V59" s="192"/>
      <c r="W59" s="192"/>
      <c r="X59" s="35"/>
      <c r="Y59" s="166"/>
      <c r="Z59" s="166"/>
      <c r="AA59" s="16" t="str">
        <f t="shared" si="4"/>
        <v/>
      </c>
    </row>
    <row r="60" spans="3:27" ht="33" customHeight="1">
      <c r="C60" s="84">
        <v>12</v>
      </c>
      <c r="D60" s="32"/>
      <c r="E60" s="33"/>
      <c r="F60" s="32"/>
      <c r="G60" s="32" t="s">
        <v>2</v>
      </c>
      <c r="H60" s="185"/>
      <c r="I60" s="185"/>
      <c r="J60" s="185"/>
      <c r="K60" s="185"/>
      <c r="L60" s="185"/>
      <c r="M60" s="185"/>
      <c r="N60" s="185"/>
      <c r="O60" s="32" t="s">
        <v>2</v>
      </c>
      <c r="P60" s="34"/>
      <c r="Q60" s="193"/>
      <c r="R60" s="193"/>
      <c r="S60" s="192"/>
      <c r="T60" s="192"/>
      <c r="U60" s="192"/>
      <c r="V60" s="192"/>
      <c r="W60" s="192"/>
      <c r="X60" s="35"/>
      <c r="Y60" s="193"/>
      <c r="Z60" s="193"/>
      <c r="AA60" s="16" t="str">
        <f t="shared" si="4"/>
        <v/>
      </c>
    </row>
    <row r="61" spans="3:27" ht="33" customHeight="1">
      <c r="C61" s="84">
        <v>13</v>
      </c>
      <c r="D61" s="32"/>
      <c r="E61" s="33"/>
      <c r="F61" s="32"/>
      <c r="G61" s="32" t="s">
        <v>2</v>
      </c>
      <c r="H61" s="185"/>
      <c r="I61" s="185"/>
      <c r="J61" s="185"/>
      <c r="K61" s="185"/>
      <c r="L61" s="185"/>
      <c r="M61" s="185"/>
      <c r="N61" s="185"/>
      <c r="O61" s="32" t="s">
        <v>2</v>
      </c>
      <c r="P61" s="34"/>
      <c r="Q61" s="193"/>
      <c r="R61" s="193"/>
      <c r="S61" s="192"/>
      <c r="T61" s="192"/>
      <c r="U61" s="192"/>
      <c r="V61" s="192"/>
      <c r="W61" s="192"/>
      <c r="X61" s="35"/>
      <c r="Y61" s="166"/>
      <c r="Z61" s="166"/>
      <c r="AA61" s="16" t="str">
        <f t="shared" si="4"/>
        <v/>
      </c>
    </row>
    <row r="62" spans="3:27" ht="33" customHeight="1">
      <c r="C62" s="84">
        <v>14</v>
      </c>
      <c r="D62" s="32"/>
      <c r="E62" s="33"/>
      <c r="F62" s="32"/>
      <c r="G62" s="32" t="s">
        <v>2</v>
      </c>
      <c r="H62" s="185"/>
      <c r="I62" s="185"/>
      <c r="J62" s="185"/>
      <c r="K62" s="185"/>
      <c r="L62" s="185"/>
      <c r="M62" s="185"/>
      <c r="N62" s="185"/>
      <c r="O62" s="32" t="s">
        <v>2</v>
      </c>
      <c r="P62" s="34"/>
      <c r="Q62" s="193"/>
      <c r="R62" s="193"/>
      <c r="S62" s="192"/>
      <c r="T62" s="192"/>
      <c r="U62" s="192"/>
      <c r="V62" s="192"/>
      <c r="W62" s="192"/>
      <c r="X62" s="35"/>
      <c r="Y62" s="166"/>
      <c r="Z62" s="166"/>
      <c r="AA62" s="16" t="str">
        <f t="shared" si="4"/>
        <v/>
      </c>
    </row>
    <row r="63" spans="3:27" ht="33" customHeight="1">
      <c r="C63" s="84">
        <v>15</v>
      </c>
      <c r="D63" s="32"/>
      <c r="E63" s="33"/>
      <c r="F63" s="32"/>
      <c r="G63" s="32" t="s">
        <v>2</v>
      </c>
      <c r="H63" s="185"/>
      <c r="I63" s="185"/>
      <c r="J63" s="185"/>
      <c r="K63" s="185"/>
      <c r="L63" s="185"/>
      <c r="M63" s="185"/>
      <c r="N63" s="185"/>
      <c r="O63" s="32" t="s">
        <v>2</v>
      </c>
      <c r="P63" s="34"/>
      <c r="Q63" s="193"/>
      <c r="R63" s="193"/>
      <c r="S63" s="192"/>
      <c r="T63" s="192"/>
      <c r="U63" s="192"/>
      <c r="V63" s="192"/>
      <c r="W63" s="192"/>
      <c r="X63" s="35"/>
      <c r="Y63" s="166"/>
      <c r="Z63" s="166"/>
      <c r="AA63" s="16" t="str">
        <f t="shared" si="4"/>
        <v/>
      </c>
    </row>
    <row r="64" spans="3:27" ht="33" customHeight="1">
      <c r="C64" s="84">
        <v>16</v>
      </c>
      <c r="D64" s="32"/>
      <c r="E64" s="33"/>
      <c r="F64" s="32"/>
      <c r="G64" s="32" t="s">
        <v>2</v>
      </c>
      <c r="H64" s="185"/>
      <c r="I64" s="185"/>
      <c r="J64" s="185"/>
      <c r="K64" s="185"/>
      <c r="L64" s="185"/>
      <c r="M64" s="185"/>
      <c r="N64" s="185"/>
      <c r="O64" s="32" t="s">
        <v>2</v>
      </c>
      <c r="P64" s="34"/>
      <c r="Q64" s="193"/>
      <c r="R64" s="193"/>
      <c r="S64" s="192"/>
      <c r="T64" s="192"/>
      <c r="U64" s="192"/>
      <c r="V64" s="192"/>
      <c r="W64" s="192"/>
      <c r="X64" s="35"/>
      <c r="Y64" s="166"/>
      <c r="Z64" s="166"/>
      <c r="AA64" s="16" t="str">
        <f t="shared" si="4"/>
        <v/>
      </c>
    </row>
    <row r="65" spans="3:27" ht="33" customHeight="1">
      <c r="C65" s="84">
        <v>17</v>
      </c>
      <c r="D65" s="33"/>
      <c r="E65" s="33"/>
      <c r="F65" s="32"/>
      <c r="G65" s="32" t="s">
        <v>2</v>
      </c>
      <c r="H65" s="185"/>
      <c r="I65" s="185"/>
      <c r="J65" s="185"/>
      <c r="K65" s="185"/>
      <c r="L65" s="185"/>
      <c r="M65" s="185"/>
      <c r="N65" s="185"/>
      <c r="O65" s="32" t="s">
        <v>2</v>
      </c>
      <c r="P65" s="34"/>
      <c r="Q65" s="193"/>
      <c r="R65" s="193"/>
      <c r="S65" s="192"/>
      <c r="T65" s="192"/>
      <c r="U65" s="192"/>
      <c r="V65" s="192"/>
      <c r="W65" s="192"/>
      <c r="X65" s="35"/>
      <c r="Y65" s="166"/>
      <c r="Z65" s="166"/>
      <c r="AA65" s="16" t="str">
        <f t="shared" si="4"/>
        <v/>
      </c>
    </row>
    <row r="66" spans="3:27" ht="33" customHeight="1">
      <c r="C66" s="84">
        <v>18</v>
      </c>
      <c r="D66" s="33"/>
      <c r="E66" s="33"/>
      <c r="F66" s="32"/>
      <c r="G66" s="32" t="s">
        <v>2</v>
      </c>
      <c r="H66" s="185"/>
      <c r="I66" s="185"/>
      <c r="J66" s="185"/>
      <c r="K66" s="185"/>
      <c r="L66" s="185"/>
      <c r="M66" s="185"/>
      <c r="N66" s="185"/>
      <c r="O66" s="32" t="s">
        <v>2</v>
      </c>
      <c r="P66" s="34"/>
      <c r="Q66" s="193"/>
      <c r="R66" s="193"/>
      <c r="S66" s="192"/>
      <c r="T66" s="192"/>
      <c r="U66" s="192"/>
      <c r="V66" s="192"/>
      <c r="W66" s="192"/>
      <c r="X66" s="35"/>
      <c r="Y66" s="166"/>
      <c r="Z66" s="166"/>
      <c r="AA66" s="16" t="str">
        <f t="shared" si="4"/>
        <v/>
      </c>
    </row>
    <row r="67" spans="3:27" ht="33" customHeight="1">
      <c r="C67" s="84">
        <v>19</v>
      </c>
      <c r="D67" s="32"/>
      <c r="E67" s="33"/>
      <c r="F67" s="32"/>
      <c r="G67" s="32" t="s">
        <v>2</v>
      </c>
      <c r="H67" s="185"/>
      <c r="I67" s="185"/>
      <c r="J67" s="185"/>
      <c r="K67" s="185"/>
      <c r="L67" s="185"/>
      <c r="M67" s="185"/>
      <c r="N67" s="185"/>
      <c r="O67" s="32" t="s">
        <v>2</v>
      </c>
      <c r="P67" s="34"/>
      <c r="Q67" s="193"/>
      <c r="R67" s="193"/>
      <c r="S67" s="192"/>
      <c r="T67" s="192"/>
      <c r="U67" s="192"/>
      <c r="V67" s="192"/>
      <c r="W67" s="192"/>
      <c r="X67" s="35"/>
      <c r="Y67" s="166"/>
      <c r="Z67" s="166"/>
      <c r="AA67" s="16" t="str">
        <f t="shared" si="4"/>
        <v/>
      </c>
    </row>
    <row r="68" spans="3:27" ht="33" customHeight="1">
      <c r="C68" s="84">
        <v>20</v>
      </c>
      <c r="D68" s="32"/>
      <c r="E68" s="33"/>
      <c r="F68" s="32"/>
      <c r="G68" s="32" t="s">
        <v>2</v>
      </c>
      <c r="H68" s="185"/>
      <c r="I68" s="185"/>
      <c r="J68" s="185"/>
      <c r="K68" s="185"/>
      <c r="L68" s="185"/>
      <c r="M68" s="185"/>
      <c r="N68" s="185"/>
      <c r="O68" s="32" t="s">
        <v>2</v>
      </c>
      <c r="P68" s="34"/>
      <c r="Q68" s="193"/>
      <c r="R68" s="193"/>
      <c r="S68" s="192"/>
      <c r="T68" s="192"/>
      <c r="U68" s="192"/>
      <c r="V68" s="192"/>
      <c r="W68" s="192"/>
      <c r="X68" s="35"/>
      <c r="Y68" s="166"/>
      <c r="Z68" s="166"/>
      <c r="AA68" s="16" t="str">
        <f t="shared" si="4"/>
        <v/>
      </c>
    </row>
    <row r="69" spans="3:27" ht="33" customHeight="1">
      <c r="C69" s="84">
        <v>21</v>
      </c>
      <c r="D69" s="32"/>
      <c r="E69" s="33"/>
      <c r="F69" s="32"/>
      <c r="G69" s="32" t="s">
        <v>2</v>
      </c>
      <c r="H69" s="185"/>
      <c r="I69" s="185"/>
      <c r="J69" s="185"/>
      <c r="K69" s="185"/>
      <c r="L69" s="185"/>
      <c r="M69" s="185"/>
      <c r="N69" s="185"/>
      <c r="O69" s="32" t="s">
        <v>2</v>
      </c>
      <c r="P69" s="34"/>
      <c r="Q69" s="193"/>
      <c r="R69" s="193"/>
      <c r="S69" s="192"/>
      <c r="T69" s="192"/>
      <c r="U69" s="192"/>
      <c r="V69" s="192"/>
      <c r="W69" s="192"/>
      <c r="X69" s="35"/>
      <c r="Y69" s="166"/>
      <c r="Z69" s="166"/>
      <c r="AA69" s="16" t="str">
        <f t="shared" si="4"/>
        <v/>
      </c>
    </row>
    <row r="70" spans="3:27" ht="33" customHeight="1">
      <c r="C70" s="84">
        <v>22</v>
      </c>
      <c r="D70" s="32"/>
      <c r="E70" s="33"/>
      <c r="F70" s="32"/>
      <c r="G70" s="32" t="s">
        <v>2</v>
      </c>
      <c r="H70" s="185"/>
      <c r="I70" s="185"/>
      <c r="J70" s="185"/>
      <c r="K70" s="185"/>
      <c r="L70" s="185"/>
      <c r="M70" s="185"/>
      <c r="N70" s="185"/>
      <c r="O70" s="32" t="s">
        <v>2</v>
      </c>
      <c r="P70" s="34"/>
      <c r="Q70" s="193"/>
      <c r="R70" s="193"/>
      <c r="S70" s="192"/>
      <c r="T70" s="192"/>
      <c r="U70" s="192"/>
      <c r="V70" s="192"/>
      <c r="W70" s="192"/>
      <c r="X70" s="35"/>
      <c r="Y70" s="166"/>
      <c r="Z70" s="166"/>
      <c r="AA70" s="16" t="str">
        <f t="shared" si="4"/>
        <v/>
      </c>
    </row>
    <row r="71" spans="3:27" ht="33" customHeight="1">
      <c r="C71" s="84">
        <v>23</v>
      </c>
      <c r="D71" s="32"/>
      <c r="E71" s="33"/>
      <c r="F71" s="32"/>
      <c r="G71" s="32" t="s">
        <v>2</v>
      </c>
      <c r="H71" s="185"/>
      <c r="I71" s="185"/>
      <c r="J71" s="185"/>
      <c r="K71" s="185"/>
      <c r="L71" s="185"/>
      <c r="M71" s="185"/>
      <c r="N71" s="185"/>
      <c r="O71" s="32" t="s">
        <v>2</v>
      </c>
      <c r="P71" s="34"/>
      <c r="Q71" s="193"/>
      <c r="R71" s="193"/>
      <c r="S71" s="192"/>
      <c r="T71" s="192"/>
      <c r="U71" s="192"/>
      <c r="V71" s="192"/>
      <c r="W71" s="192"/>
      <c r="X71" s="35"/>
      <c r="Y71" s="166"/>
      <c r="Z71" s="166"/>
      <c r="AA71" s="16" t="str">
        <f t="shared" si="4"/>
        <v/>
      </c>
    </row>
    <row r="72" spans="3:27" ht="33" customHeight="1">
      <c r="C72" s="84">
        <v>24</v>
      </c>
      <c r="D72" s="32"/>
      <c r="E72" s="33"/>
      <c r="F72" s="32"/>
      <c r="G72" s="32" t="s">
        <v>2</v>
      </c>
      <c r="H72" s="185"/>
      <c r="I72" s="185"/>
      <c r="J72" s="185"/>
      <c r="K72" s="185"/>
      <c r="L72" s="185"/>
      <c r="M72" s="185"/>
      <c r="N72" s="185"/>
      <c r="O72" s="32" t="s">
        <v>2</v>
      </c>
      <c r="P72" s="34"/>
      <c r="Q72" s="193"/>
      <c r="R72" s="193"/>
      <c r="S72" s="192"/>
      <c r="T72" s="192"/>
      <c r="U72" s="192"/>
      <c r="V72" s="192"/>
      <c r="W72" s="192"/>
      <c r="X72" s="35"/>
      <c r="Y72" s="166"/>
      <c r="Z72" s="166"/>
      <c r="AA72" s="16" t="str">
        <f t="shared" si="4"/>
        <v/>
      </c>
    </row>
    <row r="73" spans="3:27" ht="33" customHeight="1">
      <c r="C73" s="84">
        <v>25</v>
      </c>
      <c r="D73" s="32"/>
      <c r="E73" s="33"/>
      <c r="F73" s="32"/>
      <c r="G73" s="32" t="s">
        <v>2</v>
      </c>
      <c r="H73" s="185"/>
      <c r="I73" s="185"/>
      <c r="J73" s="185"/>
      <c r="K73" s="185"/>
      <c r="L73" s="185"/>
      <c r="M73" s="185"/>
      <c r="N73" s="185"/>
      <c r="O73" s="32" t="s">
        <v>2</v>
      </c>
      <c r="P73" s="34"/>
      <c r="Q73" s="193"/>
      <c r="R73" s="193"/>
      <c r="S73" s="192"/>
      <c r="T73" s="192"/>
      <c r="U73" s="192"/>
      <c r="V73" s="192"/>
      <c r="W73" s="192"/>
      <c r="X73" s="35"/>
      <c r="Y73" s="166"/>
      <c r="Z73" s="166"/>
      <c r="AA73" s="16" t="str">
        <f t="shared" si="4"/>
        <v/>
      </c>
    </row>
    <row r="74" spans="3:27" ht="33" customHeight="1">
      <c r="C74" s="84">
        <v>26</v>
      </c>
      <c r="D74" s="32"/>
      <c r="E74" s="33"/>
      <c r="F74" s="32"/>
      <c r="G74" s="32" t="s">
        <v>2</v>
      </c>
      <c r="H74" s="185"/>
      <c r="I74" s="185"/>
      <c r="J74" s="185"/>
      <c r="K74" s="185"/>
      <c r="L74" s="185"/>
      <c r="M74" s="185"/>
      <c r="N74" s="185"/>
      <c r="O74" s="32" t="s">
        <v>2</v>
      </c>
      <c r="P74" s="34"/>
      <c r="Q74" s="193"/>
      <c r="R74" s="193"/>
      <c r="S74" s="192"/>
      <c r="T74" s="192"/>
      <c r="U74" s="192"/>
      <c r="V74" s="192"/>
      <c r="W74" s="192"/>
      <c r="X74" s="35"/>
      <c r="Y74" s="166"/>
      <c r="Z74" s="166"/>
      <c r="AA74" s="16" t="str">
        <f t="shared" si="4"/>
        <v/>
      </c>
    </row>
    <row r="75" spans="3:27" ht="33" customHeight="1">
      <c r="C75" s="84">
        <v>27</v>
      </c>
      <c r="D75" s="32"/>
      <c r="E75" s="33"/>
      <c r="F75" s="32"/>
      <c r="G75" s="32" t="s">
        <v>2</v>
      </c>
      <c r="H75" s="185"/>
      <c r="I75" s="185"/>
      <c r="J75" s="185"/>
      <c r="K75" s="185"/>
      <c r="L75" s="185"/>
      <c r="M75" s="185"/>
      <c r="N75" s="185"/>
      <c r="O75" s="32" t="s">
        <v>2</v>
      </c>
      <c r="P75" s="34"/>
      <c r="Q75" s="193"/>
      <c r="R75" s="193"/>
      <c r="S75" s="192"/>
      <c r="T75" s="192"/>
      <c r="U75" s="192"/>
      <c r="V75" s="192"/>
      <c r="W75" s="192"/>
      <c r="X75" s="35"/>
      <c r="Y75" s="166"/>
      <c r="Z75" s="166"/>
      <c r="AA75" s="16" t="str">
        <f t="shared" si="4"/>
        <v/>
      </c>
    </row>
    <row r="76" spans="3:27" ht="33" customHeight="1">
      <c r="C76" s="84">
        <v>28</v>
      </c>
      <c r="D76" s="32"/>
      <c r="E76" s="33"/>
      <c r="F76" s="32"/>
      <c r="G76" s="32" t="s">
        <v>2</v>
      </c>
      <c r="H76" s="185"/>
      <c r="I76" s="185"/>
      <c r="J76" s="185"/>
      <c r="K76" s="185"/>
      <c r="L76" s="185"/>
      <c r="M76" s="185"/>
      <c r="N76" s="185"/>
      <c r="O76" s="32" t="s">
        <v>2</v>
      </c>
      <c r="P76" s="34"/>
      <c r="Q76" s="193"/>
      <c r="R76" s="193"/>
      <c r="S76" s="192"/>
      <c r="T76" s="192"/>
      <c r="U76" s="192"/>
      <c r="V76" s="192"/>
      <c r="W76" s="192"/>
      <c r="X76" s="35"/>
      <c r="Y76" s="166"/>
      <c r="Z76" s="166"/>
      <c r="AA76" s="16" t="str">
        <f t="shared" si="4"/>
        <v/>
      </c>
    </row>
    <row r="77" spans="3:27" ht="33" customHeight="1">
      <c r="C77" s="84">
        <v>29</v>
      </c>
      <c r="D77" s="32"/>
      <c r="E77" s="33"/>
      <c r="F77" s="32"/>
      <c r="G77" s="32" t="s">
        <v>2</v>
      </c>
      <c r="H77" s="185"/>
      <c r="I77" s="185"/>
      <c r="J77" s="185"/>
      <c r="K77" s="185"/>
      <c r="L77" s="185"/>
      <c r="M77" s="185"/>
      <c r="N77" s="185"/>
      <c r="O77" s="32" t="s">
        <v>2</v>
      </c>
      <c r="P77" s="34"/>
      <c r="Q77" s="193"/>
      <c r="R77" s="193"/>
      <c r="S77" s="192"/>
      <c r="T77" s="192"/>
      <c r="U77" s="192"/>
      <c r="V77" s="192"/>
      <c r="W77" s="192"/>
      <c r="X77" s="35"/>
      <c r="Y77" s="166"/>
      <c r="Z77" s="166"/>
      <c r="AA77" s="16" t="str">
        <f t="shared" si="4"/>
        <v/>
      </c>
    </row>
    <row r="78" spans="3:27" ht="33" customHeight="1">
      <c r="C78" s="84">
        <v>30</v>
      </c>
      <c r="D78" s="32"/>
      <c r="E78" s="33"/>
      <c r="F78" s="32"/>
      <c r="G78" s="32" t="s">
        <v>2</v>
      </c>
      <c r="H78" s="185"/>
      <c r="I78" s="185"/>
      <c r="J78" s="185"/>
      <c r="K78" s="185"/>
      <c r="L78" s="185"/>
      <c r="M78" s="185"/>
      <c r="N78" s="185"/>
      <c r="O78" s="32" t="s">
        <v>2</v>
      </c>
      <c r="P78" s="34"/>
      <c r="Q78" s="193"/>
      <c r="R78" s="193"/>
      <c r="S78" s="192"/>
      <c r="T78" s="192"/>
      <c r="U78" s="192"/>
      <c r="V78" s="192"/>
      <c r="W78" s="192"/>
      <c r="X78" s="35"/>
      <c r="Y78" s="166"/>
      <c r="Z78" s="166"/>
      <c r="AA78" s="16" t="str">
        <f t="shared" si="4"/>
        <v/>
      </c>
    </row>
    <row r="79" spans="3:27" ht="33" customHeight="1">
      <c r="C79" s="84">
        <v>31</v>
      </c>
      <c r="D79" s="32"/>
      <c r="E79" s="33"/>
      <c r="F79" s="32"/>
      <c r="G79" s="32" t="s">
        <v>2</v>
      </c>
      <c r="H79" s="185"/>
      <c r="I79" s="185"/>
      <c r="J79" s="185"/>
      <c r="K79" s="185"/>
      <c r="L79" s="185"/>
      <c r="M79" s="185"/>
      <c r="N79" s="185"/>
      <c r="O79" s="32" t="s">
        <v>2</v>
      </c>
      <c r="P79" s="34"/>
      <c r="Q79" s="193"/>
      <c r="R79" s="193"/>
      <c r="S79" s="192"/>
      <c r="T79" s="192"/>
      <c r="U79" s="192"/>
      <c r="V79" s="192"/>
      <c r="W79" s="192"/>
      <c r="X79" s="35"/>
      <c r="Y79" s="166"/>
      <c r="Z79" s="166"/>
      <c r="AA79" s="16" t="str">
        <f t="shared" si="4"/>
        <v/>
      </c>
    </row>
    <row r="80" spans="3:27" ht="33" customHeight="1">
      <c r="C80" s="84">
        <v>32</v>
      </c>
      <c r="D80" s="32"/>
      <c r="E80" s="33"/>
      <c r="F80" s="32"/>
      <c r="G80" s="32" t="s">
        <v>2</v>
      </c>
      <c r="H80" s="185"/>
      <c r="I80" s="185"/>
      <c r="J80" s="185"/>
      <c r="K80" s="185"/>
      <c r="L80" s="185"/>
      <c r="M80" s="185"/>
      <c r="N80" s="185"/>
      <c r="O80" s="32" t="s">
        <v>2</v>
      </c>
      <c r="P80" s="34"/>
      <c r="Q80" s="193"/>
      <c r="R80" s="193"/>
      <c r="S80" s="192"/>
      <c r="T80" s="192"/>
      <c r="U80" s="192"/>
      <c r="V80" s="192"/>
      <c r="W80" s="192"/>
      <c r="X80" s="35"/>
      <c r="Y80" s="166"/>
      <c r="Z80" s="166"/>
      <c r="AA80" s="16" t="str">
        <f t="shared" si="4"/>
        <v/>
      </c>
    </row>
    <row r="81" spans="3:27" ht="33" customHeight="1">
      <c r="C81" s="84">
        <v>33</v>
      </c>
      <c r="D81" s="32"/>
      <c r="E81" s="33"/>
      <c r="F81" s="32"/>
      <c r="G81" s="32" t="s">
        <v>2</v>
      </c>
      <c r="H81" s="185"/>
      <c r="I81" s="185"/>
      <c r="J81" s="185"/>
      <c r="K81" s="185"/>
      <c r="L81" s="185"/>
      <c r="M81" s="185"/>
      <c r="N81" s="185"/>
      <c r="O81" s="32" t="s">
        <v>2</v>
      </c>
      <c r="P81" s="34"/>
      <c r="Q81" s="193"/>
      <c r="R81" s="193"/>
      <c r="S81" s="192"/>
      <c r="T81" s="192"/>
      <c r="U81" s="192"/>
      <c r="V81" s="192"/>
      <c r="W81" s="192"/>
      <c r="X81" s="35"/>
      <c r="Y81" s="166"/>
      <c r="Z81" s="166"/>
      <c r="AA81" s="16" t="str">
        <f t="shared" si="4"/>
        <v/>
      </c>
    </row>
    <row r="82" spans="3:27" ht="33" customHeight="1">
      <c r="C82" s="84">
        <v>34</v>
      </c>
      <c r="D82" s="32"/>
      <c r="E82" s="33"/>
      <c r="F82" s="32"/>
      <c r="G82" s="32" t="s">
        <v>2</v>
      </c>
      <c r="H82" s="185"/>
      <c r="I82" s="185"/>
      <c r="J82" s="185"/>
      <c r="K82" s="185"/>
      <c r="L82" s="185"/>
      <c r="M82" s="185"/>
      <c r="N82" s="185"/>
      <c r="O82" s="32" t="s">
        <v>2</v>
      </c>
      <c r="P82" s="34"/>
      <c r="Q82" s="193"/>
      <c r="R82" s="193"/>
      <c r="S82" s="192"/>
      <c r="T82" s="192"/>
      <c r="U82" s="192"/>
      <c r="V82" s="192"/>
      <c r="W82" s="192"/>
      <c r="X82" s="35"/>
      <c r="Y82" s="166"/>
      <c r="Z82" s="166"/>
      <c r="AA82" s="16" t="str">
        <f t="shared" si="4"/>
        <v/>
      </c>
    </row>
    <row r="83" spans="3:27" ht="33" customHeight="1">
      <c r="C83" s="84">
        <v>35</v>
      </c>
      <c r="D83" s="32"/>
      <c r="E83" s="33"/>
      <c r="F83" s="32"/>
      <c r="G83" s="32" t="s">
        <v>2</v>
      </c>
      <c r="H83" s="185"/>
      <c r="I83" s="185"/>
      <c r="J83" s="185"/>
      <c r="K83" s="185"/>
      <c r="L83" s="185"/>
      <c r="M83" s="185"/>
      <c r="N83" s="185"/>
      <c r="O83" s="32" t="s">
        <v>2</v>
      </c>
      <c r="P83" s="34"/>
      <c r="Q83" s="193"/>
      <c r="R83" s="193"/>
      <c r="S83" s="192"/>
      <c r="T83" s="192"/>
      <c r="U83" s="192"/>
      <c r="V83" s="192"/>
      <c r="W83" s="192"/>
      <c r="X83" s="35"/>
      <c r="Y83" s="166"/>
      <c r="Z83" s="166"/>
      <c r="AA83" s="16" t="str">
        <f t="shared" si="4"/>
        <v/>
      </c>
    </row>
    <row r="84" spans="3:27" ht="33" customHeight="1">
      <c r="C84" s="84">
        <v>36</v>
      </c>
      <c r="D84" s="32"/>
      <c r="E84" s="33"/>
      <c r="F84" s="32"/>
      <c r="G84" s="32" t="s">
        <v>2</v>
      </c>
      <c r="H84" s="185"/>
      <c r="I84" s="185"/>
      <c r="J84" s="185"/>
      <c r="K84" s="185"/>
      <c r="L84" s="185"/>
      <c r="M84" s="185"/>
      <c r="N84" s="185"/>
      <c r="O84" s="32" t="s">
        <v>2</v>
      </c>
      <c r="P84" s="34"/>
      <c r="Q84" s="193"/>
      <c r="R84" s="193"/>
      <c r="S84" s="192"/>
      <c r="T84" s="192"/>
      <c r="U84" s="192"/>
      <c r="V84" s="192"/>
      <c r="W84" s="192"/>
      <c r="X84" s="35"/>
      <c r="Y84" s="166"/>
      <c r="Z84" s="166"/>
      <c r="AA84" s="16" t="str">
        <f t="shared" si="4"/>
        <v/>
      </c>
    </row>
    <row r="85" spans="3:27" ht="33" customHeight="1">
      <c r="C85" s="84">
        <v>37</v>
      </c>
      <c r="D85" s="32"/>
      <c r="E85" s="33"/>
      <c r="F85" s="32"/>
      <c r="G85" s="32" t="s">
        <v>2</v>
      </c>
      <c r="H85" s="185"/>
      <c r="I85" s="185"/>
      <c r="J85" s="185"/>
      <c r="K85" s="185"/>
      <c r="L85" s="185"/>
      <c r="M85" s="185"/>
      <c r="N85" s="185"/>
      <c r="O85" s="32" t="s">
        <v>2</v>
      </c>
      <c r="P85" s="34"/>
      <c r="Q85" s="193"/>
      <c r="R85" s="193"/>
      <c r="S85" s="192"/>
      <c r="T85" s="192"/>
      <c r="U85" s="192"/>
      <c r="V85" s="192"/>
      <c r="W85" s="192"/>
      <c r="X85" s="35"/>
      <c r="Y85" s="166"/>
      <c r="Z85" s="166"/>
      <c r="AA85" s="16" t="str">
        <f t="shared" si="4"/>
        <v/>
      </c>
    </row>
    <row r="86" spans="3:27" ht="33" customHeight="1">
      <c r="C86" s="84">
        <v>38</v>
      </c>
      <c r="D86" s="32"/>
      <c r="E86" s="33"/>
      <c r="F86" s="32"/>
      <c r="G86" s="32" t="s">
        <v>2</v>
      </c>
      <c r="H86" s="185"/>
      <c r="I86" s="185"/>
      <c r="J86" s="185"/>
      <c r="K86" s="185"/>
      <c r="L86" s="185"/>
      <c r="M86" s="185"/>
      <c r="N86" s="185"/>
      <c r="O86" s="32" t="s">
        <v>2</v>
      </c>
      <c r="P86" s="34"/>
      <c r="Q86" s="193"/>
      <c r="R86" s="193"/>
      <c r="S86" s="192"/>
      <c r="T86" s="192"/>
      <c r="U86" s="192"/>
      <c r="V86" s="192"/>
      <c r="W86" s="192"/>
      <c r="X86" s="35"/>
      <c r="Y86" s="166"/>
      <c r="Z86" s="166"/>
      <c r="AA86" s="16" t="str">
        <f t="shared" si="4"/>
        <v/>
      </c>
    </row>
    <row r="87" spans="3:27" ht="33" customHeight="1">
      <c r="C87" s="84">
        <v>39</v>
      </c>
      <c r="D87" s="32"/>
      <c r="E87" s="33"/>
      <c r="F87" s="32"/>
      <c r="G87" s="32" t="s">
        <v>2</v>
      </c>
      <c r="H87" s="185"/>
      <c r="I87" s="185"/>
      <c r="J87" s="185"/>
      <c r="K87" s="185"/>
      <c r="L87" s="185"/>
      <c r="M87" s="185"/>
      <c r="N87" s="185"/>
      <c r="O87" s="32" t="s">
        <v>2</v>
      </c>
      <c r="P87" s="34"/>
      <c r="Q87" s="193"/>
      <c r="R87" s="193"/>
      <c r="S87" s="192"/>
      <c r="T87" s="192"/>
      <c r="U87" s="192"/>
      <c r="V87" s="192"/>
      <c r="W87" s="192"/>
      <c r="X87" s="35"/>
      <c r="Y87" s="166"/>
      <c r="Z87" s="166"/>
      <c r="AA87" s="16" t="str">
        <f t="shared" si="4"/>
        <v/>
      </c>
    </row>
    <row r="88" spans="3:27" ht="33" customHeight="1">
      <c r="C88" s="84">
        <v>40</v>
      </c>
      <c r="D88" s="32"/>
      <c r="E88" s="33"/>
      <c r="F88" s="32"/>
      <c r="G88" s="32" t="s">
        <v>2</v>
      </c>
      <c r="H88" s="185"/>
      <c r="I88" s="185"/>
      <c r="J88" s="185"/>
      <c r="K88" s="185"/>
      <c r="L88" s="185"/>
      <c r="M88" s="185"/>
      <c r="N88" s="185"/>
      <c r="O88" s="32" t="s">
        <v>2</v>
      </c>
      <c r="P88" s="34"/>
      <c r="Q88" s="193"/>
      <c r="R88" s="193"/>
      <c r="S88" s="192"/>
      <c r="T88" s="192"/>
      <c r="U88" s="192"/>
      <c r="V88" s="192"/>
      <c r="W88" s="192"/>
      <c r="X88" s="35"/>
      <c r="Y88" s="166"/>
      <c r="Z88" s="166"/>
      <c r="AA88" s="16" t="str">
        <f t="shared" si="4"/>
        <v/>
      </c>
    </row>
    <row r="89" spans="3:27" ht="33" customHeight="1">
      <c r="C89" s="84">
        <v>41</v>
      </c>
      <c r="D89" s="32"/>
      <c r="E89" s="33"/>
      <c r="F89" s="32"/>
      <c r="G89" s="32" t="s">
        <v>2</v>
      </c>
      <c r="H89" s="185"/>
      <c r="I89" s="185"/>
      <c r="J89" s="185"/>
      <c r="K89" s="185"/>
      <c r="L89" s="185"/>
      <c r="M89" s="185"/>
      <c r="N89" s="185"/>
      <c r="O89" s="32" t="s">
        <v>2</v>
      </c>
      <c r="P89" s="34"/>
      <c r="Q89" s="193"/>
      <c r="R89" s="193"/>
      <c r="S89" s="192"/>
      <c r="T89" s="192"/>
      <c r="U89" s="192"/>
      <c r="V89" s="192"/>
      <c r="W89" s="192"/>
      <c r="X89" s="35"/>
      <c r="Y89" s="166"/>
      <c r="Z89" s="166"/>
      <c r="AA89" s="16" t="str">
        <f t="shared" si="4"/>
        <v/>
      </c>
    </row>
    <row r="90" spans="3:27" ht="33" customHeight="1">
      <c r="C90" s="84">
        <v>42</v>
      </c>
      <c r="D90" s="32"/>
      <c r="E90" s="33"/>
      <c r="F90" s="32"/>
      <c r="G90" s="32" t="s">
        <v>2</v>
      </c>
      <c r="H90" s="185"/>
      <c r="I90" s="185"/>
      <c r="J90" s="185"/>
      <c r="K90" s="185"/>
      <c r="L90" s="185"/>
      <c r="M90" s="185"/>
      <c r="N90" s="185"/>
      <c r="O90" s="32" t="s">
        <v>2</v>
      </c>
      <c r="P90" s="34"/>
      <c r="Q90" s="193"/>
      <c r="R90" s="193"/>
      <c r="S90" s="192"/>
      <c r="T90" s="192"/>
      <c r="U90" s="192"/>
      <c r="V90" s="192"/>
      <c r="W90" s="192"/>
      <c r="X90" s="35"/>
      <c r="Y90" s="166"/>
      <c r="Z90" s="166"/>
      <c r="AA90" s="16" t="str">
        <f t="shared" si="4"/>
        <v/>
      </c>
    </row>
    <row r="91" spans="3:27" ht="33" customHeight="1">
      <c r="C91" s="84">
        <v>43</v>
      </c>
      <c r="D91" s="32"/>
      <c r="E91" s="33"/>
      <c r="F91" s="32"/>
      <c r="G91" s="32" t="s">
        <v>2</v>
      </c>
      <c r="H91" s="185"/>
      <c r="I91" s="185"/>
      <c r="J91" s="185"/>
      <c r="K91" s="185"/>
      <c r="L91" s="185"/>
      <c r="M91" s="185"/>
      <c r="N91" s="185"/>
      <c r="O91" s="32" t="s">
        <v>2</v>
      </c>
      <c r="P91" s="34"/>
      <c r="Q91" s="193"/>
      <c r="R91" s="193"/>
      <c r="S91" s="192"/>
      <c r="T91" s="192"/>
      <c r="U91" s="192"/>
      <c r="V91" s="192"/>
      <c r="W91" s="192"/>
      <c r="X91" s="35"/>
      <c r="Y91" s="166"/>
      <c r="Z91" s="166"/>
      <c r="AA91" s="16" t="str">
        <f t="shared" si="4"/>
        <v/>
      </c>
    </row>
    <row r="92" spans="3:27" ht="33" customHeight="1">
      <c r="C92" s="84">
        <v>44</v>
      </c>
      <c r="D92" s="32"/>
      <c r="E92" s="33"/>
      <c r="F92" s="32"/>
      <c r="G92" s="32" t="s">
        <v>2</v>
      </c>
      <c r="H92" s="185"/>
      <c r="I92" s="185"/>
      <c r="J92" s="185"/>
      <c r="K92" s="185"/>
      <c r="L92" s="185"/>
      <c r="M92" s="185"/>
      <c r="N92" s="185"/>
      <c r="O92" s="32" t="s">
        <v>2</v>
      </c>
      <c r="P92" s="34"/>
      <c r="Q92" s="193"/>
      <c r="R92" s="193"/>
      <c r="S92" s="192"/>
      <c r="T92" s="192"/>
      <c r="U92" s="192"/>
      <c r="V92" s="192"/>
      <c r="W92" s="192"/>
      <c r="X92" s="35"/>
      <c r="Y92" s="166"/>
      <c r="Z92" s="166"/>
      <c r="AA92" s="16" t="str">
        <f t="shared" si="4"/>
        <v/>
      </c>
    </row>
    <row r="93" spans="3:27" ht="33" customHeight="1">
      <c r="C93" s="84">
        <v>45</v>
      </c>
      <c r="D93" s="32"/>
      <c r="E93" s="33"/>
      <c r="F93" s="32"/>
      <c r="G93" s="32" t="s">
        <v>2</v>
      </c>
      <c r="H93" s="185"/>
      <c r="I93" s="185"/>
      <c r="J93" s="185"/>
      <c r="K93" s="185"/>
      <c r="L93" s="185"/>
      <c r="M93" s="185"/>
      <c r="N93" s="185"/>
      <c r="O93" s="32" t="s">
        <v>2</v>
      </c>
      <c r="P93" s="34"/>
      <c r="Q93" s="193"/>
      <c r="R93" s="193"/>
      <c r="S93" s="192"/>
      <c r="T93" s="192"/>
      <c r="U93" s="192"/>
      <c r="V93" s="192"/>
      <c r="W93" s="192"/>
      <c r="X93" s="35"/>
      <c r="Y93" s="166"/>
      <c r="Z93" s="166"/>
      <c r="AA93" s="16" t="str">
        <f t="shared" si="4"/>
        <v/>
      </c>
    </row>
    <row r="94" spans="3:27" ht="33" customHeight="1">
      <c r="C94" s="84">
        <v>46</v>
      </c>
      <c r="D94" s="32"/>
      <c r="E94" s="33"/>
      <c r="F94" s="32"/>
      <c r="G94" s="32" t="s">
        <v>2</v>
      </c>
      <c r="H94" s="185"/>
      <c r="I94" s="185"/>
      <c r="J94" s="185"/>
      <c r="K94" s="185"/>
      <c r="L94" s="185"/>
      <c r="M94" s="185"/>
      <c r="N94" s="185"/>
      <c r="O94" s="32" t="s">
        <v>2</v>
      </c>
      <c r="P94" s="34"/>
      <c r="Q94" s="193"/>
      <c r="R94" s="193"/>
      <c r="S94" s="192"/>
      <c r="T94" s="192"/>
      <c r="U94" s="192"/>
      <c r="V94" s="192"/>
      <c r="W94" s="192"/>
      <c r="X94" s="35"/>
      <c r="Y94" s="166"/>
      <c r="Z94" s="166"/>
      <c r="AA94" s="16" t="str">
        <f t="shared" si="4"/>
        <v/>
      </c>
    </row>
    <row r="95" spans="3:27" ht="33" customHeight="1">
      <c r="C95" s="84">
        <v>47</v>
      </c>
      <c r="D95" s="32"/>
      <c r="E95" s="33"/>
      <c r="F95" s="32"/>
      <c r="G95" s="32" t="s">
        <v>2</v>
      </c>
      <c r="H95" s="185"/>
      <c r="I95" s="185"/>
      <c r="J95" s="185"/>
      <c r="K95" s="185"/>
      <c r="L95" s="185"/>
      <c r="M95" s="185"/>
      <c r="N95" s="185"/>
      <c r="O95" s="32" t="s">
        <v>2</v>
      </c>
      <c r="P95" s="34"/>
      <c r="Q95" s="193"/>
      <c r="R95" s="193"/>
      <c r="S95" s="192"/>
      <c r="T95" s="192"/>
      <c r="U95" s="192"/>
      <c r="V95" s="192"/>
      <c r="W95" s="192"/>
      <c r="X95" s="35"/>
      <c r="Y95" s="166"/>
      <c r="Z95" s="166"/>
      <c r="AA95" s="16" t="str">
        <f t="shared" si="4"/>
        <v/>
      </c>
    </row>
    <row r="96" spans="3:27" ht="33" customHeight="1">
      <c r="C96" s="84">
        <v>48</v>
      </c>
      <c r="D96" s="32"/>
      <c r="E96" s="33"/>
      <c r="F96" s="32"/>
      <c r="G96" s="32" t="s">
        <v>2</v>
      </c>
      <c r="H96" s="185"/>
      <c r="I96" s="185"/>
      <c r="J96" s="185"/>
      <c r="K96" s="185"/>
      <c r="L96" s="185"/>
      <c r="M96" s="185"/>
      <c r="N96" s="185"/>
      <c r="O96" s="32" t="s">
        <v>2</v>
      </c>
      <c r="P96" s="34"/>
      <c r="Q96" s="193"/>
      <c r="R96" s="193"/>
      <c r="S96" s="192"/>
      <c r="T96" s="192"/>
      <c r="U96" s="192"/>
      <c r="V96" s="192"/>
      <c r="W96" s="192"/>
      <c r="X96" s="35"/>
      <c r="Y96" s="166"/>
      <c r="Z96" s="166"/>
      <c r="AA96" s="16" t="str">
        <f t="shared" si="4"/>
        <v/>
      </c>
    </row>
    <row r="97" spans="3:28" ht="33" customHeight="1">
      <c r="C97" s="84">
        <v>49</v>
      </c>
      <c r="D97" s="32"/>
      <c r="E97" s="33"/>
      <c r="F97" s="32"/>
      <c r="G97" s="32" t="s">
        <v>2</v>
      </c>
      <c r="H97" s="185"/>
      <c r="I97" s="185"/>
      <c r="J97" s="185"/>
      <c r="K97" s="185"/>
      <c r="L97" s="185"/>
      <c r="M97" s="185"/>
      <c r="N97" s="185"/>
      <c r="O97" s="32" t="s">
        <v>2</v>
      </c>
      <c r="P97" s="34"/>
      <c r="Q97" s="193"/>
      <c r="R97" s="193"/>
      <c r="S97" s="192"/>
      <c r="T97" s="192"/>
      <c r="U97" s="192"/>
      <c r="V97" s="192"/>
      <c r="W97" s="192"/>
      <c r="X97" s="35"/>
      <c r="Y97" s="166"/>
      <c r="Z97" s="166"/>
      <c r="AA97" s="16" t="str">
        <f t="shared" si="4"/>
        <v/>
      </c>
    </row>
    <row r="98" spans="3:28" ht="33" customHeight="1">
      <c r="C98" s="84">
        <v>50</v>
      </c>
      <c r="D98" s="32"/>
      <c r="E98" s="33"/>
      <c r="F98" s="32"/>
      <c r="G98" s="32" t="s">
        <v>2</v>
      </c>
      <c r="H98" s="185"/>
      <c r="I98" s="185"/>
      <c r="J98" s="185"/>
      <c r="K98" s="185"/>
      <c r="L98" s="185"/>
      <c r="M98" s="185"/>
      <c r="N98" s="185"/>
      <c r="O98" s="32" t="s">
        <v>2</v>
      </c>
      <c r="P98" s="34"/>
      <c r="Q98" s="193"/>
      <c r="R98" s="193"/>
      <c r="S98" s="192"/>
      <c r="T98" s="192"/>
      <c r="U98" s="192"/>
      <c r="V98" s="192"/>
      <c r="W98" s="192"/>
      <c r="X98" s="35"/>
      <c r="Y98" s="166"/>
      <c r="Z98" s="166"/>
      <c r="AA98" s="16" t="str">
        <f t="shared" si="4"/>
        <v/>
      </c>
    </row>
    <row r="99" spans="3:28" ht="9.9499999999999993" customHeight="1">
      <c r="C99" s="36"/>
      <c r="D99" s="37"/>
      <c r="E99" s="38"/>
      <c r="F99" s="37"/>
      <c r="G99" s="37"/>
      <c r="H99" s="320"/>
      <c r="I99" s="320"/>
      <c r="J99" s="320"/>
      <c r="K99" s="320"/>
      <c r="L99" s="320"/>
      <c r="M99" s="320"/>
      <c r="N99" s="320"/>
      <c r="O99" s="37"/>
      <c r="P99" s="39"/>
      <c r="Q99" s="321"/>
      <c r="R99" s="321"/>
      <c r="S99" s="323"/>
      <c r="T99" s="323"/>
      <c r="U99" s="323"/>
      <c r="V99" s="323"/>
      <c r="W99" s="323"/>
      <c r="X99" s="40"/>
      <c r="Y99" s="322"/>
      <c r="Z99" s="322"/>
      <c r="AA99" s="41" t="str">
        <f>IF(G99="Issue",D99,"")</f>
        <v/>
      </c>
      <c r="AB99" s="41"/>
    </row>
    <row r="100" spans="3:28" s="14" customFormat="1" ht="16.5">
      <c r="C100" s="14" t="s">
        <v>202</v>
      </c>
    </row>
    <row r="101" spans="3:28" ht="76.5" customHeight="1">
      <c r="C101" s="165" t="s">
        <v>470</v>
      </c>
      <c r="D101" s="170"/>
      <c r="E101" s="170"/>
      <c r="F101" s="170"/>
      <c r="G101" s="170"/>
      <c r="H101" s="318" t="s">
        <v>471</v>
      </c>
      <c r="I101" s="319"/>
      <c r="J101" s="319"/>
      <c r="K101" s="319"/>
      <c r="L101" s="319"/>
      <c r="M101" s="319"/>
      <c r="N101" s="319"/>
      <c r="O101" s="319"/>
      <c r="P101" s="319"/>
      <c r="Q101" s="319"/>
      <c r="R101" s="319"/>
      <c r="S101" s="319"/>
      <c r="T101" s="319"/>
      <c r="U101" s="319"/>
      <c r="V101" s="319"/>
      <c r="W101" s="319"/>
      <c r="X101" s="319"/>
      <c r="Y101" s="319"/>
      <c r="Z101" s="319"/>
    </row>
    <row r="102" spans="3:28">
      <c r="K102" s="42"/>
      <c r="L102" s="42"/>
      <c r="M102" s="42"/>
      <c r="N102" s="42"/>
      <c r="O102" s="42"/>
      <c r="P102" s="42"/>
      <c r="Q102" s="42"/>
      <c r="R102" s="42"/>
      <c r="S102" s="42"/>
      <c r="T102" s="42"/>
      <c r="U102" s="42"/>
      <c r="V102" s="42"/>
      <c r="W102" s="42"/>
      <c r="X102" s="42"/>
      <c r="Y102" s="42"/>
      <c r="Z102" s="42"/>
    </row>
    <row r="103" spans="3:28" ht="16.5">
      <c r="C103" s="16" t="s">
        <v>472</v>
      </c>
      <c r="K103" s="43"/>
      <c r="L103" s="43"/>
      <c r="M103" s="43"/>
      <c r="N103" s="43"/>
      <c r="O103" s="43"/>
      <c r="P103" s="43"/>
      <c r="Q103" s="43"/>
      <c r="R103" s="43"/>
      <c r="S103" s="43"/>
      <c r="T103" s="43"/>
      <c r="U103" s="43"/>
      <c r="V103" s="43"/>
      <c r="W103" s="43"/>
      <c r="X103" s="43"/>
      <c r="Y103" s="43"/>
      <c r="Z103" s="43"/>
    </row>
    <row r="104" spans="3:28" ht="51" customHeight="1">
      <c r="C104" s="196" t="s">
        <v>493</v>
      </c>
      <c r="D104" s="197"/>
      <c r="E104" s="197"/>
      <c r="F104" s="197"/>
      <c r="G104" s="197"/>
      <c r="H104" s="197"/>
      <c r="I104" s="197"/>
      <c r="J104" s="197"/>
      <c r="K104" s="197"/>
      <c r="L104" s="197"/>
      <c r="M104" s="197"/>
      <c r="N104" s="197"/>
      <c r="O104" s="197"/>
      <c r="P104" s="197"/>
      <c r="Q104" s="197"/>
      <c r="R104" s="197"/>
      <c r="S104" s="197"/>
      <c r="T104" s="197"/>
      <c r="U104" s="197"/>
      <c r="V104" s="197"/>
      <c r="W104" s="197"/>
      <c r="X104" s="197"/>
      <c r="Y104" s="197"/>
      <c r="Z104" s="198"/>
    </row>
  </sheetData>
  <dataConsolidate/>
  <mergeCells count="369">
    <mergeCell ref="Y51:Z51"/>
    <mergeCell ref="N28:S28"/>
    <mergeCell ref="N29:O29"/>
    <mergeCell ref="P29:Q29"/>
    <mergeCell ref="R29:S29"/>
    <mergeCell ref="N30:O30"/>
    <mergeCell ref="P30:Q30"/>
    <mergeCell ref="R30:S30"/>
    <mergeCell ref="S86:W86"/>
    <mergeCell ref="Y86:Z86"/>
    <mergeCell ref="S67:W67"/>
    <mergeCell ref="H68:N68"/>
    <mergeCell ref="Q68:R68"/>
    <mergeCell ref="S68:W68"/>
    <mergeCell ref="Y68:Z68"/>
    <mergeCell ref="H79:N79"/>
    <mergeCell ref="Q79:R79"/>
    <mergeCell ref="S79:W79"/>
    <mergeCell ref="Y79:Z79"/>
    <mergeCell ref="H76:N76"/>
    <mergeCell ref="Q76:R76"/>
    <mergeCell ref="S76:W76"/>
    <mergeCell ref="Y76:Z76"/>
    <mergeCell ref="H77:N77"/>
    <mergeCell ref="Q77:R77"/>
    <mergeCell ref="S80:W80"/>
    <mergeCell ref="Y80:Z80"/>
    <mergeCell ref="H81:N81"/>
    <mergeCell ref="Q81:R81"/>
    <mergeCell ref="S81:W81"/>
    <mergeCell ref="Y81:Z81"/>
    <mergeCell ref="H82:N82"/>
    <mergeCell ref="Q82:R82"/>
    <mergeCell ref="S82:W82"/>
    <mergeCell ref="Y82:Z82"/>
    <mergeCell ref="S77:W77"/>
    <mergeCell ref="Y77:Z77"/>
    <mergeCell ref="H78:N78"/>
    <mergeCell ref="Q78:R78"/>
    <mergeCell ref="S78:W78"/>
    <mergeCell ref="Y78:Z78"/>
    <mergeCell ref="S88:W88"/>
    <mergeCell ref="Y88:Z88"/>
    <mergeCell ref="H83:N83"/>
    <mergeCell ref="Q83:R83"/>
    <mergeCell ref="S83:W83"/>
    <mergeCell ref="Y83:Z83"/>
    <mergeCell ref="H84:N84"/>
    <mergeCell ref="Q84:R84"/>
    <mergeCell ref="S84:W84"/>
    <mergeCell ref="Y84:Z84"/>
    <mergeCell ref="H85:N85"/>
    <mergeCell ref="Q85:R85"/>
    <mergeCell ref="S85:W85"/>
    <mergeCell ref="Y85:Z85"/>
    <mergeCell ref="H86:N86"/>
    <mergeCell ref="Q86:R86"/>
    <mergeCell ref="H87:N87"/>
    <mergeCell ref="Q87:R87"/>
    <mergeCell ref="S87:W87"/>
    <mergeCell ref="Y87:Z87"/>
    <mergeCell ref="S73:W73"/>
    <mergeCell ref="H74:N74"/>
    <mergeCell ref="H65:N65"/>
    <mergeCell ref="Q65:R65"/>
    <mergeCell ref="S65:W65"/>
    <mergeCell ref="Y65:Z65"/>
    <mergeCell ref="H66:N66"/>
    <mergeCell ref="Q66:R66"/>
    <mergeCell ref="S66:W66"/>
    <mergeCell ref="Y66:Z66"/>
    <mergeCell ref="Y67:Z67"/>
    <mergeCell ref="Q74:R74"/>
    <mergeCell ref="S74:W74"/>
    <mergeCell ref="Y74:Z74"/>
    <mergeCell ref="H71:N71"/>
    <mergeCell ref="Q71:R71"/>
    <mergeCell ref="S71:W71"/>
    <mergeCell ref="Y71:Z71"/>
    <mergeCell ref="S72:W72"/>
    <mergeCell ref="Y72:Z72"/>
    <mergeCell ref="H67:N67"/>
    <mergeCell ref="Q67:R67"/>
    <mergeCell ref="S62:W62"/>
    <mergeCell ref="Y62:Z62"/>
    <mergeCell ref="H63:N63"/>
    <mergeCell ref="Q63:R63"/>
    <mergeCell ref="S63:W63"/>
    <mergeCell ref="Y63:Z63"/>
    <mergeCell ref="H64:N64"/>
    <mergeCell ref="Q64:R64"/>
    <mergeCell ref="S64:W64"/>
    <mergeCell ref="Y64:Z64"/>
    <mergeCell ref="S59:W59"/>
    <mergeCell ref="Y59:Z59"/>
    <mergeCell ref="H60:N60"/>
    <mergeCell ref="Q60:R60"/>
    <mergeCell ref="S60:W60"/>
    <mergeCell ref="Y60:Z60"/>
    <mergeCell ref="H61:N61"/>
    <mergeCell ref="Q61:R61"/>
    <mergeCell ref="S61:W61"/>
    <mergeCell ref="Y61:Z61"/>
    <mergeCell ref="S56:W56"/>
    <mergeCell ref="Y56:Z56"/>
    <mergeCell ref="H57:N57"/>
    <mergeCell ref="Q57:R57"/>
    <mergeCell ref="S57:W57"/>
    <mergeCell ref="Y57:Z57"/>
    <mergeCell ref="H58:N58"/>
    <mergeCell ref="Q58:R58"/>
    <mergeCell ref="S58:W58"/>
    <mergeCell ref="Y58:Z58"/>
    <mergeCell ref="Y53:Z53"/>
    <mergeCell ref="H54:N54"/>
    <mergeCell ref="Q54:R54"/>
    <mergeCell ref="S54:W54"/>
    <mergeCell ref="Y54:Z54"/>
    <mergeCell ref="H55:N55"/>
    <mergeCell ref="Q55:R55"/>
    <mergeCell ref="S55:W55"/>
    <mergeCell ref="Y55:Z55"/>
    <mergeCell ref="S75:W75"/>
    <mergeCell ref="Y75:Z75"/>
    <mergeCell ref="H49:N49"/>
    <mergeCell ref="Q49:R49"/>
    <mergeCell ref="S49:W49"/>
    <mergeCell ref="Y49:Z49"/>
    <mergeCell ref="H50:N50"/>
    <mergeCell ref="Q50:R50"/>
    <mergeCell ref="S50:W50"/>
    <mergeCell ref="Y50:Z50"/>
    <mergeCell ref="H51:N51"/>
    <mergeCell ref="Q51:R51"/>
    <mergeCell ref="S51:W51"/>
    <mergeCell ref="H52:N52"/>
    <mergeCell ref="Q52:R52"/>
    <mergeCell ref="S52:W52"/>
    <mergeCell ref="Y52:Z52"/>
    <mergeCell ref="H70:N70"/>
    <mergeCell ref="Q70:R70"/>
    <mergeCell ref="S70:W70"/>
    <mergeCell ref="Y70:Z70"/>
    <mergeCell ref="H53:N53"/>
    <mergeCell ref="Q53:R53"/>
    <mergeCell ref="S53:W53"/>
    <mergeCell ref="C101:G101"/>
    <mergeCell ref="H101:Z101"/>
    <mergeCell ref="S89:W89"/>
    <mergeCell ref="S90:W90"/>
    <mergeCell ref="S91:W91"/>
    <mergeCell ref="S92:W92"/>
    <mergeCell ref="S93:W93"/>
    <mergeCell ref="S94:W94"/>
    <mergeCell ref="S95:W95"/>
    <mergeCell ref="S96:W96"/>
    <mergeCell ref="S97:W97"/>
    <mergeCell ref="S98:W98"/>
    <mergeCell ref="H97:N97"/>
    <mergeCell ref="H98:N98"/>
    <mergeCell ref="H99:N99"/>
    <mergeCell ref="Q97:R97"/>
    <mergeCell ref="Q98:R98"/>
    <mergeCell ref="Q99:R99"/>
    <mergeCell ref="Y99:Z99"/>
    <mergeCell ref="S99:W99"/>
    <mergeCell ref="Y96:Z96"/>
    <mergeCell ref="Y97:Z97"/>
    <mergeCell ref="Y98:Z98"/>
    <mergeCell ref="H96:N96"/>
    <mergeCell ref="T33:U34"/>
    <mergeCell ref="V33:V34"/>
    <mergeCell ref="W33:X33"/>
    <mergeCell ref="Y33:Z33"/>
    <mergeCell ref="C40:D40"/>
    <mergeCell ref="C41:D41"/>
    <mergeCell ref="C42:D42"/>
    <mergeCell ref="C43:D43"/>
    <mergeCell ref="C45:D45"/>
    <mergeCell ref="T45:U45"/>
    <mergeCell ref="Q45:S45"/>
    <mergeCell ref="L45:P45"/>
    <mergeCell ref="E45:K45"/>
    <mergeCell ref="E39:K39"/>
    <mergeCell ref="L39:P39"/>
    <mergeCell ref="Q39:S39"/>
    <mergeCell ref="T39:U39"/>
    <mergeCell ref="C39:D39"/>
    <mergeCell ref="C44:D44"/>
    <mergeCell ref="E44:K44"/>
    <mergeCell ref="L44:P44"/>
    <mergeCell ref="Q44:S44"/>
    <mergeCell ref="T44:U44"/>
    <mergeCell ref="E38:K38"/>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G24:H24"/>
    <mergeCell ref="I24:Z24"/>
    <mergeCell ref="C26:F26"/>
    <mergeCell ref="G26:H26"/>
    <mergeCell ref="I26:J26"/>
    <mergeCell ref="K26:L26"/>
    <mergeCell ref="M26:N26"/>
    <mergeCell ref="O26:P26"/>
    <mergeCell ref="Q26:R26"/>
    <mergeCell ref="S26:T26"/>
    <mergeCell ref="U26:V26"/>
    <mergeCell ref="K25:L25"/>
    <mergeCell ref="M25:N25"/>
    <mergeCell ref="O25:P25"/>
    <mergeCell ref="Q25:R25"/>
    <mergeCell ref="S25:T25"/>
    <mergeCell ref="U25:V25"/>
    <mergeCell ref="X25:Z25"/>
    <mergeCell ref="C25:F25"/>
    <mergeCell ref="G25:H25"/>
    <mergeCell ref="I25:J25"/>
    <mergeCell ref="Q33:S34"/>
    <mergeCell ref="C30:G30"/>
    <mergeCell ref="C31:G31"/>
    <mergeCell ref="H30:I30"/>
    <mergeCell ref="H31:I31"/>
    <mergeCell ref="C33:D34"/>
    <mergeCell ref="N31:O31"/>
    <mergeCell ref="P31:Q31"/>
    <mergeCell ref="R31:S31"/>
    <mergeCell ref="E41:K41"/>
    <mergeCell ref="E42:K42"/>
    <mergeCell ref="E43:K43"/>
    <mergeCell ref="J30:K30"/>
    <mergeCell ref="J31:K31"/>
    <mergeCell ref="L30:M30"/>
    <mergeCell ref="L31:M31"/>
    <mergeCell ref="E33:K34"/>
    <mergeCell ref="L33:P34"/>
    <mergeCell ref="Q96:R96"/>
    <mergeCell ref="H69:N69"/>
    <mergeCell ref="Q69:R69"/>
    <mergeCell ref="H75:N75"/>
    <mergeCell ref="Q75:R75"/>
    <mergeCell ref="H56:N56"/>
    <mergeCell ref="Q56:R56"/>
    <mergeCell ref="H59:N59"/>
    <mergeCell ref="Q59:R59"/>
    <mergeCell ref="H62:N62"/>
    <mergeCell ref="Q62:R62"/>
    <mergeCell ref="H73:N73"/>
    <mergeCell ref="Q73:R73"/>
    <mergeCell ref="Q89:R89"/>
    <mergeCell ref="Q90:R90"/>
    <mergeCell ref="H94:N94"/>
    <mergeCell ref="H95:N95"/>
    <mergeCell ref="Q91:R91"/>
    <mergeCell ref="Q92:R92"/>
    <mergeCell ref="Q93:R93"/>
    <mergeCell ref="Q94:R94"/>
    <mergeCell ref="Q95:R95"/>
    <mergeCell ref="H72:N72"/>
    <mergeCell ref="Q72:R72"/>
    <mergeCell ref="Y94:Z94"/>
    <mergeCell ref="Y95:Z95"/>
    <mergeCell ref="Y69:Z69"/>
    <mergeCell ref="Y73:Z73"/>
    <mergeCell ref="C104:Z104"/>
    <mergeCell ref="C35:D35"/>
    <mergeCell ref="E35:K35"/>
    <mergeCell ref="L35:P35"/>
    <mergeCell ref="Q35:S35"/>
    <mergeCell ref="T35:U35"/>
    <mergeCell ref="C36:D36"/>
    <mergeCell ref="E36:K36"/>
    <mergeCell ref="L36:P36"/>
    <mergeCell ref="Q36:S36"/>
    <mergeCell ref="T36:U36"/>
    <mergeCell ref="C37:D37"/>
    <mergeCell ref="E37:K37"/>
    <mergeCell ref="L37:P37"/>
    <mergeCell ref="Q37:S37"/>
    <mergeCell ref="T37:U37"/>
    <mergeCell ref="C38:D38"/>
    <mergeCell ref="H47:N48"/>
    <mergeCell ref="O47:O48"/>
    <mergeCell ref="H89:N89"/>
    <mergeCell ref="Y92:Z92"/>
    <mergeCell ref="Y93:Z93"/>
    <mergeCell ref="H90:N90"/>
    <mergeCell ref="H91:N91"/>
    <mergeCell ref="H92:N92"/>
    <mergeCell ref="H93:N93"/>
    <mergeCell ref="L38:P38"/>
    <mergeCell ref="Q38:S38"/>
    <mergeCell ref="T38:U38"/>
    <mergeCell ref="P47:P48"/>
    <mergeCell ref="S47:W48"/>
    <mergeCell ref="S69:W69"/>
    <mergeCell ref="Q47:R48"/>
    <mergeCell ref="H88:N88"/>
    <mergeCell ref="Q88:R88"/>
    <mergeCell ref="H80:N80"/>
    <mergeCell ref="Q80:R80"/>
    <mergeCell ref="T40:U40"/>
    <mergeCell ref="T41:U41"/>
    <mergeCell ref="T42:U42"/>
    <mergeCell ref="T43:U43"/>
    <mergeCell ref="Q40:S40"/>
    <mergeCell ref="Q41:S41"/>
    <mergeCell ref="Q42:S42"/>
    <mergeCell ref="W28:X28"/>
    <mergeCell ref="Y28:Z28"/>
    <mergeCell ref="J2:X2"/>
    <mergeCell ref="C23:F24"/>
    <mergeCell ref="X47:X48"/>
    <mergeCell ref="Y47:Z48"/>
    <mergeCell ref="Y89:Z89"/>
    <mergeCell ref="Y90:Z90"/>
    <mergeCell ref="Y91:Z91"/>
    <mergeCell ref="C47:C48"/>
    <mergeCell ref="D47:E47"/>
    <mergeCell ref="F47:F48"/>
    <mergeCell ref="G47:G48"/>
    <mergeCell ref="H29:I29"/>
    <mergeCell ref="J29:K29"/>
    <mergeCell ref="L29:M29"/>
    <mergeCell ref="H28:M28"/>
    <mergeCell ref="C28:G29"/>
    <mergeCell ref="Q43:S43"/>
    <mergeCell ref="L40:P40"/>
    <mergeCell ref="L41:P41"/>
    <mergeCell ref="L42:P42"/>
    <mergeCell ref="L43:P43"/>
    <mergeCell ref="E40:K40"/>
  </mergeCells>
  <phoneticPr fontId="8"/>
  <conditionalFormatting sqref="O23:R23">
    <cfRule type="expression" dxfId="654" priority="879">
      <formula>$G$20="Team"</formula>
    </cfRule>
  </conditionalFormatting>
  <conditionalFormatting sqref="C25:Z25 G23:R23">
    <cfRule type="expression" dxfId="653" priority="882">
      <formula>$G$20="Pass-around"</formula>
    </cfRule>
  </conditionalFormatting>
  <conditionalFormatting sqref="C26:H26 G23:J23 O23:R23 K26:L26 O26:V26">
    <cfRule type="expression" dxfId="652" priority="881">
      <formula>$G$20="Walk-through"</formula>
    </cfRule>
  </conditionalFormatting>
  <conditionalFormatting sqref="X67:Z99 O67:R99">
    <cfRule type="expression" dxfId="651" priority="870">
      <formula>$G67="Q&amp;A"</formula>
    </cfRule>
  </conditionalFormatting>
  <conditionalFormatting sqref="A1:XFD1 AA2:XFD2 A3:XFD11 A2:J2 A23:C23 A24:B24 G23:XFD24 A22:XFD22 A20:J20 A25:XFD25 A28:T29 AA28:XFD31 A32:XFD34 A17:XFD18 A16:T16 AA12:XFD16 A12:F15 A19:F19 AA19:XFD19 A21:M21 U20:XFD21 A27:XFD27 A26:H26 K26:L26 A30:G31 N30:T31 A40:XFD48 A35:D39 V38:XFD39 AA35:XFD37 A67:XFD100 A54:C66 AA54:XFD66 V35:V37 O26:XFD26 A105:XFD1048576 A101:B104 AA101:XFD104">
    <cfRule type="cellIs" dxfId="650" priority="884" operator="equal">
      <formula>"(Select)"</formula>
    </cfRule>
  </conditionalFormatting>
  <conditionalFormatting sqref="K21:M21">
    <cfRule type="expression" dxfId="649" priority="867">
      <formula>$G21="use 'Peer Review Checklist' sheet"</formula>
    </cfRule>
  </conditionalFormatting>
  <conditionalFormatting sqref="N20">
    <cfRule type="cellIs" dxfId="648" priority="861" operator="equal">
      <formula>"(Select)"</formula>
    </cfRule>
  </conditionalFormatting>
  <conditionalFormatting sqref="K20:M20">
    <cfRule type="cellIs" dxfId="647" priority="860" operator="equal">
      <formula>"(Select)"</formula>
    </cfRule>
  </conditionalFormatting>
  <conditionalFormatting sqref="K20:M20">
    <cfRule type="expression" dxfId="646" priority="859">
      <formula>$G20="use 'Peer Review Checklist' sheet"</formula>
    </cfRule>
  </conditionalFormatting>
  <conditionalFormatting sqref="O67:Z98">
    <cfRule type="expression" dxfId="645" priority="857">
      <formula>$G67="proceedings"</formula>
    </cfRule>
  </conditionalFormatting>
  <conditionalFormatting sqref="O67:Z98">
    <cfRule type="expression" dxfId="644" priority="856">
      <formula>$G67="proceedings"</formula>
    </cfRule>
  </conditionalFormatting>
  <conditionalFormatting sqref="O67:Z98">
    <cfRule type="expression" dxfId="643" priority="855">
      <formula>$G67="proceedings"</formula>
    </cfRule>
  </conditionalFormatting>
  <conditionalFormatting sqref="U28:Z31">
    <cfRule type="cellIs" dxfId="642" priority="854" operator="equal">
      <formula>"(Select)"</formula>
    </cfRule>
  </conditionalFormatting>
  <conditionalFormatting sqref="U12:W16">
    <cfRule type="cellIs" dxfId="641" priority="853" operator="equal">
      <formula>"(Select)"</formula>
    </cfRule>
  </conditionalFormatting>
  <conditionalFormatting sqref="X12:Z16">
    <cfRule type="cellIs" dxfId="640" priority="852" operator="equal">
      <formula>"(Select)"</formula>
    </cfRule>
  </conditionalFormatting>
  <conditionalFormatting sqref="G12:T15">
    <cfRule type="cellIs" dxfId="639" priority="851" operator="equal">
      <formula>"(Select)"</formula>
    </cfRule>
  </conditionalFormatting>
  <conditionalFormatting sqref="G19:Z19">
    <cfRule type="cellIs" dxfId="638" priority="850" operator="equal">
      <formula>"(Select)"</formula>
    </cfRule>
  </conditionalFormatting>
  <conditionalFormatting sqref="I26:J26">
    <cfRule type="expression" dxfId="637" priority="846">
      <formula>$G$20="Walk-through"</formula>
    </cfRule>
  </conditionalFormatting>
  <conditionalFormatting sqref="I26:J26">
    <cfRule type="cellIs" dxfId="636" priority="847" operator="equal">
      <formula>"(Select)"</formula>
    </cfRule>
  </conditionalFormatting>
  <conditionalFormatting sqref="J30:K31">
    <cfRule type="cellIs" dxfId="635" priority="844" operator="equal">
      <formula>"(Select)"</formula>
    </cfRule>
  </conditionalFormatting>
  <conditionalFormatting sqref="L30:M31">
    <cfRule type="cellIs" dxfId="634" priority="843" operator="equal">
      <formula>"(Select)"</formula>
    </cfRule>
  </conditionalFormatting>
  <conditionalFormatting sqref="T35:U35 Q39:S39 Q36:Q38 T36">
    <cfRule type="cellIs" dxfId="633" priority="842" operator="equal">
      <formula>"(Select)"</formula>
    </cfRule>
  </conditionalFormatting>
  <conditionalFormatting sqref="L39">
    <cfRule type="cellIs" dxfId="632" priority="837" operator="equal">
      <formula>"(Select)"</formula>
    </cfRule>
  </conditionalFormatting>
  <conditionalFormatting sqref="E39 L39">
    <cfRule type="cellIs" dxfId="631" priority="836" operator="equal">
      <formula>"(Select)"</formula>
    </cfRule>
  </conditionalFormatting>
  <conditionalFormatting sqref="E39">
    <cfRule type="cellIs" dxfId="630" priority="835" operator="equal">
      <formula>"(Select)"</formula>
    </cfRule>
  </conditionalFormatting>
  <conditionalFormatting sqref="W35:Z35 W36:W37 Y36:Z37">
    <cfRule type="cellIs" dxfId="629" priority="834" operator="equal">
      <formula>"(Select)"</formula>
    </cfRule>
  </conditionalFormatting>
  <conditionalFormatting sqref="X54:Z54 P54:R54 P59:R62 P55:Q58 X55:Y58">
    <cfRule type="expression" dxfId="628" priority="832">
      <formula>$G54="Q&amp;A"</formula>
    </cfRule>
  </conditionalFormatting>
  <conditionalFormatting sqref="D55:F62 P55:Q58 S55:S58 X55:Y58 P59:W62 P54:Z54">
    <cfRule type="cellIs" dxfId="627" priority="833" operator="equal">
      <formula>"(Select)"</formula>
    </cfRule>
  </conditionalFormatting>
  <conditionalFormatting sqref="P54:Z54 P59:W62 P55:Q58 S55:S58 X55:Y58">
    <cfRule type="expression" dxfId="626" priority="830">
      <formula>$G54="proceedings"</formula>
    </cfRule>
  </conditionalFormatting>
  <conditionalFormatting sqref="P54:Z54 P59:W62 P55:Q58 S55:S58 X55:Y58">
    <cfRule type="expression" dxfId="625" priority="829">
      <formula>$G54="proceedings"</formula>
    </cfRule>
  </conditionalFormatting>
  <conditionalFormatting sqref="P54:Z54 P59:W62 P55:Q58 S55:S58 X55:Y58">
    <cfRule type="expression" dxfId="624" priority="828">
      <formula>$G54="proceedings"</formula>
    </cfRule>
  </conditionalFormatting>
  <conditionalFormatting sqref="P54:R54">
    <cfRule type="expression" dxfId="623" priority="813">
      <formula>$G54="proceedings"</formula>
    </cfRule>
  </conditionalFormatting>
  <conditionalFormatting sqref="P54">
    <cfRule type="expression" dxfId="622" priority="812">
      <formula>$G54="proceedings"</formula>
    </cfRule>
  </conditionalFormatting>
  <conditionalFormatting sqref="Q54:R54">
    <cfRule type="expression" dxfId="621" priority="811">
      <formula>$G54="proceedings"</formula>
    </cfRule>
  </conditionalFormatting>
  <conditionalFormatting sqref="Q54:R54">
    <cfRule type="expression" dxfId="620" priority="810">
      <formula>$G54="proceedings"</formula>
    </cfRule>
  </conditionalFormatting>
  <conditionalFormatting sqref="P56:Q56">
    <cfRule type="expression" dxfId="619" priority="809">
      <formula>$G56="proceedings"</formula>
    </cfRule>
  </conditionalFormatting>
  <conditionalFormatting sqref="P56">
    <cfRule type="expression" dxfId="618" priority="808">
      <formula>$G56="proceedings"</formula>
    </cfRule>
  </conditionalFormatting>
  <conditionalFormatting sqref="Q56">
    <cfRule type="expression" dxfId="617" priority="807">
      <formula>$G56="proceedings"</formula>
    </cfRule>
  </conditionalFormatting>
  <conditionalFormatting sqref="Q56">
    <cfRule type="expression" dxfId="616" priority="806">
      <formula>$G56="proceedings"</formula>
    </cfRule>
  </conditionalFormatting>
  <conditionalFormatting sqref="P55:Q55">
    <cfRule type="expression" dxfId="615" priority="805">
      <formula>$G55="proceedings"</formula>
    </cfRule>
  </conditionalFormatting>
  <conditionalFormatting sqref="P55">
    <cfRule type="expression" dxfId="614" priority="804">
      <formula>$G55="proceedings"</formula>
    </cfRule>
  </conditionalFormatting>
  <conditionalFormatting sqref="Q55">
    <cfRule type="expression" dxfId="613" priority="803">
      <formula>$G55="proceedings"</formula>
    </cfRule>
  </conditionalFormatting>
  <conditionalFormatting sqref="Q55">
    <cfRule type="expression" dxfId="612" priority="802">
      <formula>$G55="proceedings"</formula>
    </cfRule>
  </conditionalFormatting>
  <conditionalFormatting sqref="X54:Z54 X55:Y56">
    <cfRule type="expression" dxfId="611" priority="799">
      <formula>$G54="proceedings"</formula>
    </cfRule>
  </conditionalFormatting>
  <conditionalFormatting sqref="Q57">
    <cfRule type="expression" dxfId="610" priority="798">
      <formula>$G57="proceedings"</formula>
    </cfRule>
  </conditionalFormatting>
  <conditionalFormatting sqref="Q57">
    <cfRule type="expression" dxfId="609" priority="797">
      <formula>$G57="proceedings"</formula>
    </cfRule>
  </conditionalFormatting>
  <conditionalFormatting sqref="Q57">
    <cfRule type="expression" dxfId="608" priority="796">
      <formula>$G57="proceedings"</formula>
    </cfRule>
  </conditionalFormatting>
  <conditionalFormatting sqref="X57:Y57">
    <cfRule type="expression" dxfId="607" priority="795">
      <formula>$G57="proceedings"</formula>
    </cfRule>
  </conditionalFormatting>
  <conditionalFormatting sqref="Q59:R59">
    <cfRule type="expression" dxfId="606" priority="794">
      <formula>$G59="proceedings"</formula>
    </cfRule>
  </conditionalFormatting>
  <conditionalFormatting sqref="Q59:R59">
    <cfRule type="expression" dxfId="605" priority="793">
      <formula>$G59="proceedings"</formula>
    </cfRule>
  </conditionalFormatting>
  <conditionalFormatting sqref="Q59:R59">
    <cfRule type="expression" dxfId="604" priority="792">
      <formula>$G59="proceedings"</formula>
    </cfRule>
  </conditionalFormatting>
  <conditionalFormatting sqref="Q60:R60">
    <cfRule type="expression" dxfId="603" priority="791">
      <formula>$G60="proceedings"</formula>
    </cfRule>
  </conditionalFormatting>
  <conditionalFormatting sqref="Q60:R60">
    <cfRule type="expression" dxfId="602" priority="790">
      <formula>$G60="proceedings"</formula>
    </cfRule>
  </conditionalFormatting>
  <conditionalFormatting sqref="Q60:R60">
    <cfRule type="expression" dxfId="601" priority="789">
      <formula>$G60="proceedings"</formula>
    </cfRule>
  </conditionalFormatting>
  <conditionalFormatting sqref="P54:R54">
    <cfRule type="expression" dxfId="600" priority="778">
      <formula>$G54="proceedings"</formula>
    </cfRule>
  </conditionalFormatting>
  <conditionalFormatting sqref="P54">
    <cfRule type="expression" dxfId="599" priority="777">
      <formula>$G54="proceedings"</formula>
    </cfRule>
  </conditionalFormatting>
  <conditionalFormatting sqref="Q54:R54">
    <cfRule type="expression" dxfId="598" priority="776">
      <formula>$G54="proceedings"</formula>
    </cfRule>
  </conditionalFormatting>
  <conditionalFormatting sqref="Q54:R54">
    <cfRule type="expression" dxfId="597" priority="775">
      <formula>$G54="proceedings"</formula>
    </cfRule>
  </conditionalFormatting>
  <conditionalFormatting sqref="P54:R54">
    <cfRule type="expression" dxfId="596" priority="774">
      <formula>$G54="proceedings"</formula>
    </cfRule>
  </conditionalFormatting>
  <conditionalFormatting sqref="P54">
    <cfRule type="expression" dxfId="595" priority="773">
      <formula>$G54="proceedings"</formula>
    </cfRule>
  </conditionalFormatting>
  <conditionalFormatting sqref="Q54:R54">
    <cfRule type="expression" dxfId="594" priority="772">
      <formula>$G54="proceedings"</formula>
    </cfRule>
  </conditionalFormatting>
  <conditionalFormatting sqref="Q54:R54">
    <cfRule type="expression" dxfId="593" priority="771">
      <formula>$G54="proceedings"</formula>
    </cfRule>
  </conditionalFormatting>
  <conditionalFormatting sqref="P54:R54">
    <cfRule type="expression" dxfId="592" priority="770">
      <formula>$G54="proceedings"</formula>
    </cfRule>
  </conditionalFormatting>
  <conditionalFormatting sqref="Q54:R54">
    <cfRule type="expression" dxfId="591" priority="769">
      <formula>$G54="proceedings"</formula>
    </cfRule>
  </conditionalFormatting>
  <conditionalFormatting sqref="P55:Q55">
    <cfRule type="expression" dxfId="590" priority="768">
      <formula>$G55="proceedings"</formula>
    </cfRule>
  </conditionalFormatting>
  <conditionalFormatting sqref="P55">
    <cfRule type="expression" dxfId="589" priority="767">
      <formula>$G55="proceedings"</formula>
    </cfRule>
  </conditionalFormatting>
  <conditionalFormatting sqref="Q55">
    <cfRule type="expression" dxfId="588" priority="766">
      <formula>$G55="proceedings"</formula>
    </cfRule>
  </conditionalFormatting>
  <conditionalFormatting sqref="Q55">
    <cfRule type="expression" dxfId="587" priority="765">
      <formula>$G55="proceedings"</formula>
    </cfRule>
  </conditionalFormatting>
  <conditionalFormatting sqref="P55:Q55">
    <cfRule type="expression" dxfId="586" priority="764">
      <formula>$G55="proceedings"</formula>
    </cfRule>
  </conditionalFormatting>
  <conditionalFormatting sqref="P55">
    <cfRule type="expression" dxfId="585" priority="763">
      <formula>$G55="proceedings"</formula>
    </cfRule>
  </conditionalFormatting>
  <conditionalFormatting sqref="Q55">
    <cfRule type="expression" dxfId="584" priority="762">
      <formula>$G55="proceedings"</formula>
    </cfRule>
  </conditionalFormatting>
  <conditionalFormatting sqref="Q55">
    <cfRule type="expression" dxfId="583" priority="761">
      <formula>$G55="proceedings"</formula>
    </cfRule>
  </conditionalFormatting>
  <conditionalFormatting sqref="P55:Q55">
    <cfRule type="expression" dxfId="582" priority="760">
      <formula>$G55="proceedings"</formula>
    </cfRule>
  </conditionalFormatting>
  <conditionalFormatting sqref="P55">
    <cfRule type="expression" dxfId="581" priority="759">
      <formula>$G55="proceedings"</formula>
    </cfRule>
  </conditionalFormatting>
  <conditionalFormatting sqref="Q55">
    <cfRule type="expression" dxfId="580" priority="758">
      <formula>$G55="proceedings"</formula>
    </cfRule>
  </conditionalFormatting>
  <conditionalFormatting sqref="Q55">
    <cfRule type="expression" dxfId="579" priority="757">
      <formula>$G55="proceedings"</formula>
    </cfRule>
  </conditionalFormatting>
  <conditionalFormatting sqref="P55:Q55">
    <cfRule type="expression" dxfId="578" priority="756">
      <formula>$G55="proceedings"</formula>
    </cfRule>
  </conditionalFormatting>
  <conditionalFormatting sqref="Q55">
    <cfRule type="expression" dxfId="577" priority="755">
      <formula>$G55="proceedings"</formula>
    </cfRule>
  </conditionalFormatting>
  <conditionalFormatting sqref="P56:Q56">
    <cfRule type="expression" dxfId="576" priority="754">
      <formula>$G56="proceedings"</formula>
    </cfRule>
  </conditionalFormatting>
  <conditionalFormatting sqref="P56">
    <cfRule type="expression" dxfId="575" priority="753">
      <formula>$G56="proceedings"</formula>
    </cfRule>
  </conditionalFormatting>
  <conditionalFormatting sqref="Q56">
    <cfRule type="expression" dxfId="574" priority="752">
      <formula>$G56="proceedings"</formula>
    </cfRule>
  </conditionalFormatting>
  <conditionalFormatting sqref="Q56">
    <cfRule type="expression" dxfId="573" priority="751">
      <formula>$G56="proceedings"</formula>
    </cfRule>
  </conditionalFormatting>
  <conditionalFormatting sqref="P56:Q56">
    <cfRule type="expression" dxfId="572" priority="750">
      <formula>$G56="proceedings"</formula>
    </cfRule>
  </conditionalFormatting>
  <conditionalFormatting sqref="P56">
    <cfRule type="expression" dxfId="571" priority="749">
      <formula>$G56="proceedings"</formula>
    </cfRule>
  </conditionalFormatting>
  <conditionalFormatting sqref="Q56">
    <cfRule type="expression" dxfId="570" priority="748">
      <formula>$G56="proceedings"</formula>
    </cfRule>
  </conditionalFormatting>
  <conditionalFormatting sqref="Q56">
    <cfRule type="expression" dxfId="569" priority="747">
      <formula>$G56="proceedings"</formula>
    </cfRule>
  </conditionalFormatting>
  <conditionalFormatting sqref="P56:Q56">
    <cfRule type="expression" dxfId="568" priority="746">
      <formula>$G56="proceedings"</formula>
    </cfRule>
  </conditionalFormatting>
  <conditionalFormatting sqref="P56">
    <cfRule type="expression" dxfId="567" priority="745">
      <formula>$G56="proceedings"</formula>
    </cfRule>
  </conditionalFormatting>
  <conditionalFormatting sqref="Q56">
    <cfRule type="expression" dxfId="566" priority="744">
      <formula>$G56="proceedings"</formula>
    </cfRule>
  </conditionalFormatting>
  <conditionalFormatting sqref="Q56">
    <cfRule type="expression" dxfId="565" priority="743">
      <formula>$G56="proceedings"</formula>
    </cfRule>
  </conditionalFormatting>
  <conditionalFormatting sqref="P56:Q56">
    <cfRule type="expression" dxfId="564" priority="742">
      <formula>$G56="proceedings"</formula>
    </cfRule>
  </conditionalFormatting>
  <conditionalFormatting sqref="P56">
    <cfRule type="expression" dxfId="563" priority="741">
      <formula>$G56="proceedings"</formula>
    </cfRule>
  </conditionalFormatting>
  <conditionalFormatting sqref="Q56">
    <cfRule type="expression" dxfId="562" priority="740">
      <formula>$G56="proceedings"</formula>
    </cfRule>
  </conditionalFormatting>
  <conditionalFormatting sqref="Q56">
    <cfRule type="expression" dxfId="561" priority="739">
      <formula>$G56="proceedings"</formula>
    </cfRule>
  </conditionalFormatting>
  <conditionalFormatting sqref="P56:Q56">
    <cfRule type="expression" dxfId="560" priority="738">
      <formula>$G56="proceedings"</formula>
    </cfRule>
  </conditionalFormatting>
  <conditionalFormatting sqref="Q56">
    <cfRule type="expression" dxfId="559" priority="737">
      <formula>$G56="proceedings"</formula>
    </cfRule>
  </conditionalFormatting>
  <conditionalFormatting sqref="P57:Q57">
    <cfRule type="expression" dxfId="558" priority="736">
      <formula>$G57="proceedings"</formula>
    </cfRule>
  </conditionalFormatting>
  <conditionalFormatting sqref="P57">
    <cfRule type="expression" dxfId="557" priority="735">
      <formula>$G57="proceedings"</formula>
    </cfRule>
  </conditionalFormatting>
  <conditionalFormatting sqref="Q57">
    <cfRule type="expression" dxfId="556" priority="734">
      <formula>$G57="proceedings"</formula>
    </cfRule>
  </conditionalFormatting>
  <conditionalFormatting sqref="Q57">
    <cfRule type="expression" dxfId="555" priority="733">
      <formula>$G57="proceedings"</formula>
    </cfRule>
  </conditionalFormatting>
  <conditionalFormatting sqref="P57:Q57">
    <cfRule type="expression" dxfId="554" priority="732">
      <formula>$G57="proceedings"</formula>
    </cfRule>
  </conditionalFormatting>
  <conditionalFormatting sqref="P57">
    <cfRule type="expression" dxfId="553" priority="731">
      <formula>$G57="proceedings"</formula>
    </cfRule>
  </conditionalFormatting>
  <conditionalFormatting sqref="Q57">
    <cfRule type="expression" dxfId="552" priority="730">
      <formula>$G57="proceedings"</formula>
    </cfRule>
  </conditionalFormatting>
  <conditionalFormatting sqref="Q57">
    <cfRule type="expression" dxfId="551" priority="729">
      <formula>$G57="proceedings"</formula>
    </cfRule>
  </conditionalFormatting>
  <conditionalFormatting sqref="P57:Q57">
    <cfRule type="expression" dxfId="550" priority="728">
      <formula>$G57="proceedings"</formula>
    </cfRule>
  </conditionalFormatting>
  <conditionalFormatting sqref="P57">
    <cfRule type="expression" dxfId="549" priority="727">
      <formula>$G57="proceedings"</formula>
    </cfRule>
  </conditionalFormatting>
  <conditionalFormatting sqref="Q57">
    <cfRule type="expression" dxfId="548" priority="726">
      <formula>$G57="proceedings"</formula>
    </cfRule>
  </conditionalFormatting>
  <conditionalFormatting sqref="Q57">
    <cfRule type="expression" dxfId="547" priority="725">
      <formula>$G57="proceedings"</formula>
    </cfRule>
  </conditionalFormatting>
  <conditionalFormatting sqref="P57:Q57">
    <cfRule type="expression" dxfId="546" priority="724">
      <formula>$G57="proceedings"</formula>
    </cfRule>
  </conditionalFormatting>
  <conditionalFormatting sqref="P57">
    <cfRule type="expression" dxfId="545" priority="723">
      <formula>$G57="proceedings"</formula>
    </cfRule>
  </conditionalFormatting>
  <conditionalFormatting sqref="Q57">
    <cfRule type="expression" dxfId="544" priority="722">
      <formula>$G57="proceedings"</formula>
    </cfRule>
  </conditionalFormatting>
  <conditionalFormatting sqref="Q57">
    <cfRule type="expression" dxfId="543" priority="721">
      <formula>$G57="proceedings"</formula>
    </cfRule>
  </conditionalFormatting>
  <conditionalFormatting sqref="P57:Q57">
    <cfRule type="expression" dxfId="542" priority="720">
      <formula>$G57="proceedings"</formula>
    </cfRule>
  </conditionalFormatting>
  <conditionalFormatting sqref="P57">
    <cfRule type="expression" dxfId="541" priority="719">
      <formula>$G57="proceedings"</formula>
    </cfRule>
  </conditionalFormatting>
  <conditionalFormatting sqref="Q57">
    <cfRule type="expression" dxfId="540" priority="718">
      <formula>$G57="proceedings"</formula>
    </cfRule>
  </conditionalFormatting>
  <conditionalFormatting sqref="Q57">
    <cfRule type="expression" dxfId="539" priority="717">
      <formula>$G57="proceedings"</formula>
    </cfRule>
  </conditionalFormatting>
  <conditionalFormatting sqref="P57:Q57">
    <cfRule type="expression" dxfId="538" priority="716">
      <formula>$G57="proceedings"</formula>
    </cfRule>
  </conditionalFormatting>
  <conditionalFormatting sqref="Q57">
    <cfRule type="expression" dxfId="537" priority="715">
      <formula>$G57="proceedings"</formula>
    </cfRule>
  </conditionalFormatting>
  <conditionalFormatting sqref="Q58">
    <cfRule type="expression" dxfId="536" priority="714">
      <formula>$G58="proceedings"</formula>
    </cfRule>
  </conditionalFormatting>
  <conditionalFormatting sqref="Q58">
    <cfRule type="expression" dxfId="535" priority="713">
      <formula>$G58="proceedings"</formula>
    </cfRule>
  </conditionalFormatting>
  <conditionalFormatting sqref="Q58">
    <cfRule type="expression" dxfId="534" priority="712">
      <formula>$G58="proceedings"</formula>
    </cfRule>
  </conditionalFormatting>
  <conditionalFormatting sqref="P58:Q58">
    <cfRule type="expression" dxfId="533" priority="711">
      <formula>$G58="proceedings"</formula>
    </cfRule>
  </conditionalFormatting>
  <conditionalFormatting sqref="P58">
    <cfRule type="expression" dxfId="532" priority="710">
      <formula>$G58="proceedings"</formula>
    </cfRule>
  </conditionalFormatting>
  <conditionalFormatting sqref="Q58">
    <cfRule type="expression" dxfId="531" priority="709">
      <formula>$G58="proceedings"</formula>
    </cfRule>
  </conditionalFormatting>
  <conditionalFormatting sqref="Q58">
    <cfRule type="expression" dxfId="530" priority="708">
      <formula>$G58="proceedings"</formula>
    </cfRule>
  </conditionalFormatting>
  <conditionalFormatting sqref="P58:Q58">
    <cfRule type="expression" dxfId="529" priority="707">
      <formula>$G58="proceedings"</formula>
    </cfRule>
  </conditionalFormatting>
  <conditionalFormatting sqref="P58">
    <cfRule type="expression" dxfId="528" priority="706">
      <formula>$G58="proceedings"</formula>
    </cfRule>
  </conditionalFormatting>
  <conditionalFormatting sqref="Q58">
    <cfRule type="expression" dxfId="527" priority="705">
      <formula>$G58="proceedings"</formula>
    </cfRule>
  </conditionalFormatting>
  <conditionalFormatting sqref="Q58">
    <cfRule type="expression" dxfId="526" priority="704">
      <formula>$G58="proceedings"</formula>
    </cfRule>
  </conditionalFormatting>
  <conditionalFormatting sqref="P58:Q58">
    <cfRule type="expression" dxfId="525" priority="703">
      <formula>$G58="proceedings"</formula>
    </cfRule>
  </conditionalFormatting>
  <conditionalFormatting sqref="P58">
    <cfRule type="expression" dxfId="524" priority="702">
      <formula>$G58="proceedings"</formula>
    </cfRule>
  </conditionalFormatting>
  <conditionalFormatting sqref="Q58">
    <cfRule type="expression" dxfId="523" priority="701">
      <formula>$G58="proceedings"</formula>
    </cfRule>
  </conditionalFormatting>
  <conditionalFormatting sqref="Q58">
    <cfRule type="expression" dxfId="522" priority="700">
      <formula>$G58="proceedings"</formula>
    </cfRule>
  </conditionalFormatting>
  <conditionalFormatting sqref="P58:Q58">
    <cfRule type="expression" dxfId="521" priority="699">
      <formula>$G58="proceedings"</formula>
    </cfRule>
  </conditionalFormatting>
  <conditionalFormatting sqref="P58">
    <cfRule type="expression" dxfId="520" priority="698">
      <formula>$G58="proceedings"</formula>
    </cfRule>
  </conditionalFormatting>
  <conditionalFormatting sqref="Q58">
    <cfRule type="expression" dxfId="519" priority="697">
      <formula>$G58="proceedings"</formula>
    </cfRule>
  </conditionalFormatting>
  <conditionalFormatting sqref="Q58">
    <cfRule type="expression" dxfId="518" priority="696">
      <formula>$G58="proceedings"</formula>
    </cfRule>
  </conditionalFormatting>
  <conditionalFormatting sqref="P58:Q58">
    <cfRule type="expression" dxfId="517" priority="695">
      <formula>$G58="proceedings"</formula>
    </cfRule>
  </conditionalFormatting>
  <conditionalFormatting sqref="P58">
    <cfRule type="expression" dxfId="516" priority="694">
      <formula>$G58="proceedings"</formula>
    </cfRule>
  </conditionalFormatting>
  <conditionalFormatting sqref="Q58">
    <cfRule type="expression" dxfId="515" priority="693">
      <formula>$G58="proceedings"</formula>
    </cfRule>
  </conditionalFormatting>
  <conditionalFormatting sqref="Q58">
    <cfRule type="expression" dxfId="514" priority="692">
      <formula>$G58="proceedings"</formula>
    </cfRule>
  </conditionalFormatting>
  <conditionalFormatting sqref="P58:Q58">
    <cfRule type="expression" dxfId="513" priority="691">
      <formula>$G58="proceedings"</formula>
    </cfRule>
  </conditionalFormatting>
  <conditionalFormatting sqref="Q58">
    <cfRule type="expression" dxfId="512" priority="690">
      <formula>$G58="proceedings"</formula>
    </cfRule>
  </conditionalFormatting>
  <conditionalFormatting sqref="Q60:R60">
    <cfRule type="expression" dxfId="511" priority="689">
      <formula>$G60="proceedings"</formula>
    </cfRule>
  </conditionalFormatting>
  <conditionalFormatting sqref="Q60:R60">
    <cfRule type="expression" dxfId="510" priority="688">
      <formula>$G60="proceedings"</formula>
    </cfRule>
  </conditionalFormatting>
  <conditionalFormatting sqref="Q60:R60">
    <cfRule type="expression" dxfId="509" priority="687">
      <formula>$G60="proceedings"</formula>
    </cfRule>
  </conditionalFormatting>
  <conditionalFormatting sqref="Q61:R61">
    <cfRule type="expression" dxfId="508" priority="686">
      <formula>$G61="proceedings"</formula>
    </cfRule>
  </conditionalFormatting>
  <conditionalFormatting sqref="Q61:R61">
    <cfRule type="expression" dxfId="507" priority="685">
      <formula>$G61="proceedings"</formula>
    </cfRule>
  </conditionalFormatting>
  <conditionalFormatting sqref="Q61:R61">
    <cfRule type="expression" dxfId="506" priority="684">
      <formula>$G61="proceedings"</formula>
    </cfRule>
  </conditionalFormatting>
  <conditionalFormatting sqref="Q62:R62">
    <cfRule type="expression" dxfId="505" priority="683">
      <formula>$G62="proceedings"</formula>
    </cfRule>
  </conditionalFormatting>
  <conditionalFormatting sqref="Q62:R62">
    <cfRule type="expression" dxfId="504" priority="682">
      <formula>$G62="proceedings"</formula>
    </cfRule>
  </conditionalFormatting>
  <conditionalFormatting sqref="Q62:R62">
    <cfRule type="expression" dxfId="503" priority="681">
      <formula>$G62="proceedings"</formula>
    </cfRule>
  </conditionalFormatting>
  <conditionalFormatting sqref="X54:Z54">
    <cfRule type="expression" dxfId="502" priority="679">
      <formula>$G54="proceedings"</formula>
    </cfRule>
  </conditionalFormatting>
  <conditionalFormatting sqref="X54:Z54">
    <cfRule type="expression" dxfId="501" priority="678">
      <formula>$G54="proceedings"</formula>
    </cfRule>
  </conditionalFormatting>
  <conditionalFormatting sqref="X54:Z54">
    <cfRule type="expression" dxfId="500" priority="677">
      <formula>$G54="proceedings"</formula>
    </cfRule>
  </conditionalFormatting>
  <conditionalFormatting sqref="X57:Y57">
    <cfRule type="expression" dxfId="499" priority="676">
      <formula>$G57="proceedings"</formula>
    </cfRule>
  </conditionalFormatting>
  <conditionalFormatting sqref="X57:Y57">
    <cfRule type="expression" dxfId="498" priority="675">
      <formula>$G57="proceedings"</formula>
    </cfRule>
  </conditionalFormatting>
  <conditionalFormatting sqref="X57:Y57">
    <cfRule type="expression" dxfId="497" priority="674">
      <formula>$G57="proceedings"</formula>
    </cfRule>
  </conditionalFormatting>
  <conditionalFormatting sqref="X58:Y58">
    <cfRule type="expression" dxfId="496" priority="673">
      <formula>$G58="proceedings"</formula>
    </cfRule>
  </conditionalFormatting>
  <conditionalFormatting sqref="X58:Y58">
    <cfRule type="expression" dxfId="495" priority="672">
      <formula>$G58="proceedings"</formula>
    </cfRule>
  </conditionalFormatting>
  <conditionalFormatting sqref="X58:Y58">
    <cfRule type="expression" dxfId="494" priority="671">
      <formula>$G58="proceedings"</formula>
    </cfRule>
  </conditionalFormatting>
  <conditionalFormatting sqref="X58:Y58">
    <cfRule type="expression" dxfId="493" priority="670">
      <formula>$G58="proceedings"</formula>
    </cfRule>
  </conditionalFormatting>
  <conditionalFormatting sqref="X59:Z62 X55:Y58">
    <cfRule type="expression" dxfId="492" priority="664">
      <formula>$G55="Q&amp;A"</formula>
    </cfRule>
  </conditionalFormatting>
  <conditionalFormatting sqref="X59:Z62 X55:Y58">
    <cfRule type="cellIs" dxfId="491" priority="665" operator="equal">
      <formula>"(Select)"</formula>
    </cfRule>
  </conditionalFormatting>
  <conditionalFormatting sqref="X59:Z62 X55:Y58">
    <cfRule type="expression" dxfId="490" priority="663">
      <formula>$G55="proceedings"</formula>
    </cfRule>
  </conditionalFormatting>
  <conditionalFormatting sqref="X59:Z62 X55:Y58">
    <cfRule type="expression" dxfId="489" priority="662">
      <formula>$G55="proceedings"</formula>
    </cfRule>
  </conditionalFormatting>
  <conditionalFormatting sqref="X59:Z62 X55:Y58">
    <cfRule type="expression" dxfId="488" priority="661">
      <formula>$G55="proceedings"</formula>
    </cfRule>
  </conditionalFormatting>
  <conditionalFormatting sqref="X59:Z59">
    <cfRule type="expression" dxfId="487" priority="660">
      <formula>$G59="proceedings"</formula>
    </cfRule>
  </conditionalFormatting>
  <conditionalFormatting sqref="X60:Z60">
    <cfRule type="expression" dxfId="486" priority="659">
      <formula>$G60="proceedings"</formula>
    </cfRule>
  </conditionalFormatting>
  <conditionalFormatting sqref="Y59:Z59">
    <cfRule type="expression" dxfId="485" priority="658">
      <formula>$G59="proceedings"</formula>
    </cfRule>
  </conditionalFormatting>
  <conditionalFormatting sqref="Y59:Z59">
    <cfRule type="expression" dxfId="484" priority="657">
      <formula>$G59="proceedings"</formula>
    </cfRule>
  </conditionalFormatting>
  <conditionalFormatting sqref="Y59:Z59">
    <cfRule type="expression" dxfId="483" priority="656">
      <formula>$G59="proceedings"</formula>
    </cfRule>
  </conditionalFormatting>
  <conditionalFormatting sqref="Y60:Z60">
    <cfRule type="expression" dxfId="482" priority="655">
      <formula>$G60="proceedings"</formula>
    </cfRule>
  </conditionalFormatting>
  <conditionalFormatting sqref="Y60:Z60">
    <cfRule type="expression" dxfId="481" priority="654">
      <formula>$G60="proceedings"</formula>
    </cfRule>
  </conditionalFormatting>
  <conditionalFormatting sqref="Y60:Z60">
    <cfRule type="expression" dxfId="480" priority="653">
      <formula>$G60="proceedings"</formula>
    </cfRule>
  </conditionalFormatting>
  <conditionalFormatting sqref="X59:Z59">
    <cfRule type="expression" dxfId="479" priority="652">
      <formula>$G59="proceedings"</formula>
    </cfRule>
  </conditionalFormatting>
  <conditionalFormatting sqref="Y59:Z59">
    <cfRule type="expression" dxfId="478" priority="651">
      <formula>$G59="proceedings"</formula>
    </cfRule>
  </conditionalFormatting>
  <conditionalFormatting sqref="Y59:Z59">
    <cfRule type="expression" dxfId="477" priority="650">
      <formula>$G59="proceedings"</formula>
    </cfRule>
  </conditionalFormatting>
  <conditionalFormatting sqref="Y59:Z59">
    <cfRule type="expression" dxfId="476" priority="649">
      <formula>$G59="proceedings"</formula>
    </cfRule>
  </conditionalFormatting>
  <conditionalFormatting sqref="Q54:R54">
    <cfRule type="expression" dxfId="475" priority="631">
      <formula>$G54="proceedings"</formula>
    </cfRule>
  </conditionalFormatting>
  <conditionalFormatting sqref="Q54:R54">
    <cfRule type="expression" dxfId="474" priority="630">
      <formula>$G54="proceedings"</formula>
    </cfRule>
  </conditionalFormatting>
  <conditionalFormatting sqref="Q54:R54">
    <cfRule type="expression" dxfId="473" priority="629">
      <formula>$G54="proceedings"</formula>
    </cfRule>
  </conditionalFormatting>
  <conditionalFormatting sqref="X54:Z54">
    <cfRule type="expression" dxfId="472" priority="628">
      <formula>$G54="proceedings"</formula>
    </cfRule>
  </conditionalFormatting>
  <conditionalFormatting sqref="P54:R54">
    <cfRule type="expression" dxfId="471" priority="627">
      <formula>$G54="proceedings"</formula>
    </cfRule>
  </conditionalFormatting>
  <conditionalFormatting sqref="P54">
    <cfRule type="expression" dxfId="470" priority="626">
      <formula>$G54="proceedings"</formula>
    </cfRule>
  </conditionalFormatting>
  <conditionalFormatting sqref="Q54:R54">
    <cfRule type="expression" dxfId="469" priority="625">
      <formula>$G54="proceedings"</formula>
    </cfRule>
  </conditionalFormatting>
  <conditionalFormatting sqref="Q54:R54">
    <cfRule type="expression" dxfId="468" priority="624">
      <formula>$G54="proceedings"</formula>
    </cfRule>
  </conditionalFormatting>
  <conditionalFormatting sqref="P54:R54">
    <cfRule type="expression" dxfId="467" priority="623">
      <formula>$G54="proceedings"</formula>
    </cfRule>
  </conditionalFormatting>
  <conditionalFormatting sqref="P54">
    <cfRule type="expression" dxfId="466" priority="622">
      <formula>$G54="proceedings"</formula>
    </cfRule>
  </conditionalFormatting>
  <conditionalFormatting sqref="Q54:R54">
    <cfRule type="expression" dxfId="465" priority="621">
      <formula>$G54="proceedings"</formula>
    </cfRule>
  </conditionalFormatting>
  <conditionalFormatting sqref="Q54:R54">
    <cfRule type="expression" dxfId="464" priority="620">
      <formula>$G54="proceedings"</formula>
    </cfRule>
  </conditionalFormatting>
  <conditionalFormatting sqref="P54:R54">
    <cfRule type="expression" dxfId="463" priority="619">
      <formula>$G54="proceedings"</formula>
    </cfRule>
  </conditionalFormatting>
  <conditionalFormatting sqref="P54">
    <cfRule type="expression" dxfId="462" priority="618">
      <formula>$G54="proceedings"</formula>
    </cfRule>
  </conditionalFormatting>
  <conditionalFormatting sqref="Q54:R54">
    <cfRule type="expression" dxfId="461" priority="617">
      <formula>$G54="proceedings"</formula>
    </cfRule>
  </conditionalFormatting>
  <conditionalFormatting sqref="Q54:R54">
    <cfRule type="expression" dxfId="460" priority="616">
      <formula>$G54="proceedings"</formula>
    </cfRule>
  </conditionalFormatting>
  <conditionalFormatting sqref="P54:R54">
    <cfRule type="expression" dxfId="459" priority="615">
      <formula>$G54="proceedings"</formula>
    </cfRule>
  </conditionalFormatting>
  <conditionalFormatting sqref="P54">
    <cfRule type="expression" dxfId="458" priority="614">
      <formula>$G54="proceedings"</formula>
    </cfRule>
  </conditionalFormatting>
  <conditionalFormatting sqref="Q54:R54">
    <cfRule type="expression" dxfId="457" priority="613">
      <formula>$G54="proceedings"</formula>
    </cfRule>
  </conditionalFormatting>
  <conditionalFormatting sqref="Q54:R54">
    <cfRule type="expression" dxfId="456" priority="612">
      <formula>$G54="proceedings"</formula>
    </cfRule>
  </conditionalFormatting>
  <conditionalFormatting sqref="P54:R54">
    <cfRule type="expression" dxfId="455" priority="611">
      <formula>$G54="proceedings"</formula>
    </cfRule>
  </conditionalFormatting>
  <conditionalFormatting sqref="P54">
    <cfRule type="expression" dxfId="454" priority="610">
      <formula>$G54="proceedings"</formula>
    </cfRule>
  </conditionalFormatting>
  <conditionalFormatting sqref="Q54:R54">
    <cfRule type="expression" dxfId="453" priority="609">
      <formula>$G54="proceedings"</formula>
    </cfRule>
  </conditionalFormatting>
  <conditionalFormatting sqref="Q54:R54">
    <cfRule type="expression" dxfId="452" priority="608">
      <formula>$G54="proceedings"</formula>
    </cfRule>
  </conditionalFormatting>
  <conditionalFormatting sqref="P54:R54">
    <cfRule type="expression" dxfId="451" priority="607">
      <formula>$G54="proceedings"</formula>
    </cfRule>
  </conditionalFormatting>
  <conditionalFormatting sqref="Q54:R54">
    <cfRule type="expression" dxfId="450" priority="606">
      <formula>$G54="proceedings"</formula>
    </cfRule>
  </conditionalFormatting>
  <conditionalFormatting sqref="X54:Z54">
    <cfRule type="expression" dxfId="449" priority="605">
      <formula>$G54="proceedings"</formula>
    </cfRule>
  </conditionalFormatting>
  <conditionalFormatting sqref="X54:Z54">
    <cfRule type="expression" dxfId="448" priority="604">
      <formula>$G54="proceedings"</formula>
    </cfRule>
  </conditionalFormatting>
  <conditionalFormatting sqref="X54:Z54">
    <cfRule type="expression" dxfId="447" priority="603">
      <formula>$G54="proceedings"</formula>
    </cfRule>
  </conditionalFormatting>
  <conditionalFormatting sqref="Q55">
    <cfRule type="expression" dxfId="446" priority="602">
      <formula>$G55="proceedings"</formula>
    </cfRule>
  </conditionalFormatting>
  <conditionalFormatting sqref="Q55">
    <cfRule type="expression" dxfId="445" priority="601">
      <formula>$G55="proceedings"</formula>
    </cfRule>
  </conditionalFormatting>
  <conditionalFormatting sqref="Q55">
    <cfRule type="expression" dxfId="444" priority="600">
      <formula>$G55="proceedings"</formula>
    </cfRule>
  </conditionalFormatting>
  <conditionalFormatting sqref="Q56">
    <cfRule type="expression" dxfId="443" priority="599">
      <formula>$G56="proceedings"</formula>
    </cfRule>
  </conditionalFormatting>
  <conditionalFormatting sqref="Q56">
    <cfRule type="expression" dxfId="442" priority="598">
      <formula>$G56="proceedings"</formula>
    </cfRule>
  </conditionalFormatting>
  <conditionalFormatting sqref="Q56">
    <cfRule type="expression" dxfId="441" priority="597">
      <formula>$G56="proceedings"</formula>
    </cfRule>
  </conditionalFormatting>
  <conditionalFormatting sqref="Q56">
    <cfRule type="expression" dxfId="440" priority="596">
      <formula>$G56="proceedings"</formula>
    </cfRule>
  </conditionalFormatting>
  <conditionalFormatting sqref="Q56">
    <cfRule type="expression" dxfId="439" priority="595">
      <formula>$G56="proceedings"</formula>
    </cfRule>
  </conditionalFormatting>
  <conditionalFormatting sqref="Q56">
    <cfRule type="expression" dxfId="438" priority="594">
      <formula>$G56="proceedings"</formula>
    </cfRule>
  </conditionalFormatting>
  <conditionalFormatting sqref="Q57">
    <cfRule type="expression" dxfId="437" priority="593">
      <formula>$G57="proceedings"</formula>
    </cfRule>
  </conditionalFormatting>
  <conditionalFormatting sqref="Q57">
    <cfRule type="expression" dxfId="436" priority="592">
      <formula>$G57="proceedings"</formula>
    </cfRule>
  </conditionalFormatting>
  <conditionalFormatting sqref="Q57">
    <cfRule type="expression" dxfId="435" priority="591">
      <formula>$G57="proceedings"</formula>
    </cfRule>
  </conditionalFormatting>
  <conditionalFormatting sqref="Q60:R60">
    <cfRule type="expression" dxfId="434" priority="590">
      <formula>$G60="proceedings"</formula>
    </cfRule>
  </conditionalFormatting>
  <conditionalFormatting sqref="Q60:R60">
    <cfRule type="expression" dxfId="433" priority="589">
      <formula>$G60="proceedings"</formula>
    </cfRule>
  </conditionalFormatting>
  <conditionalFormatting sqref="Q60:R60">
    <cfRule type="expression" dxfId="432" priority="588">
      <formula>$G60="proceedings"</formula>
    </cfRule>
  </conditionalFormatting>
  <conditionalFormatting sqref="Q61:R61">
    <cfRule type="expression" dxfId="431" priority="587">
      <formula>$G61="proceedings"</formula>
    </cfRule>
  </conditionalFormatting>
  <conditionalFormatting sqref="Q61:R61">
    <cfRule type="expression" dxfId="430" priority="586">
      <formula>$G61="proceedings"</formula>
    </cfRule>
  </conditionalFormatting>
  <conditionalFormatting sqref="Q61:R61">
    <cfRule type="expression" dxfId="429" priority="585">
      <formula>$G61="proceedings"</formula>
    </cfRule>
  </conditionalFormatting>
  <conditionalFormatting sqref="Q59:R59">
    <cfRule type="expression" dxfId="428" priority="584">
      <formula>$G59="proceedings"</formula>
    </cfRule>
  </conditionalFormatting>
  <conditionalFormatting sqref="Q59:R59">
    <cfRule type="expression" dxfId="427" priority="583">
      <formula>$G59="proceedings"</formula>
    </cfRule>
  </conditionalFormatting>
  <conditionalFormatting sqref="Q59:R59">
    <cfRule type="expression" dxfId="426" priority="582">
      <formula>$G59="proceedings"</formula>
    </cfRule>
  </conditionalFormatting>
  <conditionalFormatting sqref="Q58">
    <cfRule type="expression" dxfId="425" priority="581">
      <formula>$G58="proceedings"</formula>
    </cfRule>
  </conditionalFormatting>
  <conditionalFormatting sqref="Q58">
    <cfRule type="expression" dxfId="424" priority="580">
      <formula>$G58="proceedings"</formula>
    </cfRule>
  </conditionalFormatting>
  <conditionalFormatting sqref="Q58">
    <cfRule type="expression" dxfId="423" priority="579">
      <formula>$G58="proceedings"</formula>
    </cfRule>
  </conditionalFormatting>
  <conditionalFormatting sqref="X55:Y55">
    <cfRule type="expression" dxfId="422" priority="578">
      <formula>$G55="proceedings"</formula>
    </cfRule>
  </conditionalFormatting>
  <conditionalFormatting sqref="X56:Y56">
    <cfRule type="expression" dxfId="421" priority="577">
      <formula>$G56="proceedings"</formula>
    </cfRule>
  </conditionalFormatting>
  <conditionalFormatting sqref="Y55">
    <cfRule type="expression" dxfId="420" priority="576">
      <formula>$G55="proceedings"</formula>
    </cfRule>
  </conditionalFormatting>
  <conditionalFormatting sqref="Y55">
    <cfRule type="expression" dxfId="419" priority="575">
      <formula>$G55="proceedings"</formula>
    </cfRule>
  </conditionalFormatting>
  <conditionalFormatting sqref="Y55">
    <cfRule type="expression" dxfId="418" priority="574">
      <formula>$G55="proceedings"</formula>
    </cfRule>
  </conditionalFormatting>
  <conditionalFormatting sqref="Y56">
    <cfRule type="expression" dxfId="417" priority="573">
      <formula>$G56="proceedings"</formula>
    </cfRule>
  </conditionalFormatting>
  <conditionalFormatting sqref="Y56">
    <cfRule type="expression" dxfId="416" priority="572">
      <formula>$G56="proceedings"</formula>
    </cfRule>
  </conditionalFormatting>
  <conditionalFormatting sqref="Y56">
    <cfRule type="expression" dxfId="415" priority="571">
      <formula>$G56="proceedings"</formula>
    </cfRule>
  </conditionalFormatting>
  <conditionalFormatting sqref="P62:R62">
    <cfRule type="expression" dxfId="414" priority="569">
      <formula>$G62="Q&amp;A"</formula>
    </cfRule>
  </conditionalFormatting>
  <conditionalFormatting sqref="P62:R62">
    <cfRule type="cellIs" dxfId="413" priority="570" operator="equal">
      <formula>"(Select)"</formula>
    </cfRule>
  </conditionalFormatting>
  <conditionalFormatting sqref="P62:R62">
    <cfRule type="expression" dxfId="412" priority="568">
      <formula>$G62="proceedings"</formula>
    </cfRule>
  </conditionalFormatting>
  <conditionalFormatting sqref="P62:R62">
    <cfRule type="expression" dxfId="411" priority="567">
      <formula>$G62="proceedings"</formula>
    </cfRule>
  </conditionalFormatting>
  <conditionalFormatting sqref="P62:R62">
    <cfRule type="expression" dxfId="410" priority="566">
      <formula>$G62="proceedings"</formula>
    </cfRule>
  </conditionalFormatting>
  <conditionalFormatting sqref="Q62:R62">
    <cfRule type="expression" dxfId="409" priority="565">
      <formula>$G62="proceedings"</formula>
    </cfRule>
  </conditionalFormatting>
  <conditionalFormatting sqref="Q62:R62">
    <cfRule type="expression" dxfId="408" priority="564">
      <formula>$G62="proceedings"</formula>
    </cfRule>
  </conditionalFormatting>
  <conditionalFormatting sqref="Q62:R62">
    <cfRule type="expression" dxfId="407" priority="563">
      <formula>$G62="proceedings"</formula>
    </cfRule>
  </conditionalFormatting>
  <conditionalFormatting sqref="X55:Y55">
    <cfRule type="expression" dxfId="406" priority="562">
      <formula>$G55="proceedings"</formula>
    </cfRule>
  </conditionalFormatting>
  <conditionalFormatting sqref="Y55">
    <cfRule type="expression" dxfId="405" priority="561">
      <formula>$G55="proceedings"</formula>
    </cfRule>
  </conditionalFormatting>
  <conditionalFormatting sqref="Y55">
    <cfRule type="expression" dxfId="404" priority="560">
      <formula>$G55="proceedings"</formula>
    </cfRule>
  </conditionalFormatting>
  <conditionalFormatting sqref="Y55">
    <cfRule type="expression" dxfId="403" priority="559">
      <formula>$G55="proceedings"</formula>
    </cfRule>
  </conditionalFormatting>
  <conditionalFormatting sqref="X60:Z60">
    <cfRule type="expression" dxfId="402" priority="558">
      <formula>$G60="proceedings"</formula>
    </cfRule>
  </conditionalFormatting>
  <conditionalFormatting sqref="Y60:Z60">
    <cfRule type="expression" dxfId="401" priority="557">
      <formula>$G60="proceedings"</formula>
    </cfRule>
  </conditionalFormatting>
  <conditionalFormatting sqref="Y60:Z60">
    <cfRule type="expression" dxfId="400" priority="556">
      <formula>$G60="proceedings"</formula>
    </cfRule>
  </conditionalFormatting>
  <conditionalFormatting sqref="Y60:Z60">
    <cfRule type="expression" dxfId="399" priority="555">
      <formula>$G60="proceedings"</formula>
    </cfRule>
  </conditionalFormatting>
  <conditionalFormatting sqref="X60:Z60">
    <cfRule type="expression" dxfId="398" priority="554">
      <formula>$G60="proceedings"</formula>
    </cfRule>
  </conditionalFormatting>
  <conditionalFormatting sqref="Y60:Z60">
    <cfRule type="expression" dxfId="397" priority="553">
      <formula>$G60="proceedings"</formula>
    </cfRule>
  </conditionalFormatting>
  <conditionalFormatting sqref="Y60:Z60">
    <cfRule type="expression" dxfId="396" priority="552">
      <formula>$G60="proceedings"</formula>
    </cfRule>
  </conditionalFormatting>
  <conditionalFormatting sqref="Y60:Z60">
    <cfRule type="expression" dxfId="395" priority="551">
      <formula>$G60="proceedings"</formula>
    </cfRule>
  </conditionalFormatting>
  <conditionalFormatting sqref="X63:Z63">
    <cfRule type="expression" dxfId="394" priority="549">
      <formula>$G63="Q&amp;A"</formula>
    </cfRule>
  </conditionalFormatting>
  <conditionalFormatting sqref="D63:F63 S63:Z63">
    <cfRule type="cellIs" dxfId="393" priority="550" operator="equal">
      <formula>"(Select)"</formula>
    </cfRule>
  </conditionalFormatting>
  <conditionalFormatting sqref="S63:Z63">
    <cfRule type="expression" dxfId="392" priority="548">
      <formula>$G63="proceedings"</formula>
    </cfRule>
  </conditionalFormatting>
  <conditionalFormatting sqref="S63:Z63">
    <cfRule type="expression" dxfId="391" priority="547">
      <formula>$G63="proceedings"</formula>
    </cfRule>
  </conditionalFormatting>
  <conditionalFormatting sqref="S63:Z63">
    <cfRule type="expression" dxfId="390" priority="546">
      <formula>$G63="proceedings"</formula>
    </cfRule>
  </conditionalFormatting>
  <conditionalFormatting sqref="P63:R63">
    <cfRule type="expression" dxfId="389" priority="544">
      <formula>$G63="Q&amp;A"</formula>
    </cfRule>
  </conditionalFormatting>
  <conditionalFormatting sqref="P63:R63">
    <cfRule type="cellIs" dxfId="388" priority="545" operator="equal">
      <formula>"(Select)"</formula>
    </cfRule>
  </conditionalFormatting>
  <conditionalFormatting sqref="P63:R63">
    <cfRule type="expression" dxfId="387" priority="543">
      <formula>$G63="proceedings"</formula>
    </cfRule>
  </conditionalFormatting>
  <conditionalFormatting sqref="P63:R63">
    <cfRule type="expression" dxfId="386" priority="542">
      <formula>$G63="proceedings"</formula>
    </cfRule>
  </conditionalFormatting>
  <conditionalFormatting sqref="P63:R63">
    <cfRule type="expression" dxfId="385" priority="541">
      <formula>$G63="proceedings"</formula>
    </cfRule>
  </conditionalFormatting>
  <conditionalFormatting sqref="Q63:R63">
    <cfRule type="expression" dxfId="384" priority="540">
      <formula>$G63="proceedings"</formula>
    </cfRule>
  </conditionalFormatting>
  <conditionalFormatting sqref="Q63:R63">
    <cfRule type="expression" dxfId="383" priority="539">
      <formula>$G63="proceedings"</formula>
    </cfRule>
  </conditionalFormatting>
  <conditionalFormatting sqref="Q63:R63">
    <cfRule type="expression" dxfId="382" priority="538">
      <formula>$G63="proceedings"</formula>
    </cfRule>
  </conditionalFormatting>
  <conditionalFormatting sqref="X63:Z63">
    <cfRule type="expression" dxfId="381" priority="537">
      <formula>$G63="proceedings"</formula>
    </cfRule>
  </conditionalFormatting>
  <conditionalFormatting sqref="X63:Z63">
    <cfRule type="expression" dxfId="380" priority="536">
      <formula>$G63="proceedings"</formula>
    </cfRule>
  </conditionalFormatting>
  <conditionalFormatting sqref="X63:Z63">
    <cfRule type="expression" dxfId="379" priority="535">
      <formula>$G63="proceedings"</formula>
    </cfRule>
  </conditionalFormatting>
  <conditionalFormatting sqref="X63:Z63">
    <cfRule type="expression" dxfId="378" priority="534">
      <formula>$G63="proceedings"</formula>
    </cfRule>
  </conditionalFormatting>
  <conditionalFormatting sqref="X64:Z66 P65:R66">
    <cfRule type="expression" dxfId="377" priority="532">
      <formula>$G64="Q&amp;A"</formula>
    </cfRule>
  </conditionalFormatting>
  <conditionalFormatting sqref="D64:F65 P65:Z66 S64:Z64">
    <cfRule type="cellIs" dxfId="376" priority="533" operator="equal">
      <formula>"(Select)"</formula>
    </cfRule>
  </conditionalFormatting>
  <conditionalFormatting sqref="P65:Z66 S64:Z64">
    <cfRule type="expression" dxfId="375" priority="531">
      <formula>$G64="proceedings"</formula>
    </cfRule>
  </conditionalFormatting>
  <conditionalFormatting sqref="P65:Z66 S64:Z64">
    <cfRule type="expression" dxfId="374" priority="530">
      <formula>$G64="proceedings"</formula>
    </cfRule>
  </conditionalFormatting>
  <conditionalFormatting sqref="P65:Z66 S64:Z64">
    <cfRule type="expression" dxfId="373" priority="529">
      <formula>$G64="proceedings"</formula>
    </cfRule>
  </conditionalFormatting>
  <conditionalFormatting sqref="D65:E66">
    <cfRule type="cellIs" dxfId="372" priority="527" operator="equal">
      <formula>"(Select)"</formula>
    </cfRule>
  </conditionalFormatting>
  <conditionalFormatting sqref="F65:F66">
    <cfRule type="cellIs" dxfId="371" priority="525" operator="equal">
      <formula>"(Select)"</formula>
    </cfRule>
  </conditionalFormatting>
  <conditionalFormatting sqref="P64:R64">
    <cfRule type="expression" dxfId="370" priority="521">
      <formula>$G64="Q&amp;A"</formula>
    </cfRule>
  </conditionalFormatting>
  <conditionalFormatting sqref="P64:R64">
    <cfRule type="cellIs" dxfId="369" priority="522" operator="equal">
      <formula>"(Select)"</formula>
    </cfRule>
  </conditionalFormatting>
  <conditionalFormatting sqref="P64:R64">
    <cfRule type="expression" dxfId="368" priority="520">
      <formula>$G64="proceedings"</formula>
    </cfRule>
  </conditionalFormatting>
  <conditionalFormatting sqref="P64:R64">
    <cfRule type="expression" dxfId="367" priority="519">
      <formula>$G64="proceedings"</formula>
    </cfRule>
  </conditionalFormatting>
  <conditionalFormatting sqref="P64:R64">
    <cfRule type="expression" dxfId="366" priority="518">
      <formula>$G64="proceedings"</formula>
    </cfRule>
  </conditionalFormatting>
  <conditionalFormatting sqref="Q64:R64">
    <cfRule type="expression" dxfId="365" priority="517">
      <formula>$G64="proceedings"</formula>
    </cfRule>
  </conditionalFormatting>
  <conditionalFormatting sqref="Q64:R64">
    <cfRule type="expression" dxfId="364" priority="516">
      <formula>$G64="proceedings"</formula>
    </cfRule>
  </conditionalFormatting>
  <conditionalFormatting sqref="Q64:R64">
    <cfRule type="expression" dxfId="363" priority="515">
      <formula>$G64="proceedings"</formula>
    </cfRule>
  </conditionalFormatting>
  <conditionalFormatting sqref="Q35:S35">
    <cfRule type="cellIs" dxfId="362" priority="514" operator="equal">
      <formula>"(Select)"</formula>
    </cfRule>
  </conditionalFormatting>
  <conditionalFormatting sqref="E35:P35">
    <cfRule type="cellIs" dxfId="361" priority="513" operator="equal">
      <formula>"(Select)"</formula>
    </cfRule>
  </conditionalFormatting>
  <conditionalFormatting sqref="X36:X37">
    <cfRule type="cellIs" dxfId="360" priority="512" operator="equal">
      <formula>"(Select)"</formula>
    </cfRule>
  </conditionalFormatting>
  <conditionalFormatting sqref="O54:O66">
    <cfRule type="expression" dxfId="359" priority="510">
      <formula>$G54="Q&amp;A"</formula>
    </cfRule>
  </conditionalFormatting>
  <conditionalFormatting sqref="G55:O66 O54">
    <cfRule type="cellIs" dxfId="358" priority="511" operator="equal">
      <formula>"(Select)"</formula>
    </cfRule>
  </conditionalFormatting>
  <conditionalFormatting sqref="O54:O66">
    <cfRule type="expression" dxfId="357" priority="509">
      <formula>$G54="proceedings"</formula>
    </cfRule>
  </conditionalFormatting>
  <conditionalFormatting sqref="O54:O66">
    <cfRule type="expression" dxfId="356" priority="508">
      <formula>$G54="proceedings"</formula>
    </cfRule>
  </conditionalFormatting>
  <conditionalFormatting sqref="O54:O66">
    <cfRule type="expression" dxfId="355" priority="507">
      <formula>$G54="proceedings"</formula>
    </cfRule>
  </conditionalFormatting>
  <conditionalFormatting sqref="A49:C53 AA49:XFD53">
    <cfRule type="cellIs" dxfId="354" priority="506" operator="equal">
      <formula>"(Select)"</formula>
    </cfRule>
  </conditionalFormatting>
  <conditionalFormatting sqref="P49 X52:X53">
    <cfRule type="expression" dxfId="353" priority="504">
      <formula>$G49="Q&amp;A"</formula>
    </cfRule>
  </conditionalFormatting>
  <conditionalFormatting sqref="P49 D49:F49 S49 X52:X53 D51:F52 S51:S53">
    <cfRule type="cellIs" dxfId="352" priority="505" operator="equal">
      <formula>"(Select)"</formula>
    </cfRule>
  </conditionalFormatting>
  <conditionalFormatting sqref="P49 S49 X52:X53 S51:S53">
    <cfRule type="expression" dxfId="351" priority="503">
      <formula>$G49="proceedings"</formula>
    </cfRule>
  </conditionalFormatting>
  <conditionalFormatting sqref="P49 S49 X52:X53 S51:S53">
    <cfRule type="expression" dxfId="350" priority="502">
      <formula>$G49="proceedings"</formula>
    </cfRule>
  </conditionalFormatting>
  <conditionalFormatting sqref="P49 S49 X52:X53 S51:S53">
    <cfRule type="expression" dxfId="349" priority="501">
      <formula>$G49="proceedings"</formula>
    </cfRule>
  </conditionalFormatting>
  <conditionalFormatting sqref="P49">
    <cfRule type="expression" dxfId="348" priority="500">
      <formula>$G49="proceedings"</formula>
    </cfRule>
  </conditionalFormatting>
  <conditionalFormatting sqref="P49">
    <cfRule type="expression" dxfId="347" priority="499">
      <formula>$G49="proceedings"</formula>
    </cfRule>
  </conditionalFormatting>
  <conditionalFormatting sqref="X52:X53">
    <cfRule type="expression" dxfId="346" priority="496">
      <formula>$G52="proceedings"</formula>
    </cfRule>
  </conditionalFormatting>
  <conditionalFormatting sqref="P49">
    <cfRule type="expression" dxfId="345" priority="495">
      <formula>$G49="proceedings"</formula>
    </cfRule>
  </conditionalFormatting>
  <conditionalFormatting sqref="P49">
    <cfRule type="expression" dxfId="344" priority="494">
      <formula>$G49="proceedings"</formula>
    </cfRule>
  </conditionalFormatting>
  <conditionalFormatting sqref="P49">
    <cfRule type="expression" dxfId="343" priority="491">
      <formula>$G49="proceedings"</formula>
    </cfRule>
  </conditionalFormatting>
  <conditionalFormatting sqref="P49">
    <cfRule type="expression" dxfId="342" priority="490">
      <formula>$G49="proceedings"</formula>
    </cfRule>
  </conditionalFormatting>
  <conditionalFormatting sqref="P49">
    <cfRule type="expression" dxfId="341" priority="487">
      <formula>$G49="proceedings"</formula>
    </cfRule>
  </conditionalFormatting>
  <conditionalFormatting sqref="P49">
    <cfRule type="expression" dxfId="340" priority="486">
      <formula>$G49="proceedings"</formula>
    </cfRule>
  </conditionalFormatting>
  <conditionalFormatting sqref="P49">
    <cfRule type="expression" dxfId="339" priority="483">
      <formula>$G49="proceedings"</formula>
    </cfRule>
  </conditionalFormatting>
  <conditionalFormatting sqref="X52:X53">
    <cfRule type="expression" dxfId="338" priority="480">
      <formula>$G52="Q&amp;A"</formula>
    </cfRule>
  </conditionalFormatting>
  <conditionalFormatting sqref="X52:X53">
    <cfRule type="cellIs" dxfId="337" priority="481" operator="equal">
      <formula>"(Select)"</formula>
    </cfRule>
  </conditionalFormatting>
  <conditionalFormatting sqref="X52:X53">
    <cfRule type="expression" dxfId="336" priority="479">
      <formula>$G52="proceedings"</formula>
    </cfRule>
  </conditionalFormatting>
  <conditionalFormatting sqref="X52:X53">
    <cfRule type="expression" dxfId="335" priority="478">
      <formula>$G52="proceedings"</formula>
    </cfRule>
  </conditionalFormatting>
  <conditionalFormatting sqref="X52:X53">
    <cfRule type="expression" dxfId="334" priority="477">
      <formula>$G52="proceedings"</formula>
    </cfRule>
  </conditionalFormatting>
  <conditionalFormatting sqref="X52:X53">
    <cfRule type="expression" dxfId="333" priority="473">
      <formula>$G52="proceedings"</formula>
    </cfRule>
  </conditionalFormatting>
  <conditionalFormatting sqref="X52:X53">
    <cfRule type="expression" dxfId="332" priority="469">
      <formula>$G52="proceedings"</formula>
    </cfRule>
  </conditionalFormatting>
  <conditionalFormatting sqref="T37:T39">
    <cfRule type="cellIs" dxfId="331" priority="460" operator="equal">
      <formula>"(Select)"</formula>
    </cfRule>
  </conditionalFormatting>
  <conditionalFormatting sqref="Q49">
    <cfRule type="expression" dxfId="330" priority="458">
      <formula>$G49="Q&amp;A"</formula>
    </cfRule>
  </conditionalFormatting>
  <conditionalFormatting sqref="Q49">
    <cfRule type="cellIs" dxfId="329" priority="459" operator="equal">
      <formula>"(Select)"</formula>
    </cfRule>
  </conditionalFormatting>
  <conditionalFormatting sqref="Q49">
    <cfRule type="expression" dxfId="328" priority="457">
      <formula>$G49="proceedings"</formula>
    </cfRule>
  </conditionalFormatting>
  <conditionalFormatting sqref="Q49">
    <cfRule type="expression" dxfId="327" priority="456">
      <formula>$G49="proceedings"</formula>
    </cfRule>
  </conditionalFormatting>
  <conditionalFormatting sqref="Q49">
    <cfRule type="expression" dxfId="326" priority="455">
      <formula>$G49="proceedings"</formula>
    </cfRule>
  </conditionalFormatting>
  <conditionalFormatting sqref="Q49">
    <cfRule type="expression" dxfId="325" priority="454">
      <formula>$G49="proceedings"</formula>
    </cfRule>
  </conditionalFormatting>
  <conditionalFormatting sqref="Q49">
    <cfRule type="expression" dxfId="324" priority="453">
      <formula>$G49="proceedings"</formula>
    </cfRule>
  </conditionalFormatting>
  <conditionalFormatting sqref="Q49">
    <cfRule type="expression" dxfId="323" priority="452">
      <formula>$G49="proceedings"</formula>
    </cfRule>
  </conditionalFormatting>
  <conditionalFormatting sqref="Q49">
    <cfRule type="expression" dxfId="322" priority="451">
      <formula>$G49="proceedings"</formula>
    </cfRule>
  </conditionalFormatting>
  <conditionalFormatting sqref="Q49">
    <cfRule type="expression" dxfId="321" priority="450">
      <formula>$G49="proceedings"</formula>
    </cfRule>
  </conditionalFormatting>
  <conditionalFormatting sqref="Q49">
    <cfRule type="expression" dxfId="320" priority="449">
      <formula>$G49="proceedings"</formula>
    </cfRule>
  </conditionalFormatting>
  <conditionalFormatting sqref="Q49">
    <cfRule type="expression" dxfId="319" priority="448">
      <formula>$G49="proceedings"</formula>
    </cfRule>
  </conditionalFormatting>
  <conditionalFormatting sqref="Q49">
    <cfRule type="expression" dxfId="318" priority="447">
      <formula>$G49="proceedings"</formula>
    </cfRule>
  </conditionalFormatting>
  <conditionalFormatting sqref="Q49">
    <cfRule type="expression" dxfId="317" priority="446">
      <formula>$G49="proceedings"</formula>
    </cfRule>
  </conditionalFormatting>
  <conditionalFormatting sqref="Q49">
    <cfRule type="expression" dxfId="316" priority="445">
      <formula>$G49="proceedings"</formula>
    </cfRule>
  </conditionalFormatting>
  <conditionalFormatting sqref="Q49">
    <cfRule type="expression" dxfId="315" priority="444">
      <formula>$G49="proceedings"</formula>
    </cfRule>
  </conditionalFormatting>
  <conditionalFormatting sqref="Q49">
    <cfRule type="expression" dxfId="314" priority="443">
      <formula>$G49="proceedings"</formula>
    </cfRule>
  </conditionalFormatting>
  <conditionalFormatting sqref="Q49">
    <cfRule type="expression" dxfId="313" priority="442">
      <formula>$G49="proceedings"</formula>
    </cfRule>
  </conditionalFormatting>
  <conditionalFormatting sqref="Q49">
    <cfRule type="expression" dxfId="312" priority="441">
      <formula>$G49="proceedings"</formula>
    </cfRule>
  </conditionalFormatting>
  <conditionalFormatting sqref="Q49">
    <cfRule type="expression" dxfId="311" priority="440">
      <formula>$G49="proceedings"</formula>
    </cfRule>
  </conditionalFormatting>
  <conditionalFormatting sqref="Q49">
    <cfRule type="expression" dxfId="310" priority="439">
      <formula>$G49="proceedings"</formula>
    </cfRule>
  </conditionalFormatting>
  <conditionalFormatting sqref="Q49">
    <cfRule type="expression" dxfId="309" priority="438">
      <formula>$G49="proceedings"</formula>
    </cfRule>
  </conditionalFormatting>
  <conditionalFormatting sqref="S52">
    <cfRule type="cellIs" dxfId="308" priority="437" operator="equal">
      <formula>"(Select)"</formula>
    </cfRule>
  </conditionalFormatting>
  <conditionalFormatting sqref="S52">
    <cfRule type="expression" dxfId="307" priority="436">
      <formula>$G52="proceedings"</formula>
    </cfRule>
  </conditionalFormatting>
  <conditionalFormatting sqref="S52">
    <cfRule type="expression" dxfId="306" priority="435">
      <formula>$G52="proceedings"</formula>
    </cfRule>
  </conditionalFormatting>
  <conditionalFormatting sqref="S52">
    <cfRule type="expression" dxfId="305" priority="434">
      <formula>$G52="proceedings"</formula>
    </cfRule>
  </conditionalFormatting>
  <conditionalFormatting sqref="P53:Q53">
    <cfRule type="expression" dxfId="304" priority="432">
      <formula>$G53="Q&amp;A"</formula>
    </cfRule>
  </conditionalFormatting>
  <conditionalFormatting sqref="P53:Q53">
    <cfRule type="cellIs" dxfId="303" priority="433" operator="equal">
      <formula>"(Select)"</formula>
    </cfRule>
  </conditionalFormatting>
  <conditionalFormatting sqref="P53:Q53">
    <cfRule type="expression" dxfId="302" priority="431">
      <formula>$G53="proceedings"</formula>
    </cfRule>
  </conditionalFormatting>
  <conditionalFormatting sqref="P53:Q53">
    <cfRule type="expression" dxfId="301" priority="430">
      <formula>$G53="proceedings"</formula>
    </cfRule>
  </conditionalFormatting>
  <conditionalFormatting sqref="P53:Q53">
    <cfRule type="expression" dxfId="300" priority="429">
      <formula>$G53="proceedings"</formula>
    </cfRule>
  </conditionalFormatting>
  <conditionalFormatting sqref="P53:Q53">
    <cfRule type="expression" dxfId="299" priority="428">
      <formula>$G53="proceedings"</formula>
    </cfRule>
  </conditionalFormatting>
  <conditionalFormatting sqref="P53">
    <cfRule type="expression" dxfId="298" priority="427">
      <formula>$G53="proceedings"</formula>
    </cfRule>
  </conditionalFormatting>
  <conditionalFormatting sqref="Q53">
    <cfRule type="expression" dxfId="297" priority="426">
      <formula>$G53="proceedings"</formula>
    </cfRule>
  </conditionalFormatting>
  <conditionalFormatting sqref="Q53">
    <cfRule type="expression" dxfId="296" priority="425">
      <formula>$G53="proceedings"</formula>
    </cfRule>
  </conditionalFormatting>
  <conditionalFormatting sqref="P53:Q53">
    <cfRule type="expression" dxfId="295" priority="424">
      <formula>$G53="proceedings"</formula>
    </cfRule>
  </conditionalFormatting>
  <conditionalFormatting sqref="P53">
    <cfRule type="expression" dxfId="294" priority="423">
      <formula>$G53="proceedings"</formula>
    </cfRule>
  </conditionalFormatting>
  <conditionalFormatting sqref="Q53">
    <cfRule type="expression" dxfId="293" priority="422">
      <formula>$G53="proceedings"</formula>
    </cfRule>
  </conditionalFormatting>
  <conditionalFormatting sqref="Q53">
    <cfRule type="expression" dxfId="292" priority="421">
      <formula>$G53="proceedings"</formula>
    </cfRule>
  </conditionalFormatting>
  <conditionalFormatting sqref="P53:Q53">
    <cfRule type="expression" dxfId="291" priority="420">
      <formula>$G53="proceedings"</formula>
    </cfRule>
  </conditionalFormatting>
  <conditionalFormatting sqref="P53">
    <cfRule type="expression" dxfId="290" priority="419">
      <formula>$G53="proceedings"</formula>
    </cfRule>
  </conditionalFormatting>
  <conditionalFormatting sqref="Q53">
    <cfRule type="expression" dxfId="289" priority="418">
      <formula>$G53="proceedings"</formula>
    </cfRule>
  </conditionalFormatting>
  <conditionalFormatting sqref="Q53">
    <cfRule type="expression" dxfId="288" priority="417">
      <formula>$G53="proceedings"</formula>
    </cfRule>
  </conditionalFormatting>
  <conditionalFormatting sqref="P53:Q53">
    <cfRule type="expression" dxfId="287" priority="416">
      <formula>$G53="proceedings"</formula>
    </cfRule>
  </conditionalFormatting>
  <conditionalFormatting sqref="P53">
    <cfRule type="expression" dxfId="286" priority="415">
      <formula>$G53="proceedings"</formula>
    </cfRule>
  </conditionalFormatting>
  <conditionalFormatting sqref="Q53">
    <cfRule type="expression" dxfId="285" priority="414">
      <formula>$G53="proceedings"</formula>
    </cfRule>
  </conditionalFormatting>
  <conditionalFormatting sqref="Q53">
    <cfRule type="expression" dxfId="284" priority="413">
      <formula>$G53="proceedings"</formula>
    </cfRule>
  </conditionalFormatting>
  <conditionalFormatting sqref="P53:Q53">
    <cfRule type="expression" dxfId="283" priority="412">
      <formula>$G53="proceedings"</formula>
    </cfRule>
  </conditionalFormatting>
  <conditionalFormatting sqref="Q53">
    <cfRule type="expression" dxfId="282" priority="411">
      <formula>$G53="proceedings"</formula>
    </cfRule>
  </conditionalFormatting>
  <conditionalFormatting sqref="Q53">
    <cfRule type="expression" dxfId="281" priority="410">
      <formula>$G53="proceedings"</formula>
    </cfRule>
  </conditionalFormatting>
  <conditionalFormatting sqref="Q53">
    <cfRule type="expression" dxfId="280" priority="409">
      <formula>$G53="proceedings"</formula>
    </cfRule>
  </conditionalFormatting>
  <conditionalFormatting sqref="Q53">
    <cfRule type="expression" dxfId="279" priority="408">
      <formula>$G53="proceedings"</formula>
    </cfRule>
  </conditionalFormatting>
  <conditionalFormatting sqref="Y52:Y53">
    <cfRule type="expression" dxfId="278" priority="370">
      <formula>$G52="Q&amp;A"</formula>
    </cfRule>
  </conditionalFormatting>
  <conditionalFormatting sqref="Y52:Y53">
    <cfRule type="cellIs" dxfId="277" priority="371" operator="equal">
      <formula>"(Select)"</formula>
    </cfRule>
  </conditionalFormatting>
  <conditionalFormatting sqref="Y52:Y53">
    <cfRule type="expression" dxfId="276" priority="369">
      <formula>$G52="proceedings"</formula>
    </cfRule>
  </conditionalFormatting>
  <conditionalFormatting sqref="Y52:Y53">
    <cfRule type="expression" dxfId="275" priority="368">
      <formula>$G52="proceedings"</formula>
    </cfRule>
  </conditionalFormatting>
  <conditionalFormatting sqref="Y52:Y53">
    <cfRule type="expression" dxfId="274" priority="367">
      <formula>$G52="proceedings"</formula>
    </cfRule>
  </conditionalFormatting>
  <conditionalFormatting sqref="Y52:Y53">
    <cfRule type="expression" dxfId="273" priority="366">
      <formula>$G52="proceedings"</formula>
    </cfRule>
  </conditionalFormatting>
  <conditionalFormatting sqref="Y52:Y53">
    <cfRule type="expression" dxfId="272" priority="364">
      <formula>$G52="Q&amp;A"</formula>
    </cfRule>
  </conditionalFormatting>
  <conditionalFormatting sqref="Y52:Y53">
    <cfRule type="cellIs" dxfId="271" priority="365" operator="equal">
      <formula>"(Select)"</formula>
    </cfRule>
  </conditionalFormatting>
  <conditionalFormatting sqref="Y52:Y53">
    <cfRule type="expression" dxfId="270" priority="363">
      <formula>$G52="proceedings"</formula>
    </cfRule>
  </conditionalFormatting>
  <conditionalFormatting sqref="Y52:Y53">
    <cfRule type="expression" dxfId="269" priority="362">
      <formula>$G52="proceedings"</formula>
    </cfRule>
  </conditionalFormatting>
  <conditionalFormatting sqref="Y52:Y53">
    <cfRule type="expression" dxfId="268" priority="361">
      <formula>$G52="proceedings"</formula>
    </cfRule>
  </conditionalFormatting>
  <conditionalFormatting sqref="Y52:Y53">
    <cfRule type="expression" dxfId="267" priority="360">
      <formula>$G52="proceedings"</formula>
    </cfRule>
  </conditionalFormatting>
  <conditionalFormatting sqref="Y52:Y53">
    <cfRule type="expression" dxfId="266" priority="359">
      <formula>$G52="proceedings"</formula>
    </cfRule>
  </conditionalFormatting>
  <conditionalFormatting sqref="Y52:Y53">
    <cfRule type="expression" dxfId="265" priority="358">
      <formula>$G52="proceedings"</formula>
    </cfRule>
  </conditionalFormatting>
  <conditionalFormatting sqref="Y52:Y53">
    <cfRule type="expression" dxfId="264" priority="357">
      <formula>$G52="proceedings"</formula>
    </cfRule>
  </conditionalFormatting>
  <conditionalFormatting sqref="Y52:Y53">
    <cfRule type="expression" dxfId="263" priority="356">
      <formula>$G52="proceedings"</formula>
    </cfRule>
  </conditionalFormatting>
  <conditionalFormatting sqref="Y52:Y53">
    <cfRule type="expression" dxfId="262" priority="355">
      <formula>$G52="proceedings"</formula>
    </cfRule>
  </conditionalFormatting>
  <conditionalFormatting sqref="Y52:Y53">
    <cfRule type="expression" dxfId="261" priority="354">
      <formula>$G52="proceedings"</formula>
    </cfRule>
  </conditionalFormatting>
  <conditionalFormatting sqref="Y52:Y53">
    <cfRule type="expression" dxfId="260" priority="353">
      <formula>$G52="proceedings"</formula>
    </cfRule>
  </conditionalFormatting>
  <conditionalFormatting sqref="S51">
    <cfRule type="cellIs" dxfId="259" priority="352" operator="equal">
      <formula>"(Select)"</formula>
    </cfRule>
  </conditionalFormatting>
  <conditionalFormatting sqref="S51">
    <cfRule type="expression" dxfId="258" priority="351">
      <formula>$G51="proceedings"</formula>
    </cfRule>
  </conditionalFormatting>
  <conditionalFormatting sqref="S51">
    <cfRule type="expression" dxfId="257" priority="350">
      <formula>$G51="proceedings"</formula>
    </cfRule>
  </conditionalFormatting>
  <conditionalFormatting sqref="S51">
    <cfRule type="expression" dxfId="256" priority="349">
      <formula>$G51="proceedings"</formula>
    </cfRule>
  </conditionalFormatting>
  <conditionalFormatting sqref="O53">
    <cfRule type="expression" dxfId="255" priority="347">
      <formula>$G53="Q&amp;A"</formula>
    </cfRule>
  </conditionalFormatting>
  <conditionalFormatting sqref="O53">
    <cfRule type="cellIs" dxfId="254" priority="348" operator="equal">
      <formula>"(Select)"</formula>
    </cfRule>
  </conditionalFormatting>
  <conditionalFormatting sqref="O53">
    <cfRule type="expression" dxfId="253" priority="346">
      <formula>$G53="proceedings"</formula>
    </cfRule>
  </conditionalFormatting>
  <conditionalFormatting sqref="O53">
    <cfRule type="expression" dxfId="252" priority="345">
      <formula>$G53="proceedings"</formula>
    </cfRule>
  </conditionalFormatting>
  <conditionalFormatting sqref="O53">
    <cfRule type="expression" dxfId="251" priority="344">
      <formula>$G53="proceedings"</formula>
    </cfRule>
  </conditionalFormatting>
  <conditionalFormatting sqref="M26:N26">
    <cfRule type="expression" dxfId="250" priority="320">
      <formula>$G$20="Walk-through"</formula>
    </cfRule>
  </conditionalFormatting>
  <conditionalFormatting sqref="M26:N26">
    <cfRule type="cellIs" dxfId="249" priority="321" operator="equal">
      <formula>"(Select)"</formula>
    </cfRule>
  </conditionalFormatting>
  <conditionalFormatting sqref="O49:O52">
    <cfRule type="expression" dxfId="248" priority="318">
      <formula>$G49="Q&amp;A"</formula>
    </cfRule>
  </conditionalFormatting>
  <conditionalFormatting sqref="O51:O52 G49:O51">
    <cfRule type="cellIs" dxfId="247" priority="319" operator="equal">
      <formula>"(Select)"</formula>
    </cfRule>
  </conditionalFormatting>
  <conditionalFormatting sqref="O49:O52">
    <cfRule type="expression" dxfId="246" priority="317">
      <formula>$G49="proceedings"</formula>
    </cfRule>
  </conditionalFormatting>
  <conditionalFormatting sqref="O49:O52">
    <cfRule type="expression" dxfId="245" priority="316">
      <formula>$G49="proceedings"</formula>
    </cfRule>
  </conditionalFormatting>
  <conditionalFormatting sqref="O49:O52">
    <cfRule type="expression" dxfId="244" priority="315">
      <formula>$G49="proceedings"</formula>
    </cfRule>
  </conditionalFormatting>
  <conditionalFormatting sqref="D50:F50">
    <cfRule type="cellIs" dxfId="243" priority="314" operator="equal">
      <formula>"(Select)"</formula>
    </cfRule>
  </conditionalFormatting>
  <conditionalFormatting sqref="S50">
    <cfRule type="cellIs" dxfId="242" priority="312" operator="equal">
      <formula>"(Select)"</formula>
    </cfRule>
  </conditionalFormatting>
  <conditionalFormatting sqref="S50">
    <cfRule type="expression" dxfId="241" priority="310">
      <formula>$G50="proceedings"</formula>
    </cfRule>
  </conditionalFormatting>
  <conditionalFormatting sqref="S50">
    <cfRule type="expression" dxfId="240" priority="309">
      <formula>$G50="proceedings"</formula>
    </cfRule>
  </conditionalFormatting>
  <conditionalFormatting sqref="S50">
    <cfRule type="expression" dxfId="239" priority="308">
      <formula>$G50="proceedings"</formula>
    </cfRule>
  </conditionalFormatting>
  <conditionalFormatting sqref="E38:P38">
    <cfRule type="cellIs" dxfId="238" priority="202" operator="equal">
      <formula>"(Select)"</formula>
    </cfRule>
  </conditionalFormatting>
  <conditionalFormatting sqref="E36:P37">
    <cfRule type="cellIs" dxfId="237" priority="201" operator="equal">
      <formula>"(Select)"</formula>
    </cfRule>
  </conditionalFormatting>
  <conditionalFormatting sqref="H52">
    <cfRule type="cellIs" dxfId="236" priority="200" operator="equal">
      <formula>"(Select)"</formula>
    </cfRule>
  </conditionalFormatting>
  <conditionalFormatting sqref="H52">
    <cfRule type="cellIs" dxfId="235" priority="199" operator="equal">
      <formula>"(Select)"</formula>
    </cfRule>
  </conditionalFormatting>
  <conditionalFormatting sqref="H52">
    <cfRule type="cellIs" dxfId="234" priority="198" operator="equal">
      <formula>"(Select)"</formula>
    </cfRule>
  </conditionalFormatting>
  <conditionalFormatting sqref="H52">
    <cfRule type="cellIs" dxfId="233" priority="197" operator="equal">
      <formula>"(Select)"</formula>
    </cfRule>
  </conditionalFormatting>
  <conditionalFormatting sqref="G52">
    <cfRule type="cellIs" dxfId="232" priority="196" operator="equal">
      <formula>"(Select)"</formula>
    </cfRule>
  </conditionalFormatting>
  <conditionalFormatting sqref="H30:I31">
    <cfRule type="cellIs" dxfId="231" priority="194" operator="equal">
      <formula>"(Select)"</formula>
    </cfRule>
  </conditionalFormatting>
  <conditionalFormatting sqref="N21:T21">
    <cfRule type="cellIs" dxfId="230" priority="193" operator="equal">
      <formula>"(Select)"</formula>
    </cfRule>
  </conditionalFormatting>
  <conditionalFormatting sqref="N21:T21">
    <cfRule type="expression" dxfId="229" priority="192">
      <formula>$G21="use 'Peer Review Checklist' sheet"</formula>
    </cfRule>
  </conditionalFormatting>
  <conditionalFormatting sqref="C102:Z103 C101:G101">
    <cfRule type="cellIs" dxfId="228" priority="191" operator="equal">
      <formula>"(Select)"</formula>
    </cfRule>
  </conditionalFormatting>
  <conditionalFormatting sqref="H101:Z101">
    <cfRule type="cellIs" dxfId="227" priority="190" operator="equal">
      <formula>"(Select)"</formula>
    </cfRule>
  </conditionalFormatting>
  <conditionalFormatting sqref="C104:Z104">
    <cfRule type="cellIs" dxfId="226" priority="189" operator="equal">
      <formula>"(Select)"</formula>
    </cfRule>
  </conditionalFormatting>
  <conditionalFormatting sqref="Y49">
    <cfRule type="expression" dxfId="225" priority="187">
      <formula>$G49="Q&amp;A"</formula>
    </cfRule>
  </conditionalFormatting>
  <conditionalFormatting sqref="Y49">
    <cfRule type="cellIs" dxfId="224" priority="188" operator="equal">
      <formula>"(Select)"</formula>
    </cfRule>
  </conditionalFormatting>
  <conditionalFormatting sqref="Y49">
    <cfRule type="expression" dxfId="223" priority="186">
      <formula>$G49="proceedings"</formula>
    </cfRule>
  </conditionalFormatting>
  <conditionalFormatting sqref="Y49">
    <cfRule type="expression" dxfId="222" priority="185">
      <formula>$G49="proceedings"</formula>
    </cfRule>
  </conditionalFormatting>
  <conditionalFormatting sqref="Y49">
    <cfRule type="expression" dxfId="221" priority="184">
      <formula>$G49="proceedings"</formula>
    </cfRule>
  </conditionalFormatting>
  <conditionalFormatting sqref="Y49">
    <cfRule type="expression" dxfId="220" priority="183">
      <formula>$G49="proceedings"</formula>
    </cfRule>
  </conditionalFormatting>
  <conditionalFormatting sqref="Y49">
    <cfRule type="expression" dxfId="219" priority="182">
      <formula>$G49="proceedings"</formula>
    </cfRule>
  </conditionalFormatting>
  <conditionalFormatting sqref="Y49">
    <cfRule type="expression" dxfId="218" priority="181">
      <formula>$G49="proceedings"</formula>
    </cfRule>
  </conditionalFormatting>
  <conditionalFormatting sqref="Y49">
    <cfRule type="expression" dxfId="217" priority="180">
      <formula>$G49="proceedings"</formula>
    </cfRule>
  </conditionalFormatting>
  <conditionalFormatting sqref="Y49">
    <cfRule type="expression" dxfId="216" priority="179">
      <formula>$G49="proceedings"</formula>
    </cfRule>
  </conditionalFormatting>
  <conditionalFormatting sqref="Y49">
    <cfRule type="expression" dxfId="215" priority="178">
      <formula>$G49="proceedings"</formula>
    </cfRule>
  </conditionalFormatting>
  <conditionalFormatting sqref="Y49">
    <cfRule type="expression" dxfId="214" priority="177">
      <formula>$G49="proceedings"</formula>
    </cfRule>
  </conditionalFormatting>
  <conditionalFormatting sqref="Y49">
    <cfRule type="expression" dxfId="213" priority="176">
      <formula>$G49="proceedings"</formula>
    </cfRule>
  </conditionalFormatting>
  <conditionalFormatting sqref="Y49">
    <cfRule type="expression" dxfId="212" priority="175">
      <formula>$G49="proceedings"</formula>
    </cfRule>
  </conditionalFormatting>
  <conditionalFormatting sqref="Y49">
    <cfRule type="expression" dxfId="211" priority="174">
      <formula>$G49="proceedings"</formula>
    </cfRule>
  </conditionalFormatting>
  <conditionalFormatting sqref="Y49">
    <cfRule type="expression" dxfId="210" priority="173">
      <formula>$G49="proceedings"</formula>
    </cfRule>
  </conditionalFormatting>
  <conditionalFormatting sqref="Y49">
    <cfRule type="expression" dxfId="209" priority="172">
      <formula>$G49="proceedings"</formula>
    </cfRule>
  </conditionalFormatting>
  <conditionalFormatting sqref="Y49">
    <cfRule type="expression" dxfId="208" priority="171">
      <formula>$G49="proceedings"</formula>
    </cfRule>
  </conditionalFormatting>
  <conditionalFormatting sqref="Y49">
    <cfRule type="expression" dxfId="207" priority="170">
      <formula>$G49="proceedings"</formula>
    </cfRule>
  </conditionalFormatting>
  <conditionalFormatting sqref="Y49">
    <cfRule type="expression" dxfId="206" priority="169">
      <formula>$G49="proceedings"</formula>
    </cfRule>
  </conditionalFormatting>
  <conditionalFormatting sqref="Y49">
    <cfRule type="expression" dxfId="205" priority="168">
      <formula>$G49="proceedings"</formula>
    </cfRule>
  </conditionalFormatting>
  <conditionalFormatting sqref="Y49">
    <cfRule type="expression" dxfId="204" priority="167">
      <formula>$G49="proceedings"</formula>
    </cfRule>
  </conditionalFormatting>
  <conditionalFormatting sqref="Y50">
    <cfRule type="expression" dxfId="203" priority="165">
      <formula>$G50="Q&amp;A"</formula>
    </cfRule>
  </conditionalFormatting>
  <conditionalFormatting sqref="Y50">
    <cfRule type="cellIs" dxfId="202" priority="166" operator="equal">
      <formula>"(Select)"</formula>
    </cfRule>
  </conditionalFormatting>
  <conditionalFormatting sqref="Y50">
    <cfRule type="expression" dxfId="201" priority="164">
      <formula>$G50="proceedings"</formula>
    </cfRule>
  </conditionalFormatting>
  <conditionalFormatting sqref="Y50">
    <cfRule type="expression" dxfId="200" priority="163">
      <formula>$G50="proceedings"</formula>
    </cfRule>
  </conditionalFormatting>
  <conditionalFormatting sqref="Y50">
    <cfRule type="expression" dxfId="199" priority="162">
      <formula>$G50="proceedings"</formula>
    </cfRule>
  </conditionalFormatting>
  <conditionalFormatting sqref="Y50">
    <cfRule type="expression" dxfId="198" priority="161">
      <formula>$G50="proceedings"</formula>
    </cfRule>
  </conditionalFormatting>
  <conditionalFormatting sqref="Y50">
    <cfRule type="expression" dxfId="197" priority="160">
      <formula>$G50="proceedings"</formula>
    </cfRule>
  </conditionalFormatting>
  <conditionalFormatting sqref="Y50">
    <cfRule type="expression" dxfId="196" priority="159">
      <formula>$G50="proceedings"</formula>
    </cfRule>
  </conditionalFormatting>
  <conditionalFormatting sqref="Y50">
    <cfRule type="expression" dxfId="195" priority="158">
      <formula>$G50="proceedings"</formula>
    </cfRule>
  </conditionalFormatting>
  <conditionalFormatting sqref="Y50">
    <cfRule type="expression" dxfId="194" priority="157">
      <formula>$G50="proceedings"</formula>
    </cfRule>
  </conditionalFormatting>
  <conditionalFormatting sqref="Y50">
    <cfRule type="expression" dxfId="193" priority="156">
      <formula>$G50="proceedings"</formula>
    </cfRule>
  </conditionalFormatting>
  <conditionalFormatting sqref="Y50">
    <cfRule type="expression" dxfId="192" priority="155">
      <formula>$G50="proceedings"</formula>
    </cfRule>
  </conditionalFormatting>
  <conditionalFormatting sqref="Y50">
    <cfRule type="expression" dxfId="191" priority="154">
      <formula>$G50="proceedings"</formula>
    </cfRule>
  </conditionalFormatting>
  <conditionalFormatting sqref="Y50">
    <cfRule type="expression" dxfId="190" priority="153">
      <formula>$G50="proceedings"</formula>
    </cfRule>
  </conditionalFormatting>
  <conditionalFormatting sqref="Y50">
    <cfRule type="expression" dxfId="189" priority="152">
      <formula>$G50="proceedings"</formula>
    </cfRule>
  </conditionalFormatting>
  <conditionalFormatting sqref="Y50">
    <cfRule type="expression" dxfId="188" priority="151">
      <formula>$G50="proceedings"</formula>
    </cfRule>
  </conditionalFormatting>
  <conditionalFormatting sqref="Y50">
    <cfRule type="expression" dxfId="187" priority="150">
      <formula>$G50="proceedings"</formula>
    </cfRule>
  </conditionalFormatting>
  <conditionalFormatting sqref="Y50">
    <cfRule type="expression" dxfId="186" priority="149">
      <formula>$G50="proceedings"</formula>
    </cfRule>
  </conditionalFormatting>
  <conditionalFormatting sqref="Y50">
    <cfRule type="expression" dxfId="185" priority="148">
      <formula>$G50="proceedings"</formula>
    </cfRule>
  </conditionalFormatting>
  <conditionalFormatting sqref="Y50">
    <cfRule type="expression" dxfId="184" priority="147">
      <formula>$G50="proceedings"</formula>
    </cfRule>
  </conditionalFormatting>
  <conditionalFormatting sqref="Y50">
    <cfRule type="expression" dxfId="183" priority="146">
      <formula>$G50="proceedings"</formula>
    </cfRule>
  </conditionalFormatting>
  <conditionalFormatting sqref="Y50">
    <cfRule type="expression" dxfId="182" priority="145">
      <formula>$G50="proceedings"</formula>
    </cfRule>
  </conditionalFormatting>
  <conditionalFormatting sqref="Y51">
    <cfRule type="expression" dxfId="181" priority="143">
      <formula>$G51="Q&amp;A"</formula>
    </cfRule>
  </conditionalFormatting>
  <conditionalFormatting sqref="Y51">
    <cfRule type="cellIs" dxfId="180" priority="144" operator="equal">
      <formula>"(Select)"</formula>
    </cfRule>
  </conditionalFormatting>
  <conditionalFormatting sqref="Y51">
    <cfRule type="expression" dxfId="179" priority="142">
      <formula>$G51="proceedings"</formula>
    </cfRule>
  </conditionalFormatting>
  <conditionalFormatting sqref="Y51">
    <cfRule type="expression" dxfId="178" priority="141">
      <formula>$G51="proceedings"</formula>
    </cfRule>
  </conditionalFormatting>
  <conditionalFormatting sqref="Y51">
    <cfRule type="expression" dxfId="177" priority="140">
      <formula>$G51="proceedings"</formula>
    </cfRule>
  </conditionalFormatting>
  <conditionalFormatting sqref="Y51">
    <cfRule type="expression" dxfId="176" priority="139">
      <formula>$G51="proceedings"</formula>
    </cfRule>
  </conditionalFormatting>
  <conditionalFormatting sqref="Y51">
    <cfRule type="expression" dxfId="175" priority="138">
      <formula>$G51="proceedings"</formula>
    </cfRule>
  </conditionalFormatting>
  <conditionalFormatting sqref="Y51">
    <cfRule type="expression" dxfId="174" priority="137">
      <formula>$G51="proceedings"</formula>
    </cfRule>
  </conditionalFormatting>
  <conditionalFormatting sqref="Y51">
    <cfRule type="expression" dxfId="173" priority="136">
      <formula>$G51="proceedings"</formula>
    </cfRule>
  </conditionalFormatting>
  <conditionalFormatting sqref="Y51">
    <cfRule type="expression" dxfId="172" priority="135">
      <formula>$G51="proceedings"</formula>
    </cfRule>
  </conditionalFormatting>
  <conditionalFormatting sqref="Y51">
    <cfRule type="expression" dxfId="171" priority="134">
      <formula>$G51="proceedings"</formula>
    </cfRule>
  </conditionalFormatting>
  <conditionalFormatting sqref="Y51">
    <cfRule type="expression" dxfId="170" priority="133">
      <formula>$G51="proceedings"</formula>
    </cfRule>
  </conditionalFormatting>
  <conditionalFormatting sqref="Y51">
    <cfRule type="expression" dxfId="169" priority="132">
      <formula>$G51="proceedings"</formula>
    </cfRule>
  </conditionalFormatting>
  <conditionalFormatting sqref="Y51">
    <cfRule type="expression" dxfId="168" priority="131">
      <formula>$G51="proceedings"</formula>
    </cfRule>
  </conditionalFormatting>
  <conditionalFormatting sqref="Y51">
    <cfRule type="expression" dxfId="167" priority="130">
      <formula>$G51="proceedings"</formula>
    </cfRule>
  </conditionalFormatting>
  <conditionalFormatting sqref="Y51">
    <cfRule type="expression" dxfId="166" priority="129">
      <formula>$G51="proceedings"</formula>
    </cfRule>
  </conditionalFormatting>
  <conditionalFormatting sqref="Y51">
    <cfRule type="expression" dxfId="165" priority="128">
      <formula>$G51="proceedings"</formula>
    </cfRule>
  </conditionalFormatting>
  <conditionalFormatting sqref="Y51">
    <cfRule type="expression" dxfId="164" priority="127">
      <formula>$G51="proceedings"</formula>
    </cfRule>
  </conditionalFormatting>
  <conditionalFormatting sqref="Y51">
    <cfRule type="expression" dxfId="163" priority="126">
      <formula>$G51="proceedings"</formula>
    </cfRule>
  </conditionalFormatting>
  <conditionalFormatting sqref="Y51">
    <cfRule type="expression" dxfId="162" priority="125">
      <formula>$G51="proceedings"</formula>
    </cfRule>
  </conditionalFormatting>
  <conditionalFormatting sqref="Y51">
    <cfRule type="expression" dxfId="161" priority="124">
      <formula>$G51="proceedings"</formula>
    </cfRule>
  </conditionalFormatting>
  <conditionalFormatting sqref="Y51">
    <cfRule type="expression" dxfId="160" priority="123">
      <formula>$G51="proceedings"</formula>
    </cfRule>
  </conditionalFormatting>
  <conditionalFormatting sqref="X49 X51">
    <cfRule type="cellIs" dxfId="159" priority="122" operator="equal">
      <formula>"(Select)"</formula>
    </cfRule>
  </conditionalFormatting>
  <conditionalFormatting sqref="X50">
    <cfRule type="cellIs" dxfId="158" priority="121" operator="equal">
      <formula>"(Select)"</formula>
    </cfRule>
  </conditionalFormatting>
  <conditionalFormatting sqref="D54:F54">
    <cfRule type="cellIs" dxfId="157" priority="120" operator="equal">
      <formula>"(Select)"</formula>
    </cfRule>
  </conditionalFormatting>
  <conditionalFormatting sqref="H54">
    <cfRule type="cellIs" dxfId="156" priority="119" operator="equal">
      <formula>"(Select)"</formula>
    </cfRule>
  </conditionalFormatting>
  <conditionalFormatting sqref="H54">
    <cfRule type="cellIs" dxfId="155" priority="118" operator="equal">
      <formula>"(Select)"</formula>
    </cfRule>
  </conditionalFormatting>
  <conditionalFormatting sqref="H54">
    <cfRule type="cellIs" dxfId="154" priority="117" operator="equal">
      <formula>"(Select)"</formula>
    </cfRule>
  </conditionalFormatting>
  <conditionalFormatting sqref="H54">
    <cfRule type="cellIs" dxfId="153" priority="116" operator="equal">
      <formula>"(Select)"</formula>
    </cfRule>
  </conditionalFormatting>
  <conditionalFormatting sqref="G54">
    <cfRule type="cellIs" dxfId="152" priority="115" operator="equal">
      <formula>"(Select)"</formula>
    </cfRule>
  </conditionalFormatting>
  <conditionalFormatting sqref="D53:F53">
    <cfRule type="cellIs" dxfId="151" priority="114" operator="equal">
      <formula>"(Select)"</formula>
    </cfRule>
  </conditionalFormatting>
  <conditionalFormatting sqref="H53">
    <cfRule type="cellIs" dxfId="150" priority="113" operator="equal">
      <formula>"(Select)"</formula>
    </cfRule>
  </conditionalFormatting>
  <conditionalFormatting sqref="H53">
    <cfRule type="cellIs" dxfId="149" priority="112" operator="equal">
      <formula>"(Select)"</formula>
    </cfRule>
  </conditionalFormatting>
  <conditionalFormatting sqref="H53">
    <cfRule type="cellIs" dxfId="148" priority="111" operator="equal">
      <formula>"(Select)"</formula>
    </cfRule>
  </conditionalFormatting>
  <conditionalFormatting sqref="H53">
    <cfRule type="cellIs" dxfId="147" priority="110" operator="equal">
      <formula>"(Select)"</formula>
    </cfRule>
  </conditionalFormatting>
  <conditionalFormatting sqref="G53">
    <cfRule type="cellIs" dxfId="146" priority="109" operator="equal">
      <formula>"(Select)"</formula>
    </cfRule>
  </conditionalFormatting>
  <conditionalFormatting sqref="P50">
    <cfRule type="expression" dxfId="145" priority="107">
      <formula>$G50="Q&amp;A"</formula>
    </cfRule>
  </conditionalFormatting>
  <conditionalFormatting sqref="P50">
    <cfRule type="cellIs" dxfId="144" priority="108" operator="equal">
      <formula>"(Select)"</formula>
    </cfRule>
  </conditionalFormatting>
  <conditionalFormatting sqref="P50">
    <cfRule type="expression" dxfId="143" priority="106">
      <formula>$G50="proceedings"</formula>
    </cfRule>
  </conditionalFormatting>
  <conditionalFormatting sqref="P50">
    <cfRule type="expression" dxfId="142" priority="105">
      <formula>$G50="proceedings"</formula>
    </cfRule>
  </conditionalFormatting>
  <conditionalFormatting sqref="P50">
    <cfRule type="expression" dxfId="141" priority="104">
      <formula>$G50="proceedings"</formula>
    </cfRule>
  </conditionalFormatting>
  <conditionalFormatting sqref="P50">
    <cfRule type="expression" dxfId="140" priority="103">
      <formula>$G50="proceedings"</formula>
    </cfRule>
  </conditionalFormatting>
  <conditionalFormatting sqref="P50">
    <cfRule type="expression" dxfId="139" priority="102">
      <formula>$G50="proceedings"</formula>
    </cfRule>
  </conditionalFormatting>
  <conditionalFormatting sqref="P50">
    <cfRule type="expression" dxfId="138" priority="101">
      <formula>$G50="proceedings"</formula>
    </cfRule>
  </conditionalFormatting>
  <conditionalFormatting sqref="P50">
    <cfRule type="expression" dxfId="137" priority="100">
      <formula>$G50="proceedings"</formula>
    </cfRule>
  </conditionalFormatting>
  <conditionalFormatting sqref="P50">
    <cfRule type="expression" dxfId="136" priority="99">
      <formula>$G50="proceedings"</formula>
    </cfRule>
  </conditionalFormatting>
  <conditionalFormatting sqref="P50">
    <cfRule type="expression" dxfId="135" priority="98">
      <formula>$G50="proceedings"</formula>
    </cfRule>
  </conditionalFormatting>
  <conditionalFormatting sqref="P50">
    <cfRule type="expression" dxfId="134" priority="97">
      <formula>$G50="proceedings"</formula>
    </cfRule>
  </conditionalFormatting>
  <conditionalFormatting sqref="P50">
    <cfRule type="expression" dxfId="133" priority="96">
      <formula>$G50="proceedings"</formula>
    </cfRule>
  </conditionalFormatting>
  <conditionalFormatting sqref="P50">
    <cfRule type="expression" dxfId="132" priority="95">
      <formula>$G50="proceedings"</formula>
    </cfRule>
  </conditionalFormatting>
  <conditionalFormatting sqref="Q50">
    <cfRule type="expression" dxfId="131" priority="93">
      <formula>$G50="Q&amp;A"</formula>
    </cfRule>
  </conditionalFormatting>
  <conditionalFormatting sqref="Q50">
    <cfRule type="cellIs" dxfId="130" priority="94" operator="equal">
      <formula>"(Select)"</formula>
    </cfRule>
  </conditionalFormatting>
  <conditionalFormatting sqref="Q50">
    <cfRule type="expression" dxfId="129" priority="92">
      <formula>$G50="proceedings"</formula>
    </cfRule>
  </conditionalFormatting>
  <conditionalFormatting sqref="Q50">
    <cfRule type="expression" dxfId="128" priority="91">
      <formula>$G50="proceedings"</formula>
    </cfRule>
  </conditionalFormatting>
  <conditionalFormatting sqref="Q50">
    <cfRule type="expression" dxfId="127" priority="90">
      <formula>$G50="proceedings"</formula>
    </cfRule>
  </conditionalFormatting>
  <conditionalFormatting sqref="Q50">
    <cfRule type="expression" dxfId="126" priority="89">
      <formula>$G50="proceedings"</formula>
    </cfRule>
  </conditionalFormatting>
  <conditionalFormatting sqref="Q50">
    <cfRule type="expression" dxfId="125" priority="88">
      <formula>$G50="proceedings"</formula>
    </cfRule>
  </conditionalFormatting>
  <conditionalFormatting sqref="Q50">
    <cfRule type="expression" dxfId="124" priority="87">
      <formula>$G50="proceedings"</formula>
    </cfRule>
  </conditionalFormatting>
  <conditionalFormatting sqref="Q50">
    <cfRule type="expression" dxfId="123" priority="86">
      <formula>$G50="proceedings"</formula>
    </cfRule>
  </conditionalFormatting>
  <conditionalFormatting sqref="Q50">
    <cfRule type="expression" dxfId="122" priority="85">
      <formula>$G50="proceedings"</formula>
    </cfRule>
  </conditionalFormatting>
  <conditionalFormatting sqref="Q50">
    <cfRule type="expression" dxfId="121" priority="84">
      <formula>$G50="proceedings"</formula>
    </cfRule>
  </conditionalFormatting>
  <conditionalFormatting sqref="Q50">
    <cfRule type="expression" dxfId="120" priority="83">
      <formula>$G50="proceedings"</formula>
    </cfRule>
  </conditionalFormatting>
  <conditionalFormatting sqref="Q50">
    <cfRule type="expression" dxfId="119" priority="82">
      <formula>$G50="proceedings"</formula>
    </cfRule>
  </conditionalFormatting>
  <conditionalFormatting sqref="Q50">
    <cfRule type="expression" dxfId="118" priority="81">
      <formula>$G50="proceedings"</formula>
    </cfRule>
  </conditionalFormatting>
  <conditionalFormatting sqref="Q50">
    <cfRule type="expression" dxfId="117" priority="80">
      <formula>$G50="proceedings"</formula>
    </cfRule>
  </conditionalFormatting>
  <conditionalFormatting sqref="Q50">
    <cfRule type="expression" dxfId="116" priority="79">
      <formula>$G50="proceedings"</formula>
    </cfRule>
  </conditionalFormatting>
  <conditionalFormatting sqref="Q50">
    <cfRule type="expression" dxfId="115" priority="78">
      <formula>$G50="proceedings"</formula>
    </cfRule>
  </conditionalFormatting>
  <conditionalFormatting sqref="Q50">
    <cfRule type="expression" dxfId="114" priority="77">
      <formula>$G50="proceedings"</formula>
    </cfRule>
  </conditionalFormatting>
  <conditionalFormatting sqref="Q50">
    <cfRule type="expression" dxfId="113" priority="76">
      <formula>$G50="proceedings"</formula>
    </cfRule>
  </conditionalFormatting>
  <conditionalFormatting sqref="Q50">
    <cfRule type="expression" dxfId="112" priority="75">
      <formula>$G50="proceedings"</formula>
    </cfRule>
  </conditionalFormatting>
  <conditionalFormatting sqref="Q50">
    <cfRule type="expression" dxfId="111" priority="74">
      <formula>$G50="proceedings"</formula>
    </cfRule>
  </conditionalFormatting>
  <conditionalFormatting sqref="Q50">
    <cfRule type="expression" dxfId="110" priority="73">
      <formula>$G50="proceedings"</formula>
    </cfRule>
  </conditionalFormatting>
  <conditionalFormatting sqref="P51">
    <cfRule type="expression" dxfId="109" priority="71">
      <formula>$G51="Q&amp;A"</formula>
    </cfRule>
  </conditionalFormatting>
  <conditionalFormatting sqref="P51">
    <cfRule type="cellIs" dxfId="108" priority="72" operator="equal">
      <formula>"(Select)"</formula>
    </cfRule>
  </conditionalFormatting>
  <conditionalFormatting sqref="P51">
    <cfRule type="expression" dxfId="107" priority="70">
      <formula>$G51="proceedings"</formula>
    </cfRule>
  </conditionalFormatting>
  <conditionalFormatting sqref="P51">
    <cfRule type="expression" dxfId="106" priority="69">
      <formula>$G51="proceedings"</formula>
    </cfRule>
  </conditionalFormatting>
  <conditionalFormatting sqref="P51">
    <cfRule type="expression" dxfId="105" priority="68">
      <formula>$G51="proceedings"</formula>
    </cfRule>
  </conditionalFormatting>
  <conditionalFormatting sqref="P51">
    <cfRule type="expression" dxfId="104" priority="67">
      <formula>$G51="proceedings"</formula>
    </cfRule>
  </conditionalFormatting>
  <conditionalFormatting sqref="P51">
    <cfRule type="expression" dxfId="103" priority="66">
      <formula>$G51="proceedings"</formula>
    </cfRule>
  </conditionalFormatting>
  <conditionalFormatting sqref="P51">
    <cfRule type="expression" dxfId="102" priority="65">
      <formula>$G51="proceedings"</formula>
    </cfRule>
  </conditionalFormatting>
  <conditionalFormatting sqref="P51">
    <cfRule type="expression" dxfId="101" priority="64">
      <formula>$G51="proceedings"</formula>
    </cfRule>
  </conditionalFormatting>
  <conditionalFormatting sqref="P51">
    <cfRule type="expression" dxfId="100" priority="63">
      <formula>$G51="proceedings"</formula>
    </cfRule>
  </conditionalFormatting>
  <conditionalFormatting sqref="P51">
    <cfRule type="expression" dxfId="99" priority="62">
      <formula>$G51="proceedings"</formula>
    </cfRule>
  </conditionalFormatting>
  <conditionalFormatting sqref="P51">
    <cfRule type="expression" dxfId="98" priority="61">
      <formula>$G51="proceedings"</formula>
    </cfRule>
  </conditionalFormatting>
  <conditionalFormatting sqref="P51">
    <cfRule type="expression" dxfId="97" priority="60">
      <formula>$G51="proceedings"</formula>
    </cfRule>
  </conditionalFormatting>
  <conditionalFormatting sqref="P51">
    <cfRule type="expression" dxfId="96" priority="59">
      <formula>$G51="proceedings"</formula>
    </cfRule>
  </conditionalFormatting>
  <conditionalFormatting sqref="Q51">
    <cfRule type="expression" dxfId="95" priority="57">
      <formula>$G51="Q&amp;A"</formula>
    </cfRule>
  </conditionalFormatting>
  <conditionalFormatting sqref="Q51">
    <cfRule type="cellIs" dxfId="94" priority="58" operator="equal">
      <formula>"(Select)"</formula>
    </cfRule>
  </conditionalFormatting>
  <conditionalFormatting sqref="Q51">
    <cfRule type="expression" dxfId="93" priority="56">
      <formula>$G51="proceedings"</formula>
    </cfRule>
  </conditionalFormatting>
  <conditionalFormatting sqref="Q51">
    <cfRule type="expression" dxfId="92" priority="55">
      <formula>$G51="proceedings"</formula>
    </cfRule>
  </conditionalFormatting>
  <conditionalFormatting sqref="Q51">
    <cfRule type="expression" dxfId="91" priority="54">
      <formula>$G51="proceedings"</formula>
    </cfRule>
  </conditionalFormatting>
  <conditionalFormatting sqref="Q51">
    <cfRule type="expression" dxfId="90" priority="53">
      <formula>$G51="proceedings"</formula>
    </cfRule>
  </conditionalFormatting>
  <conditionalFormatting sqref="Q51">
    <cfRule type="expression" dxfId="89" priority="52">
      <formula>$G51="proceedings"</formula>
    </cfRule>
  </conditionalFormatting>
  <conditionalFormatting sqref="Q51">
    <cfRule type="expression" dxfId="88" priority="51">
      <formula>$G51="proceedings"</formula>
    </cfRule>
  </conditionalFormatting>
  <conditionalFormatting sqref="Q51">
    <cfRule type="expression" dxfId="87" priority="50">
      <formula>$G51="proceedings"</formula>
    </cfRule>
  </conditionalFormatting>
  <conditionalFormatting sqref="Q51">
    <cfRule type="expression" dxfId="86" priority="49">
      <formula>$G51="proceedings"</formula>
    </cfRule>
  </conditionalFormatting>
  <conditionalFormatting sqref="Q51">
    <cfRule type="expression" dxfId="85" priority="48">
      <formula>$G51="proceedings"</formula>
    </cfRule>
  </conditionalFormatting>
  <conditionalFormatting sqref="Q51">
    <cfRule type="expression" dxfId="84" priority="47">
      <formula>$G51="proceedings"</formula>
    </cfRule>
  </conditionalFormatting>
  <conditionalFormatting sqref="Q51">
    <cfRule type="expression" dxfId="83" priority="46">
      <formula>$G51="proceedings"</formula>
    </cfRule>
  </conditionalFormatting>
  <conditionalFormatting sqref="Q51">
    <cfRule type="expression" dxfId="82" priority="45">
      <formula>$G51="proceedings"</formula>
    </cfRule>
  </conditionalFormatting>
  <conditionalFormatting sqref="Q51">
    <cfRule type="expression" dxfId="81" priority="44">
      <formula>$G51="proceedings"</formula>
    </cfRule>
  </conditionalFormatting>
  <conditionalFormatting sqref="Q51">
    <cfRule type="expression" dxfId="80" priority="43">
      <formula>$G51="proceedings"</formula>
    </cfRule>
  </conditionalFormatting>
  <conditionalFormatting sqref="Q51">
    <cfRule type="expression" dxfId="79" priority="42">
      <formula>$G51="proceedings"</formula>
    </cfRule>
  </conditionalFormatting>
  <conditionalFormatting sqref="Q51">
    <cfRule type="expression" dxfId="78" priority="41">
      <formula>$G51="proceedings"</formula>
    </cfRule>
  </conditionalFormatting>
  <conditionalFormatting sqref="Q51">
    <cfRule type="expression" dxfId="77" priority="40">
      <formula>$G51="proceedings"</formula>
    </cfRule>
  </conditionalFormatting>
  <conditionalFormatting sqref="Q51">
    <cfRule type="expression" dxfId="76" priority="39">
      <formula>$G51="proceedings"</formula>
    </cfRule>
  </conditionalFormatting>
  <conditionalFormatting sqref="Q51">
    <cfRule type="expression" dxfId="75" priority="38">
      <formula>$G51="proceedings"</formula>
    </cfRule>
  </conditionalFormatting>
  <conditionalFormatting sqref="Q51">
    <cfRule type="expression" dxfId="74" priority="37">
      <formula>$G51="proceedings"</formula>
    </cfRule>
  </conditionalFormatting>
  <conditionalFormatting sqref="P52">
    <cfRule type="expression" dxfId="73" priority="35">
      <formula>$G52="Q&amp;A"</formula>
    </cfRule>
  </conditionalFormatting>
  <conditionalFormatting sqref="P52">
    <cfRule type="cellIs" dxfId="72" priority="36" operator="equal">
      <formula>"(Select)"</formula>
    </cfRule>
  </conditionalFormatting>
  <conditionalFormatting sqref="P52">
    <cfRule type="expression" dxfId="71" priority="34">
      <formula>$G52="proceedings"</formula>
    </cfRule>
  </conditionalFormatting>
  <conditionalFormatting sqref="P52">
    <cfRule type="expression" dxfId="70" priority="33">
      <formula>$G52="proceedings"</formula>
    </cfRule>
  </conditionalFormatting>
  <conditionalFormatting sqref="P52">
    <cfRule type="expression" dxfId="69" priority="32">
      <formula>$G52="proceedings"</formula>
    </cfRule>
  </conditionalFormatting>
  <conditionalFormatting sqref="P52">
    <cfRule type="expression" dxfId="68" priority="31">
      <formula>$G52="proceedings"</formula>
    </cfRule>
  </conditionalFormatting>
  <conditionalFormatting sqref="P52">
    <cfRule type="expression" dxfId="67" priority="30">
      <formula>$G52="proceedings"</formula>
    </cfRule>
  </conditionalFormatting>
  <conditionalFormatting sqref="P52">
    <cfRule type="expression" dxfId="66" priority="29">
      <formula>$G52="proceedings"</formula>
    </cfRule>
  </conditionalFormatting>
  <conditionalFormatting sqref="P52">
    <cfRule type="expression" dxfId="65" priority="28">
      <formula>$G52="proceedings"</formula>
    </cfRule>
  </conditionalFormatting>
  <conditionalFormatting sqref="P52">
    <cfRule type="expression" dxfId="64" priority="27">
      <formula>$G52="proceedings"</formula>
    </cfRule>
  </conditionalFormatting>
  <conditionalFormatting sqref="P52">
    <cfRule type="expression" dxfId="63" priority="26">
      <formula>$G52="proceedings"</formula>
    </cfRule>
  </conditionalFormatting>
  <conditionalFormatting sqref="P52">
    <cfRule type="expression" dxfId="62" priority="25">
      <formula>$G52="proceedings"</formula>
    </cfRule>
  </conditionalFormatting>
  <conditionalFormatting sqref="P52">
    <cfRule type="expression" dxfId="61" priority="24">
      <formula>$G52="proceedings"</formula>
    </cfRule>
  </conditionalFormatting>
  <conditionalFormatting sqref="P52">
    <cfRule type="expression" dxfId="60" priority="23">
      <formula>$G52="proceedings"</formula>
    </cfRule>
  </conditionalFormatting>
  <conditionalFormatting sqref="Q52">
    <cfRule type="expression" dxfId="59" priority="21">
      <formula>$G52="Q&amp;A"</formula>
    </cfRule>
  </conditionalFormatting>
  <conditionalFormatting sqref="Q52">
    <cfRule type="cellIs" dxfId="58" priority="22" operator="equal">
      <formula>"(Select)"</formula>
    </cfRule>
  </conditionalFormatting>
  <conditionalFormatting sqref="Q52">
    <cfRule type="expression" dxfId="57" priority="20">
      <formula>$G52="proceedings"</formula>
    </cfRule>
  </conditionalFormatting>
  <conditionalFormatting sqref="Q52">
    <cfRule type="expression" dxfId="56" priority="19">
      <formula>$G52="proceedings"</formula>
    </cfRule>
  </conditionalFormatting>
  <conditionalFormatting sqref="Q52">
    <cfRule type="expression" dxfId="55" priority="18">
      <formula>$G52="proceedings"</formula>
    </cfRule>
  </conditionalFormatting>
  <conditionalFormatting sqref="Q52">
    <cfRule type="expression" dxfId="54" priority="17">
      <formula>$G52="proceedings"</formula>
    </cfRule>
  </conditionalFormatting>
  <conditionalFormatting sqref="Q52">
    <cfRule type="expression" dxfId="53" priority="16">
      <formula>$G52="proceedings"</formula>
    </cfRule>
  </conditionalFormatting>
  <conditionalFormatting sqref="Q52">
    <cfRule type="expression" dxfId="52" priority="15">
      <formula>$G52="proceedings"</formula>
    </cfRule>
  </conditionalFormatting>
  <conditionalFormatting sqref="Q52">
    <cfRule type="expression" dxfId="51" priority="14">
      <formula>$G52="proceedings"</formula>
    </cfRule>
  </conditionalFormatting>
  <conditionalFormatting sqref="Q52">
    <cfRule type="expression" dxfId="50" priority="13">
      <formula>$G52="proceedings"</formula>
    </cfRule>
  </conditionalFormatting>
  <conditionalFormatting sqref="Q52">
    <cfRule type="expression" dxfId="49" priority="12">
      <formula>$G52="proceedings"</formula>
    </cfRule>
  </conditionalFormatting>
  <conditionalFormatting sqref="Q52">
    <cfRule type="expression" dxfId="48" priority="11">
      <formula>$G52="proceedings"</formula>
    </cfRule>
  </conditionalFormatting>
  <conditionalFormatting sqref="Q52">
    <cfRule type="expression" dxfId="47" priority="10">
      <formula>$G52="proceedings"</formula>
    </cfRule>
  </conditionalFormatting>
  <conditionalFormatting sqref="Q52">
    <cfRule type="expression" dxfId="46" priority="9">
      <formula>$G52="proceedings"</formula>
    </cfRule>
  </conditionalFormatting>
  <conditionalFormatting sqref="Q52">
    <cfRule type="expression" dxfId="45" priority="8">
      <formula>$G52="proceedings"</formula>
    </cfRule>
  </conditionalFormatting>
  <conditionalFormatting sqref="Q52">
    <cfRule type="expression" dxfId="44" priority="7">
      <formula>$G52="proceedings"</formula>
    </cfRule>
  </conditionalFormatting>
  <conditionalFormatting sqref="Q52">
    <cfRule type="expression" dxfId="43" priority="6">
      <formula>$G52="proceedings"</formula>
    </cfRule>
  </conditionalFormatting>
  <conditionalFormatting sqref="Q52">
    <cfRule type="expression" dxfId="42" priority="5">
      <formula>$G52="proceedings"</formula>
    </cfRule>
  </conditionalFormatting>
  <conditionalFormatting sqref="Q52">
    <cfRule type="expression" dxfId="41" priority="4">
      <formula>$G52="proceedings"</formula>
    </cfRule>
  </conditionalFormatting>
  <conditionalFormatting sqref="Q52">
    <cfRule type="expression" dxfId="40" priority="3">
      <formula>$G52="proceedings"</formula>
    </cfRule>
  </conditionalFormatting>
  <conditionalFormatting sqref="Q52">
    <cfRule type="expression" dxfId="39" priority="2">
      <formula>$G52="proceedings"</formula>
    </cfRule>
  </conditionalFormatting>
  <conditionalFormatting sqref="Q52">
    <cfRule type="expression" dxfId="38" priority="1">
      <formula>$G52="proceedings"</formula>
    </cfRule>
  </conditionalFormatting>
  <dataValidations count="10">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99" xr:uid="{00000000-0002-0000-0000-000002000000}">
      <formula1>"(Select),Issue,Q&amp;A"</formula1>
    </dataValidation>
    <dataValidation type="list" allowBlank="1" sqref="O49:O99" xr:uid="{00000000-0002-0000-0000-000003000000}">
      <formula1>"(Select),Defect,Risk,Problem,AI"</formula1>
    </dataValidation>
    <dataValidation type="list" allowBlank="1" sqref="V35:V45" xr:uid="{00000000-0002-0000-0000-000004000000}">
      <formula1>"(Select),Page,Line,Number"</formula1>
    </dataValidation>
    <dataValidation type="list" allowBlank="1" sqref="G8:Q10" xr:uid="{00000000-0002-0000-0000-000005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6000000}">
      <formula1>"(Select),1st review,Re-review"</formula1>
    </dataValidation>
    <dataValidation type="list" allowBlank="1" sqref="G49:G98" xr:uid="{00000000-0002-0000-0000-000007000000}">
      <formula1>"(Select),Issue,Q&amp;A,proceedings"</formula1>
    </dataValidation>
    <dataValidation type="list" allowBlank="1" showInputMessage="1" sqref="E49:E55" xr:uid="{00000000-0002-0000-0000-000008000000}">
      <formula1>",-"</formula1>
    </dataValidation>
    <dataValidation type="list" allowBlank="1" showInputMessage="1" sqref="D49:D54" xr:uid="{00000000-0002-0000-0000-000009000000}">
      <formula1>"-,(–{‘), 1, 2, 3, 4, 5"</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49"/>
  <sheetViews>
    <sheetView topLeftCell="A10" zoomScale="70" zoomScaleNormal="70" workbookViewId="0">
      <selection activeCell="I26" sqref="I26"/>
    </sheetView>
  </sheetViews>
  <sheetFormatPr defaultRowHeight="12.75"/>
  <cols>
    <col min="1" max="1" width="1.21875" style="16" customWidth="1"/>
    <col min="2" max="2" width="6.109375" style="16" customWidth="1"/>
    <col min="3" max="3" width="11.44140625" style="31" customWidth="1"/>
    <col min="4" max="4" width="62.88671875" style="31" customWidth="1"/>
    <col min="5" max="5" width="10.33203125" style="31" customWidth="1"/>
    <col min="6" max="6" width="9.44140625" style="103" customWidth="1"/>
    <col min="7" max="7" width="9.44140625" style="104" customWidth="1"/>
    <col min="8" max="9" width="9.44140625" style="16" customWidth="1"/>
    <col min="10" max="10" width="9.44140625" style="104" customWidth="1"/>
    <col min="11" max="11" width="12" style="16" bestFit="1" customWidth="1"/>
    <col min="12" max="12" width="18.44140625" style="16" customWidth="1"/>
    <col min="13" max="256" width="9" style="16"/>
    <col min="257" max="257" width="1.21875" style="16" customWidth="1"/>
    <col min="258" max="258" width="6.109375" style="16" customWidth="1"/>
    <col min="259" max="259" width="11.44140625" style="16" customWidth="1"/>
    <col min="260" max="260" width="62.88671875" style="16" customWidth="1"/>
    <col min="261" max="261" width="10.33203125" style="16" customWidth="1"/>
    <col min="262" max="267" width="9.44140625" style="16" customWidth="1"/>
    <col min="268" max="268" width="18.44140625" style="16" customWidth="1"/>
    <col min="269" max="512" width="9" style="16"/>
    <col min="513" max="513" width="1.21875" style="16" customWidth="1"/>
    <col min="514" max="514" width="6.109375" style="16" customWidth="1"/>
    <col min="515" max="515" width="11.44140625" style="16" customWidth="1"/>
    <col min="516" max="516" width="62.88671875" style="16" customWidth="1"/>
    <col min="517" max="517" width="10.33203125" style="16" customWidth="1"/>
    <col min="518" max="523" width="9.44140625" style="16" customWidth="1"/>
    <col min="524" max="524" width="18.44140625" style="16" customWidth="1"/>
    <col min="525" max="768" width="9" style="16"/>
    <col min="769" max="769" width="1.21875" style="16" customWidth="1"/>
    <col min="770" max="770" width="6.109375" style="16" customWidth="1"/>
    <col min="771" max="771" width="11.44140625" style="16" customWidth="1"/>
    <col min="772" max="772" width="62.88671875" style="16" customWidth="1"/>
    <col min="773" max="773" width="10.33203125" style="16" customWidth="1"/>
    <col min="774" max="779" width="9.44140625" style="16" customWidth="1"/>
    <col min="780" max="780" width="18.44140625" style="16" customWidth="1"/>
    <col min="781" max="1024" width="9" style="16"/>
    <col min="1025" max="1025" width="1.21875" style="16" customWidth="1"/>
    <col min="1026" max="1026" width="6.109375" style="16" customWidth="1"/>
    <col min="1027" max="1027" width="11.44140625" style="16" customWidth="1"/>
    <col min="1028" max="1028" width="62.88671875" style="16" customWidth="1"/>
    <col min="1029" max="1029" width="10.33203125" style="16" customWidth="1"/>
    <col min="1030" max="1035" width="9.44140625" style="16" customWidth="1"/>
    <col min="1036" max="1036" width="18.44140625" style="16" customWidth="1"/>
    <col min="1037" max="1280" width="9" style="16"/>
    <col min="1281" max="1281" width="1.21875" style="16" customWidth="1"/>
    <col min="1282" max="1282" width="6.109375" style="16" customWidth="1"/>
    <col min="1283" max="1283" width="11.44140625" style="16" customWidth="1"/>
    <col min="1284" max="1284" width="62.88671875" style="16" customWidth="1"/>
    <col min="1285" max="1285" width="10.33203125" style="16" customWidth="1"/>
    <col min="1286" max="1291" width="9.44140625" style="16" customWidth="1"/>
    <col min="1292" max="1292" width="18.44140625" style="16" customWidth="1"/>
    <col min="1293" max="1536" width="9" style="16"/>
    <col min="1537" max="1537" width="1.21875" style="16" customWidth="1"/>
    <col min="1538" max="1538" width="6.109375" style="16" customWidth="1"/>
    <col min="1539" max="1539" width="11.44140625" style="16" customWidth="1"/>
    <col min="1540" max="1540" width="62.88671875" style="16" customWidth="1"/>
    <col min="1541" max="1541" width="10.33203125" style="16" customWidth="1"/>
    <col min="1542" max="1547" width="9.44140625" style="16" customWidth="1"/>
    <col min="1548" max="1548" width="18.44140625" style="16" customWidth="1"/>
    <col min="1549" max="1792" width="9" style="16"/>
    <col min="1793" max="1793" width="1.21875" style="16" customWidth="1"/>
    <col min="1794" max="1794" width="6.109375" style="16" customWidth="1"/>
    <col min="1795" max="1795" width="11.44140625" style="16" customWidth="1"/>
    <col min="1796" max="1796" width="62.88671875" style="16" customWidth="1"/>
    <col min="1797" max="1797" width="10.33203125" style="16" customWidth="1"/>
    <col min="1798" max="1803" width="9.44140625" style="16" customWidth="1"/>
    <col min="1804" max="1804" width="18.44140625" style="16" customWidth="1"/>
    <col min="1805" max="2048" width="9" style="16"/>
    <col min="2049" max="2049" width="1.21875" style="16" customWidth="1"/>
    <col min="2050" max="2050" width="6.109375" style="16" customWidth="1"/>
    <col min="2051" max="2051" width="11.44140625" style="16" customWidth="1"/>
    <col min="2052" max="2052" width="62.88671875" style="16" customWidth="1"/>
    <col min="2053" max="2053" width="10.33203125" style="16" customWidth="1"/>
    <col min="2054" max="2059" width="9.44140625" style="16" customWidth="1"/>
    <col min="2060" max="2060" width="18.44140625" style="16" customWidth="1"/>
    <col min="2061" max="2304" width="9" style="16"/>
    <col min="2305" max="2305" width="1.21875" style="16" customWidth="1"/>
    <col min="2306" max="2306" width="6.109375" style="16" customWidth="1"/>
    <col min="2307" max="2307" width="11.44140625" style="16" customWidth="1"/>
    <col min="2308" max="2308" width="62.88671875" style="16" customWidth="1"/>
    <col min="2309" max="2309" width="10.33203125" style="16" customWidth="1"/>
    <col min="2310" max="2315" width="9.44140625" style="16" customWidth="1"/>
    <col min="2316" max="2316" width="18.44140625" style="16" customWidth="1"/>
    <col min="2317" max="2560" width="9" style="16"/>
    <col min="2561" max="2561" width="1.21875" style="16" customWidth="1"/>
    <col min="2562" max="2562" width="6.109375" style="16" customWidth="1"/>
    <col min="2563" max="2563" width="11.44140625" style="16" customWidth="1"/>
    <col min="2564" max="2564" width="62.88671875" style="16" customWidth="1"/>
    <col min="2565" max="2565" width="10.33203125" style="16" customWidth="1"/>
    <col min="2566" max="2571" width="9.44140625" style="16" customWidth="1"/>
    <col min="2572" max="2572" width="18.44140625" style="16" customWidth="1"/>
    <col min="2573" max="2816" width="9" style="16"/>
    <col min="2817" max="2817" width="1.21875" style="16" customWidth="1"/>
    <col min="2818" max="2818" width="6.109375" style="16" customWidth="1"/>
    <col min="2819" max="2819" width="11.44140625" style="16" customWidth="1"/>
    <col min="2820" max="2820" width="62.88671875" style="16" customWidth="1"/>
    <col min="2821" max="2821" width="10.33203125" style="16" customWidth="1"/>
    <col min="2822" max="2827" width="9.44140625" style="16" customWidth="1"/>
    <col min="2828" max="2828" width="18.44140625" style="16" customWidth="1"/>
    <col min="2829" max="3072" width="9" style="16"/>
    <col min="3073" max="3073" width="1.21875" style="16" customWidth="1"/>
    <col min="3074" max="3074" width="6.109375" style="16" customWidth="1"/>
    <col min="3075" max="3075" width="11.44140625" style="16" customWidth="1"/>
    <col min="3076" max="3076" width="62.88671875" style="16" customWidth="1"/>
    <col min="3077" max="3077" width="10.33203125" style="16" customWidth="1"/>
    <col min="3078" max="3083" width="9.44140625" style="16" customWidth="1"/>
    <col min="3084" max="3084" width="18.44140625" style="16" customWidth="1"/>
    <col min="3085" max="3328" width="9" style="16"/>
    <col min="3329" max="3329" width="1.21875" style="16" customWidth="1"/>
    <col min="3330" max="3330" width="6.109375" style="16" customWidth="1"/>
    <col min="3331" max="3331" width="11.44140625" style="16" customWidth="1"/>
    <col min="3332" max="3332" width="62.88671875" style="16" customWidth="1"/>
    <col min="3333" max="3333" width="10.33203125" style="16" customWidth="1"/>
    <col min="3334" max="3339" width="9.44140625" style="16" customWidth="1"/>
    <col min="3340" max="3340" width="18.44140625" style="16" customWidth="1"/>
    <col min="3341" max="3584" width="9" style="16"/>
    <col min="3585" max="3585" width="1.21875" style="16" customWidth="1"/>
    <col min="3586" max="3586" width="6.109375" style="16" customWidth="1"/>
    <col min="3587" max="3587" width="11.44140625" style="16" customWidth="1"/>
    <col min="3588" max="3588" width="62.88671875" style="16" customWidth="1"/>
    <col min="3589" max="3589" width="10.33203125" style="16" customWidth="1"/>
    <col min="3590" max="3595" width="9.44140625" style="16" customWidth="1"/>
    <col min="3596" max="3596" width="18.44140625" style="16" customWidth="1"/>
    <col min="3597" max="3840" width="9" style="16"/>
    <col min="3841" max="3841" width="1.21875" style="16" customWidth="1"/>
    <col min="3842" max="3842" width="6.109375" style="16" customWidth="1"/>
    <col min="3843" max="3843" width="11.44140625" style="16" customWidth="1"/>
    <col min="3844" max="3844" width="62.88671875" style="16" customWidth="1"/>
    <col min="3845" max="3845" width="10.33203125" style="16" customWidth="1"/>
    <col min="3846" max="3851" width="9.44140625" style="16" customWidth="1"/>
    <col min="3852" max="3852" width="18.44140625" style="16" customWidth="1"/>
    <col min="3853" max="4096" width="9" style="16"/>
    <col min="4097" max="4097" width="1.21875" style="16" customWidth="1"/>
    <col min="4098" max="4098" width="6.109375" style="16" customWidth="1"/>
    <col min="4099" max="4099" width="11.44140625" style="16" customWidth="1"/>
    <col min="4100" max="4100" width="62.88671875" style="16" customWidth="1"/>
    <col min="4101" max="4101" width="10.33203125" style="16" customWidth="1"/>
    <col min="4102" max="4107" width="9.44140625" style="16" customWidth="1"/>
    <col min="4108" max="4108" width="18.44140625" style="16" customWidth="1"/>
    <col min="4109" max="4352" width="9" style="16"/>
    <col min="4353" max="4353" width="1.21875" style="16" customWidth="1"/>
    <col min="4354" max="4354" width="6.109375" style="16" customWidth="1"/>
    <col min="4355" max="4355" width="11.44140625" style="16" customWidth="1"/>
    <col min="4356" max="4356" width="62.88671875" style="16" customWidth="1"/>
    <col min="4357" max="4357" width="10.33203125" style="16" customWidth="1"/>
    <col min="4358" max="4363" width="9.44140625" style="16" customWidth="1"/>
    <col min="4364" max="4364" width="18.44140625" style="16" customWidth="1"/>
    <col min="4365" max="4608" width="9" style="16"/>
    <col min="4609" max="4609" width="1.21875" style="16" customWidth="1"/>
    <col min="4610" max="4610" width="6.109375" style="16" customWidth="1"/>
    <col min="4611" max="4611" width="11.44140625" style="16" customWidth="1"/>
    <col min="4612" max="4612" width="62.88671875" style="16" customWidth="1"/>
    <col min="4613" max="4613" width="10.33203125" style="16" customWidth="1"/>
    <col min="4614" max="4619" width="9.44140625" style="16" customWidth="1"/>
    <col min="4620" max="4620" width="18.44140625" style="16" customWidth="1"/>
    <col min="4621" max="4864" width="9" style="16"/>
    <col min="4865" max="4865" width="1.21875" style="16" customWidth="1"/>
    <col min="4866" max="4866" width="6.109375" style="16" customWidth="1"/>
    <col min="4867" max="4867" width="11.44140625" style="16" customWidth="1"/>
    <col min="4868" max="4868" width="62.88671875" style="16" customWidth="1"/>
    <col min="4869" max="4869" width="10.33203125" style="16" customWidth="1"/>
    <col min="4870" max="4875" width="9.44140625" style="16" customWidth="1"/>
    <col min="4876" max="4876" width="18.44140625" style="16" customWidth="1"/>
    <col min="4877" max="5120" width="9" style="16"/>
    <col min="5121" max="5121" width="1.21875" style="16" customWidth="1"/>
    <col min="5122" max="5122" width="6.109375" style="16" customWidth="1"/>
    <col min="5123" max="5123" width="11.44140625" style="16" customWidth="1"/>
    <col min="5124" max="5124" width="62.88671875" style="16" customWidth="1"/>
    <col min="5125" max="5125" width="10.33203125" style="16" customWidth="1"/>
    <col min="5126" max="5131" width="9.44140625" style="16" customWidth="1"/>
    <col min="5132" max="5132" width="18.44140625" style="16" customWidth="1"/>
    <col min="5133" max="5376" width="9" style="16"/>
    <col min="5377" max="5377" width="1.21875" style="16" customWidth="1"/>
    <col min="5378" max="5378" width="6.109375" style="16" customWidth="1"/>
    <col min="5379" max="5379" width="11.44140625" style="16" customWidth="1"/>
    <col min="5380" max="5380" width="62.88671875" style="16" customWidth="1"/>
    <col min="5381" max="5381" width="10.33203125" style="16" customWidth="1"/>
    <col min="5382" max="5387" width="9.44140625" style="16" customWidth="1"/>
    <col min="5388" max="5388" width="18.44140625" style="16" customWidth="1"/>
    <col min="5389" max="5632" width="9" style="16"/>
    <col min="5633" max="5633" width="1.21875" style="16" customWidth="1"/>
    <col min="5634" max="5634" width="6.109375" style="16" customWidth="1"/>
    <col min="5635" max="5635" width="11.44140625" style="16" customWidth="1"/>
    <col min="5636" max="5636" width="62.88671875" style="16" customWidth="1"/>
    <col min="5637" max="5637" width="10.33203125" style="16" customWidth="1"/>
    <col min="5638" max="5643" width="9.44140625" style="16" customWidth="1"/>
    <col min="5644" max="5644" width="18.44140625" style="16" customWidth="1"/>
    <col min="5645" max="5888" width="9" style="16"/>
    <col min="5889" max="5889" width="1.21875" style="16" customWidth="1"/>
    <col min="5890" max="5890" width="6.109375" style="16" customWidth="1"/>
    <col min="5891" max="5891" width="11.44140625" style="16" customWidth="1"/>
    <col min="5892" max="5892" width="62.88671875" style="16" customWidth="1"/>
    <col min="5893" max="5893" width="10.33203125" style="16" customWidth="1"/>
    <col min="5894" max="5899" width="9.44140625" style="16" customWidth="1"/>
    <col min="5900" max="5900" width="18.44140625" style="16" customWidth="1"/>
    <col min="5901" max="6144" width="9" style="16"/>
    <col min="6145" max="6145" width="1.21875" style="16" customWidth="1"/>
    <col min="6146" max="6146" width="6.109375" style="16" customWidth="1"/>
    <col min="6147" max="6147" width="11.44140625" style="16" customWidth="1"/>
    <col min="6148" max="6148" width="62.88671875" style="16" customWidth="1"/>
    <col min="6149" max="6149" width="10.33203125" style="16" customWidth="1"/>
    <col min="6150" max="6155" width="9.44140625" style="16" customWidth="1"/>
    <col min="6156" max="6156" width="18.44140625" style="16" customWidth="1"/>
    <col min="6157" max="6400" width="9" style="16"/>
    <col min="6401" max="6401" width="1.21875" style="16" customWidth="1"/>
    <col min="6402" max="6402" width="6.109375" style="16" customWidth="1"/>
    <col min="6403" max="6403" width="11.44140625" style="16" customWidth="1"/>
    <col min="6404" max="6404" width="62.88671875" style="16" customWidth="1"/>
    <col min="6405" max="6405" width="10.33203125" style="16" customWidth="1"/>
    <col min="6406" max="6411" width="9.44140625" style="16" customWidth="1"/>
    <col min="6412" max="6412" width="18.44140625" style="16" customWidth="1"/>
    <col min="6413" max="6656" width="9" style="16"/>
    <col min="6657" max="6657" width="1.21875" style="16" customWidth="1"/>
    <col min="6658" max="6658" width="6.109375" style="16" customWidth="1"/>
    <col min="6659" max="6659" width="11.44140625" style="16" customWidth="1"/>
    <col min="6660" max="6660" width="62.88671875" style="16" customWidth="1"/>
    <col min="6661" max="6661" width="10.33203125" style="16" customWidth="1"/>
    <col min="6662" max="6667" width="9.44140625" style="16" customWidth="1"/>
    <col min="6668" max="6668" width="18.44140625" style="16" customWidth="1"/>
    <col min="6669" max="6912" width="9" style="16"/>
    <col min="6913" max="6913" width="1.21875" style="16" customWidth="1"/>
    <col min="6914" max="6914" width="6.109375" style="16" customWidth="1"/>
    <col min="6915" max="6915" width="11.44140625" style="16" customWidth="1"/>
    <col min="6916" max="6916" width="62.88671875" style="16" customWidth="1"/>
    <col min="6917" max="6917" width="10.33203125" style="16" customWidth="1"/>
    <col min="6918" max="6923" width="9.44140625" style="16" customWidth="1"/>
    <col min="6924" max="6924" width="18.44140625" style="16" customWidth="1"/>
    <col min="6925" max="7168" width="9" style="16"/>
    <col min="7169" max="7169" width="1.21875" style="16" customWidth="1"/>
    <col min="7170" max="7170" width="6.109375" style="16" customWidth="1"/>
    <col min="7171" max="7171" width="11.44140625" style="16" customWidth="1"/>
    <col min="7172" max="7172" width="62.88671875" style="16" customWidth="1"/>
    <col min="7173" max="7173" width="10.33203125" style="16" customWidth="1"/>
    <col min="7174" max="7179" width="9.44140625" style="16" customWidth="1"/>
    <col min="7180" max="7180" width="18.44140625" style="16" customWidth="1"/>
    <col min="7181" max="7424" width="9" style="16"/>
    <col min="7425" max="7425" width="1.21875" style="16" customWidth="1"/>
    <col min="7426" max="7426" width="6.109375" style="16" customWidth="1"/>
    <col min="7427" max="7427" width="11.44140625" style="16" customWidth="1"/>
    <col min="7428" max="7428" width="62.88671875" style="16" customWidth="1"/>
    <col min="7429" max="7429" width="10.33203125" style="16" customWidth="1"/>
    <col min="7430" max="7435" width="9.44140625" style="16" customWidth="1"/>
    <col min="7436" max="7436" width="18.44140625" style="16" customWidth="1"/>
    <col min="7437" max="7680" width="9" style="16"/>
    <col min="7681" max="7681" width="1.21875" style="16" customWidth="1"/>
    <col min="7682" max="7682" width="6.109375" style="16" customWidth="1"/>
    <col min="7683" max="7683" width="11.44140625" style="16" customWidth="1"/>
    <col min="7684" max="7684" width="62.88671875" style="16" customWidth="1"/>
    <col min="7685" max="7685" width="10.33203125" style="16" customWidth="1"/>
    <col min="7686" max="7691" width="9.44140625" style="16" customWidth="1"/>
    <col min="7692" max="7692" width="18.44140625" style="16" customWidth="1"/>
    <col min="7693" max="7936" width="9" style="16"/>
    <col min="7937" max="7937" width="1.21875" style="16" customWidth="1"/>
    <col min="7938" max="7938" width="6.109375" style="16" customWidth="1"/>
    <col min="7939" max="7939" width="11.44140625" style="16" customWidth="1"/>
    <col min="7940" max="7940" width="62.88671875" style="16" customWidth="1"/>
    <col min="7941" max="7941" width="10.33203125" style="16" customWidth="1"/>
    <col min="7942" max="7947" width="9.44140625" style="16" customWidth="1"/>
    <col min="7948" max="7948" width="18.44140625" style="16" customWidth="1"/>
    <col min="7949" max="8192" width="9" style="16"/>
    <col min="8193" max="8193" width="1.21875" style="16" customWidth="1"/>
    <col min="8194" max="8194" width="6.109375" style="16" customWidth="1"/>
    <col min="8195" max="8195" width="11.44140625" style="16" customWidth="1"/>
    <col min="8196" max="8196" width="62.88671875" style="16" customWidth="1"/>
    <col min="8197" max="8197" width="10.33203125" style="16" customWidth="1"/>
    <col min="8198" max="8203" width="9.44140625" style="16" customWidth="1"/>
    <col min="8204" max="8204" width="18.44140625" style="16" customWidth="1"/>
    <col min="8205" max="8448" width="9" style="16"/>
    <col min="8449" max="8449" width="1.21875" style="16" customWidth="1"/>
    <col min="8450" max="8450" width="6.109375" style="16" customWidth="1"/>
    <col min="8451" max="8451" width="11.44140625" style="16" customWidth="1"/>
    <col min="8452" max="8452" width="62.88671875" style="16" customWidth="1"/>
    <col min="8453" max="8453" width="10.33203125" style="16" customWidth="1"/>
    <col min="8454" max="8459" width="9.44140625" style="16" customWidth="1"/>
    <col min="8460" max="8460" width="18.44140625" style="16" customWidth="1"/>
    <col min="8461" max="8704" width="9" style="16"/>
    <col min="8705" max="8705" width="1.21875" style="16" customWidth="1"/>
    <col min="8706" max="8706" width="6.109375" style="16" customWidth="1"/>
    <col min="8707" max="8707" width="11.44140625" style="16" customWidth="1"/>
    <col min="8708" max="8708" width="62.88671875" style="16" customWidth="1"/>
    <col min="8709" max="8709" width="10.33203125" style="16" customWidth="1"/>
    <col min="8710" max="8715" width="9.44140625" style="16" customWidth="1"/>
    <col min="8716" max="8716" width="18.44140625" style="16" customWidth="1"/>
    <col min="8717" max="8960" width="9" style="16"/>
    <col min="8961" max="8961" width="1.21875" style="16" customWidth="1"/>
    <col min="8962" max="8962" width="6.109375" style="16" customWidth="1"/>
    <col min="8963" max="8963" width="11.44140625" style="16" customWidth="1"/>
    <col min="8964" max="8964" width="62.88671875" style="16" customWidth="1"/>
    <col min="8965" max="8965" width="10.33203125" style="16" customWidth="1"/>
    <col min="8966" max="8971" width="9.44140625" style="16" customWidth="1"/>
    <col min="8972" max="8972" width="18.44140625" style="16" customWidth="1"/>
    <col min="8973" max="9216" width="9" style="16"/>
    <col min="9217" max="9217" width="1.21875" style="16" customWidth="1"/>
    <col min="9218" max="9218" width="6.109375" style="16" customWidth="1"/>
    <col min="9219" max="9219" width="11.44140625" style="16" customWidth="1"/>
    <col min="9220" max="9220" width="62.88671875" style="16" customWidth="1"/>
    <col min="9221" max="9221" width="10.33203125" style="16" customWidth="1"/>
    <col min="9222" max="9227" width="9.44140625" style="16" customWidth="1"/>
    <col min="9228" max="9228" width="18.44140625" style="16" customWidth="1"/>
    <col min="9229" max="9472" width="9" style="16"/>
    <col min="9473" max="9473" width="1.21875" style="16" customWidth="1"/>
    <col min="9474" max="9474" width="6.109375" style="16" customWidth="1"/>
    <col min="9475" max="9475" width="11.44140625" style="16" customWidth="1"/>
    <col min="9476" max="9476" width="62.88671875" style="16" customWidth="1"/>
    <col min="9477" max="9477" width="10.33203125" style="16" customWidth="1"/>
    <col min="9478" max="9483" width="9.44140625" style="16" customWidth="1"/>
    <col min="9484" max="9484" width="18.44140625" style="16" customWidth="1"/>
    <col min="9485" max="9728" width="9" style="16"/>
    <col min="9729" max="9729" width="1.21875" style="16" customWidth="1"/>
    <col min="9730" max="9730" width="6.109375" style="16" customWidth="1"/>
    <col min="9731" max="9731" width="11.44140625" style="16" customWidth="1"/>
    <col min="9732" max="9732" width="62.88671875" style="16" customWidth="1"/>
    <col min="9733" max="9733" width="10.33203125" style="16" customWidth="1"/>
    <col min="9734" max="9739" width="9.44140625" style="16" customWidth="1"/>
    <col min="9740" max="9740" width="18.44140625" style="16" customWidth="1"/>
    <col min="9741" max="9984" width="9" style="16"/>
    <col min="9985" max="9985" width="1.21875" style="16" customWidth="1"/>
    <col min="9986" max="9986" width="6.109375" style="16" customWidth="1"/>
    <col min="9987" max="9987" width="11.44140625" style="16" customWidth="1"/>
    <col min="9988" max="9988" width="62.88671875" style="16" customWidth="1"/>
    <col min="9989" max="9989" width="10.33203125" style="16" customWidth="1"/>
    <col min="9990" max="9995" width="9.44140625" style="16" customWidth="1"/>
    <col min="9996" max="9996" width="18.44140625" style="16" customWidth="1"/>
    <col min="9997" max="10240" width="9" style="16"/>
    <col min="10241" max="10241" width="1.21875" style="16" customWidth="1"/>
    <col min="10242" max="10242" width="6.109375" style="16" customWidth="1"/>
    <col min="10243" max="10243" width="11.44140625" style="16" customWidth="1"/>
    <col min="10244" max="10244" width="62.88671875" style="16" customWidth="1"/>
    <col min="10245" max="10245" width="10.33203125" style="16" customWidth="1"/>
    <col min="10246" max="10251" width="9.44140625" style="16" customWidth="1"/>
    <col min="10252" max="10252" width="18.44140625" style="16" customWidth="1"/>
    <col min="10253" max="10496" width="9" style="16"/>
    <col min="10497" max="10497" width="1.21875" style="16" customWidth="1"/>
    <col min="10498" max="10498" width="6.109375" style="16" customWidth="1"/>
    <col min="10499" max="10499" width="11.44140625" style="16" customWidth="1"/>
    <col min="10500" max="10500" width="62.88671875" style="16" customWidth="1"/>
    <col min="10501" max="10501" width="10.33203125" style="16" customWidth="1"/>
    <col min="10502" max="10507" width="9.44140625" style="16" customWidth="1"/>
    <col min="10508" max="10508" width="18.44140625" style="16" customWidth="1"/>
    <col min="10509" max="10752" width="9" style="16"/>
    <col min="10753" max="10753" width="1.21875" style="16" customWidth="1"/>
    <col min="10754" max="10754" width="6.109375" style="16" customWidth="1"/>
    <col min="10755" max="10755" width="11.44140625" style="16" customWidth="1"/>
    <col min="10756" max="10756" width="62.88671875" style="16" customWidth="1"/>
    <col min="10757" max="10757" width="10.33203125" style="16" customWidth="1"/>
    <col min="10758" max="10763" width="9.44140625" style="16" customWidth="1"/>
    <col min="10764" max="10764" width="18.44140625" style="16" customWidth="1"/>
    <col min="10765" max="11008" width="9" style="16"/>
    <col min="11009" max="11009" width="1.21875" style="16" customWidth="1"/>
    <col min="11010" max="11010" width="6.109375" style="16" customWidth="1"/>
    <col min="11011" max="11011" width="11.44140625" style="16" customWidth="1"/>
    <col min="11012" max="11012" width="62.88671875" style="16" customWidth="1"/>
    <col min="11013" max="11013" width="10.33203125" style="16" customWidth="1"/>
    <col min="11014" max="11019" width="9.44140625" style="16" customWidth="1"/>
    <col min="11020" max="11020" width="18.44140625" style="16" customWidth="1"/>
    <col min="11021" max="11264" width="9" style="16"/>
    <col min="11265" max="11265" width="1.21875" style="16" customWidth="1"/>
    <col min="11266" max="11266" width="6.109375" style="16" customWidth="1"/>
    <col min="11267" max="11267" width="11.44140625" style="16" customWidth="1"/>
    <col min="11268" max="11268" width="62.88671875" style="16" customWidth="1"/>
    <col min="11269" max="11269" width="10.33203125" style="16" customWidth="1"/>
    <col min="11270" max="11275" width="9.44140625" style="16" customWidth="1"/>
    <col min="11276" max="11276" width="18.44140625" style="16" customWidth="1"/>
    <col min="11277" max="11520" width="9" style="16"/>
    <col min="11521" max="11521" width="1.21875" style="16" customWidth="1"/>
    <col min="11522" max="11522" width="6.109375" style="16" customWidth="1"/>
    <col min="11523" max="11523" width="11.44140625" style="16" customWidth="1"/>
    <col min="11524" max="11524" width="62.88671875" style="16" customWidth="1"/>
    <col min="11525" max="11525" width="10.33203125" style="16" customWidth="1"/>
    <col min="11526" max="11531" width="9.44140625" style="16" customWidth="1"/>
    <col min="11532" max="11532" width="18.44140625" style="16" customWidth="1"/>
    <col min="11533" max="11776" width="9" style="16"/>
    <col min="11777" max="11777" width="1.21875" style="16" customWidth="1"/>
    <col min="11778" max="11778" width="6.109375" style="16" customWidth="1"/>
    <col min="11779" max="11779" width="11.44140625" style="16" customWidth="1"/>
    <col min="11780" max="11780" width="62.88671875" style="16" customWidth="1"/>
    <col min="11781" max="11781" width="10.33203125" style="16" customWidth="1"/>
    <col min="11782" max="11787" width="9.44140625" style="16" customWidth="1"/>
    <col min="11788" max="11788" width="18.44140625" style="16" customWidth="1"/>
    <col min="11789" max="12032" width="9" style="16"/>
    <col min="12033" max="12033" width="1.21875" style="16" customWidth="1"/>
    <col min="12034" max="12034" width="6.109375" style="16" customWidth="1"/>
    <col min="12035" max="12035" width="11.44140625" style="16" customWidth="1"/>
    <col min="12036" max="12036" width="62.88671875" style="16" customWidth="1"/>
    <col min="12037" max="12037" width="10.33203125" style="16" customWidth="1"/>
    <col min="12038" max="12043" width="9.44140625" style="16" customWidth="1"/>
    <col min="12044" max="12044" width="18.44140625" style="16" customWidth="1"/>
    <col min="12045" max="12288" width="9" style="16"/>
    <col min="12289" max="12289" width="1.21875" style="16" customWidth="1"/>
    <col min="12290" max="12290" width="6.109375" style="16" customWidth="1"/>
    <col min="12291" max="12291" width="11.44140625" style="16" customWidth="1"/>
    <col min="12292" max="12292" width="62.88671875" style="16" customWidth="1"/>
    <col min="12293" max="12293" width="10.33203125" style="16" customWidth="1"/>
    <col min="12294" max="12299" width="9.44140625" style="16" customWidth="1"/>
    <col min="12300" max="12300" width="18.44140625" style="16" customWidth="1"/>
    <col min="12301" max="12544" width="9" style="16"/>
    <col min="12545" max="12545" width="1.21875" style="16" customWidth="1"/>
    <col min="12546" max="12546" width="6.109375" style="16" customWidth="1"/>
    <col min="12547" max="12547" width="11.44140625" style="16" customWidth="1"/>
    <col min="12548" max="12548" width="62.88671875" style="16" customWidth="1"/>
    <col min="12549" max="12549" width="10.33203125" style="16" customWidth="1"/>
    <col min="12550" max="12555" width="9.44140625" style="16" customWidth="1"/>
    <col min="12556" max="12556" width="18.44140625" style="16" customWidth="1"/>
    <col min="12557" max="12800" width="9" style="16"/>
    <col min="12801" max="12801" width="1.21875" style="16" customWidth="1"/>
    <col min="12802" max="12802" width="6.109375" style="16" customWidth="1"/>
    <col min="12803" max="12803" width="11.44140625" style="16" customWidth="1"/>
    <col min="12804" max="12804" width="62.88671875" style="16" customWidth="1"/>
    <col min="12805" max="12805" width="10.33203125" style="16" customWidth="1"/>
    <col min="12806" max="12811" width="9.44140625" style="16" customWidth="1"/>
    <col min="12812" max="12812" width="18.44140625" style="16" customWidth="1"/>
    <col min="12813" max="13056" width="9" style="16"/>
    <col min="13057" max="13057" width="1.21875" style="16" customWidth="1"/>
    <col min="13058" max="13058" width="6.109375" style="16" customWidth="1"/>
    <col min="13059" max="13059" width="11.44140625" style="16" customWidth="1"/>
    <col min="13060" max="13060" width="62.88671875" style="16" customWidth="1"/>
    <col min="13061" max="13061" width="10.33203125" style="16" customWidth="1"/>
    <col min="13062" max="13067" width="9.44140625" style="16" customWidth="1"/>
    <col min="13068" max="13068" width="18.44140625" style="16" customWidth="1"/>
    <col min="13069" max="13312" width="9" style="16"/>
    <col min="13313" max="13313" width="1.21875" style="16" customWidth="1"/>
    <col min="13314" max="13314" width="6.109375" style="16" customWidth="1"/>
    <col min="13315" max="13315" width="11.44140625" style="16" customWidth="1"/>
    <col min="13316" max="13316" width="62.88671875" style="16" customWidth="1"/>
    <col min="13317" max="13317" width="10.33203125" style="16" customWidth="1"/>
    <col min="13318" max="13323" width="9.44140625" style="16" customWidth="1"/>
    <col min="13324" max="13324" width="18.44140625" style="16" customWidth="1"/>
    <col min="13325" max="13568" width="9" style="16"/>
    <col min="13569" max="13569" width="1.21875" style="16" customWidth="1"/>
    <col min="13570" max="13570" width="6.109375" style="16" customWidth="1"/>
    <col min="13571" max="13571" width="11.44140625" style="16" customWidth="1"/>
    <col min="13572" max="13572" width="62.88671875" style="16" customWidth="1"/>
    <col min="13573" max="13573" width="10.33203125" style="16" customWidth="1"/>
    <col min="13574" max="13579" width="9.44140625" style="16" customWidth="1"/>
    <col min="13580" max="13580" width="18.44140625" style="16" customWidth="1"/>
    <col min="13581" max="13824" width="9" style="16"/>
    <col min="13825" max="13825" width="1.21875" style="16" customWidth="1"/>
    <col min="13826" max="13826" width="6.109375" style="16" customWidth="1"/>
    <col min="13827" max="13827" width="11.44140625" style="16" customWidth="1"/>
    <col min="13828" max="13828" width="62.88671875" style="16" customWidth="1"/>
    <col min="13829" max="13829" width="10.33203125" style="16" customWidth="1"/>
    <col min="13830" max="13835" width="9.44140625" style="16" customWidth="1"/>
    <col min="13836" max="13836" width="18.44140625" style="16" customWidth="1"/>
    <col min="13837" max="14080" width="9" style="16"/>
    <col min="14081" max="14081" width="1.21875" style="16" customWidth="1"/>
    <col min="14082" max="14082" width="6.109375" style="16" customWidth="1"/>
    <col min="14083" max="14083" width="11.44140625" style="16" customWidth="1"/>
    <col min="14084" max="14084" width="62.88671875" style="16" customWidth="1"/>
    <col min="14085" max="14085" width="10.33203125" style="16" customWidth="1"/>
    <col min="14086" max="14091" width="9.44140625" style="16" customWidth="1"/>
    <col min="14092" max="14092" width="18.44140625" style="16" customWidth="1"/>
    <col min="14093" max="14336" width="9" style="16"/>
    <col min="14337" max="14337" width="1.21875" style="16" customWidth="1"/>
    <col min="14338" max="14338" width="6.109375" style="16" customWidth="1"/>
    <col min="14339" max="14339" width="11.44140625" style="16" customWidth="1"/>
    <col min="14340" max="14340" width="62.88671875" style="16" customWidth="1"/>
    <col min="14341" max="14341" width="10.33203125" style="16" customWidth="1"/>
    <col min="14342" max="14347" width="9.44140625" style="16" customWidth="1"/>
    <col min="14348" max="14348" width="18.44140625" style="16" customWidth="1"/>
    <col min="14349" max="14592" width="9" style="16"/>
    <col min="14593" max="14593" width="1.21875" style="16" customWidth="1"/>
    <col min="14594" max="14594" width="6.109375" style="16" customWidth="1"/>
    <col min="14595" max="14595" width="11.44140625" style="16" customWidth="1"/>
    <col min="14596" max="14596" width="62.88671875" style="16" customWidth="1"/>
    <col min="14597" max="14597" width="10.33203125" style="16" customWidth="1"/>
    <col min="14598" max="14603" width="9.44140625" style="16" customWidth="1"/>
    <col min="14604" max="14604" width="18.44140625" style="16" customWidth="1"/>
    <col min="14605" max="14848" width="9" style="16"/>
    <col min="14849" max="14849" width="1.21875" style="16" customWidth="1"/>
    <col min="14850" max="14850" width="6.109375" style="16" customWidth="1"/>
    <col min="14851" max="14851" width="11.44140625" style="16" customWidth="1"/>
    <col min="14852" max="14852" width="62.88671875" style="16" customWidth="1"/>
    <col min="14853" max="14853" width="10.33203125" style="16" customWidth="1"/>
    <col min="14854" max="14859" width="9.44140625" style="16" customWidth="1"/>
    <col min="14860" max="14860" width="18.44140625" style="16" customWidth="1"/>
    <col min="14861" max="15104" width="9" style="16"/>
    <col min="15105" max="15105" width="1.21875" style="16" customWidth="1"/>
    <col min="15106" max="15106" width="6.109375" style="16" customWidth="1"/>
    <col min="15107" max="15107" width="11.44140625" style="16" customWidth="1"/>
    <col min="15108" max="15108" width="62.88671875" style="16" customWidth="1"/>
    <col min="15109" max="15109" width="10.33203125" style="16" customWidth="1"/>
    <col min="15110" max="15115" width="9.44140625" style="16" customWidth="1"/>
    <col min="15116" max="15116" width="18.44140625" style="16" customWidth="1"/>
    <col min="15117" max="15360" width="9" style="16"/>
    <col min="15361" max="15361" width="1.21875" style="16" customWidth="1"/>
    <col min="15362" max="15362" width="6.109375" style="16" customWidth="1"/>
    <col min="15363" max="15363" width="11.44140625" style="16" customWidth="1"/>
    <col min="15364" max="15364" width="62.88671875" style="16" customWidth="1"/>
    <col min="15365" max="15365" width="10.33203125" style="16" customWidth="1"/>
    <col min="15366" max="15371" width="9.44140625" style="16" customWidth="1"/>
    <col min="15372" max="15372" width="18.44140625" style="16" customWidth="1"/>
    <col min="15373" max="15616" width="9" style="16"/>
    <col min="15617" max="15617" width="1.21875" style="16" customWidth="1"/>
    <col min="15618" max="15618" width="6.109375" style="16" customWidth="1"/>
    <col min="15619" max="15619" width="11.44140625" style="16" customWidth="1"/>
    <col min="15620" max="15620" width="62.88671875" style="16" customWidth="1"/>
    <col min="15621" max="15621" width="10.33203125" style="16" customWidth="1"/>
    <col min="15622" max="15627" width="9.44140625" style="16" customWidth="1"/>
    <col min="15628" max="15628" width="18.44140625" style="16" customWidth="1"/>
    <col min="15629" max="15872" width="9" style="16"/>
    <col min="15873" max="15873" width="1.21875" style="16" customWidth="1"/>
    <col min="15874" max="15874" width="6.109375" style="16" customWidth="1"/>
    <col min="15875" max="15875" width="11.44140625" style="16" customWidth="1"/>
    <col min="15876" max="15876" width="62.88671875" style="16" customWidth="1"/>
    <col min="15877" max="15877" width="10.33203125" style="16" customWidth="1"/>
    <col min="15878" max="15883" width="9.44140625" style="16" customWidth="1"/>
    <col min="15884" max="15884" width="18.44140625" style="16" customWidth="1"/>
    <col min="15885" max="16128" width="9" style="16"/>
    <col min="16129" max="16129" width="1.21875" style="16" customWidth="1"/>
    <col min="16130" max="16130" width="6.109375" style="16" customWidth="1"/>
    <col min="16131" max="16131" width="11.44140625" style="16" customWidth="1"/>
    <col min="16132" max="16132" width="62.88671875" style="16" customWidth="1"/>
    <col min="16133" max="16133" width="10.33203125" style="16" customWidth="1"/>
    <col min="16134" max="16139" width="9.44140625" style="16" customWidth="1"/>
    <col min="16140" max="16140" width="18.44140625" style="16" customWidth="1"/>
    <col min="16141" max="16384" width="9" style="16"/>
  </cols>
  <sheetData>
    <row r="2" spans="2:13">
      <c r="B2" s="118" t="s">
        <v>431</v>
      </c>
      <c r="E2" s="134" t="s">
        <v>432</v>
      </c>
    </row>
    <row r="3" spans="2:13">
      <c r="B3" s="118"/>
    </row>
    <row r="4" spans="2:13">
      <c r="B4" s="105" t="s">
        <v>433</v>
      </c>
    </row>
    <row r="5" spans="2:13" ht="13.5" thickBot="1"/>
    <row r="6" spans="2:13" s="105" customFormat="1" ht="13.9" customHeight="1">
      <c r="B6" s="338" t="s">
        <v>392</v>
      </c>
      <c r="C6" s="339"/>
      <c r="D6" s="342" t="s">
        <v>480</v>
      </c>
      <c r="E6" s="344" t="s">
        <v>393</v>
      </c>
      <c r="F6" s="345"/>
      <c r="G6" s="348" t="s">
        <v>490</v>
      </c>
      <c r="H6" s="349"/>
      <c r="I6" s="349"/>
      <c r="J6" s="349"/>
      <c r="K6" s="350"/>
      <c r="L6" s="119"/>
    </row>
    <row r="7" spans="2:13" s="105" customFormat="1" ht="14.25" customHeight="1" thickBot="1">
      <c r="B7" s="340"/>
      <c r="C7" s="341"/>
      <c r="D7" s="343"/>
      <c r="E7" s="346"/>
      <c r="F7" s="347"/>
      <c r="G7" s="351"/>
      <c r="H7" s="352"/>
      <c r="I7" s="352"/>
      <c r="J7" s="352"/>
      <c r="K7" s="353"/>
      <c r="L7" s="119"/>
    </row>
    <row r="8" spans="2:13" s="105" customFormat="1" ht="14.25" customHeight="1" thickBot="1">
      <c r="B8" s="354" t="s">
        <v>394</v>
      </c>
      <c r="C8" s="355"/>
      <c r="D8" s="135" t="s">
        <v>429</v>
      </c>
      <c r="E8" s="356" t="s">
        <v>423</v>
      </c>
      <c r="F8" s="357"/>
      <c r="G8" s="360" t="s">
        <v>474</v>
      </c>
      <c r="H8" s="361"/>
      <c r="I8" s="361"/>
      <c r="J8" s="361"/>
      <c r="K8" s="362"/>
      <c r="L8" s="119"/>
    </row>
    <row r="9" spans="2:13" s="105" customFormat="1" ht="14.25" customHeight="1" thickBot="1">
      <c r="B9" s="354" t="s">
        <v>395</v>
      </c>
      <c r="C9" s="355"/>
      <c r="D9" s="136">
        <v>1.1000000000000001</v>
      </c>
      <c r="E9" s="358"/>
      <c r="F9" s="359"/>
      <c r="G9" s="363"/>
      <c r="H9" s="364"/>
      <c r="I9" s="364"/>
      <c r="J9" s="364"/>
      <c r="K9" s="365"/>
      <c r="L9" s="119"/>
    </row>
    <row r="10" spans="2:13" s="105" customFormat="1" ht="13.5" thickBot="1">
      <c r="B10" s="120"/>
      <c r="C10" s="121"/>
      <c r="D10" s="122"/>
      <c r="E10" s="120"/>
      <c r="F10" s="119"/>
      <c r="G10" s="123"/>
      <c r="H10" s="124"/>
      <c r="I10" s="125"/>
      <c r="J10" s="126"/>
      <c r="K10" s="125"/>
      <c r="L10" s="125"/>
      <c r="M10" s="119"/>
    </row>
    <row r="11" spans="2:13" ht="26.25" thickBot="1">
      <c r="B11" s="91" t="s">
        <v>424</v>
      </c>
      <c r="C11" s="366" t="s">
        <v>396</v>
      </c>
      <c r="D11" s="367"/>
      <c r="E11" s="92" t="s">
        <v>397</v>
      </c>
      <c r="F11" s="93" t="s">
        <v>398</v>
      </c>
      <c r="G11" s="94" t="s">
        <v>399</v>
      </c>
      <c r="H11" s="95" t="s">
        <v>434</v>
      </c>
      <c r="I11" s="96" t="s">
        <v>425</v>
      </c>
      <c r="J11" s="97" t="s">
        <v>399</v>
      </c>
      <c r="K11" s="98" t="s">
        <v>434</v>
      </c>
      <c r="L11" s="92" t="s">
        <v>435</v>
      </c>
    </row>
    <row r="12" spans="2:13" ht="13.5" thickBot="1">
      <c r="B12" s="368" t="s">
        <v>411</v>
      </c>
      <c r="C12" s="369"/>
      <c r="D12" s="369"/>
      <c r="E12" s="369"/>
      <c r="F12" s="369"/>
      <c r="G12" s="369"/>
      <c r="H12" s="369"/>
      <c r="I12" s="369"/>
      <c r="J12" s="369"/>
      <c r="K12" s="369"/>
      <c r="L12" s="370"/>
    </row>
    <row r="13" spans="2:13" ht="12" customHeight="1">
      <c r="B13" s="371" t="s">
        <v>426</v>
      </c>
      <c r="C13" s="372"/>
      <c r="D13" s="372"/>
      <c r="E13" s="372"/>
      <c r="F13" s="372"/>
      <c r="G13" s="372"/>
      <c r="H13" s="372"/>
      <c r="I13" s="372"/>
      <c r="J13" s="372"/>
      <c r="K13" s="372"/>
      <c r="L13" s="373"/>
    </row>
    <row r="14" spans="2:13" ht="12" customHeight="1">
      <c r="B14" s="127">
        <v>1</v>
      </c>
      <c r="C14" s="374" t="s">
        <v>436</v>
      </c>
      <c r="D14" s="375"/>
      <c r="E14" s="99" t="s">
        <v>401</v>
      </c>
      <c r="F14" s="106" t="s">
        <v>402</v>
      </c>
      <c r="G14" s="101" t="s">
        <v>490</v>
      </c>
      <c r="H14" s="107" t="s">
        <v>473</v>
      </c>
      <c r="I14" s="106" t="s">
        <v>402</v>
      </c>
      <c r="J14" s="101" t="s">
        <v>490</v>
      </c>
      <c r="K14" s="107" t="s">
        <v>474</v>
      </c>
      <c r="L14" s="108"/>
    </row>
    <row r="15" spans="2:13" ht="25.5" customHeight="1">
      <c r="B15" s="127">
        <v>2</v>
      </c>
      <c r="C15" s="374" t="s">
        <v>412</v>
      </c>
      <c r="D15" s="375"/>
      <c r="E15" s="99" t="s">
        <v>403</v>
      </c>
      <c r="F15" s="106" t="s">
        <v>402</v>
      </c>
      <c r="G15" s="101" t="s">
        <v>490</v>
      </c>
      <c r="H15" s="107" t="s">
        <v>473</v>
      </c>
      <c r="I15" s="106" t="s">
        <v>402</v>
      </c>
      <c r="J15" s="101" t="s">
        <v>490</v>
      </c>
      <c r="K15" s="107" t="s">
        <v>474</v>
      </c>
      <c r="L15" s="108"/>
    </row>
    <row r="16" spans="2:13">
      <c r="B16" s="127">
        <v>3</v>
      </c>
      <c r="C16" s="336" t="s">
        <v>413</v>
      </c>
      <c r="D16" s="337"/>
      <c r="E16" s="99" t="s">
        <v>403</v>
      </c>
      <c r="F16" s="106" t="s">
        <v>402</v>
      </c>
      <c r="G16" s="101" t="s">
        <v>490</v>
      </c>
      <c r="H16" s="107" t="s">
        <v>473</v>
      </c>
      <c r="I16" s="106" t="s">
        <v>402</v>
      </c>
      <c r="J16" s="101" t="s">
        <v>490</v>
      </c>
      <c r="K16" s="107" t="s">
        <v>474</v>
      </c>
      <c r="L16" s="108"/>
    </row>
    <row r="17" spans="2:12">
      <c r="B17" s="127">
        <v>4</v>
      </c>
      <c r="C17" s="233" t="s">
        <v>414</v>
      </c>
      <c r="D17" s="233"/>
      <c r="E17" s="99" t="s">
        <v>403</v>
      </c>
      <c r="F17" s="106" t="s">
        <v>402</v>
      </c>
      <c r="G17" s="101" t="s">
        <v>490</v>
      </c>
      <c r="H17" s="107" t="s">
        <v>473</v>
      </c>
      <c r="I17" s="106" t="s">
        <v>402</v>
      </c>
      <c r="J17" s="101" t="s">
        <v>490</v>
      </c>
      <c r="K17" s="107" t="s">
        <v>474</v>
      </c>
      <c r="L17" s="108"/>
    </row>
    <row r="18" spans="2:12">
      <c r="B18" s="127">
        <v>5</v>
      </c>
      <c r="C18" s="233" t="s">
        <v>415</v>
      </c>
      <c r="D18" s="233"/>
      <c r="E18" s="99" t="s">
        <v>403</v>
      </c>
      <c r="F18" s="106" t="s">
        <v>402</v>
      </c>
      <c r="G18" s="101" t="s">
        <v>490</v>
      </c>
      <c r="H18" s="107" t="s">
        <v>473</v>
      </c>
      <c r="I18" s="106" t="s">
        <v>402</v>
      </c>
      <c r="J18" s="101" t="s">
        <v>490</v>
      </c>
      <c r="K18" s="107" t="s">
        <v>474</v>
      </c>
      <c r="L18" s="108"/>
    </row>
    <row r="19" spans="2:12">
      <c r="B19" s="127">
        <v>6</v>
      </c>
      <c r="C19" s="336" t="s">
        <v>437</v>
      </c>
      <c r="D19" s="337"/>
      <c r="E19" s="99" t="s">
        <v>403</v>
      </c>
      <c r="F19" s="106" t="s">
        <v>402</v>
      </c>
      <c r="G19" s="101" t="s">
        <v>490</v>
      </c>
      <c r="H19" s="107" t="s">
        <v>473</v>
      </c>
      <c r="I19" s="106" t="s">
        <v>402</v>
      </c>
      <c r="J19" s="101" t="s">
        <v>490</v>
      </c>
      <c r="K19" s="107" t="s">
        <v>474</v>
      </c>
      <c r="L19" s="108"/>
    </row>
    <row r="20" spans="2:12">
      <c r="B20" s="127">
        <v>7</v>
      </c>
      <c r="C20" s="336" t="s">
        <v>438</v>
      </c>
      <c r="D20" s="337"/>
      <c r="E20" s="99" t="s">
        <v>439</v>
      </c>
      <c r="F20" s="106" t="s">
        <v>402</v>
      </c>
      <c r="G20" s="101" t="s">
        <v>490</v>
      </c>
      <c r="H20" s="107" t="s">
        <v>473</v>
      </c>
      <c r="I20" s="106" t="s">
        <v>402</v>
      </c>
      <c r="J20" s="101" t="s">
        <v>490</v>
      </c>
      <c r="K20" s="107" t="s">
        <v>474</v>
      </c>
      <c r="L20" s="108"/>
    </row>
    <row r="21" spans="2:12">
      <c r="B21" s="127">
        <v>8</v>
      </c>
      <c r="C21" s="336" t="s">
        <v>440</v>
      </c>
      <c r="D21" s="337"/>
      <c r="E21" s="99" t="s">
        <v>403</v>
      </c>
      <c r="F21" s="106" t="s">
        <v>402</v>
      </c>
      <c r="G21" s="101" t="s">
        <v>490</v>
      </c>
      <c r="H21" s="107" t="s">
        <v>473</v>
      </c>
      <c r="I21" s="106" t="s">
        <v>402</v>
      </c>
      <c r="J21" s="101" t="s">
        <v>490</v>
      </c>
      <c r="K21" s="107" t="s">
        <v>474</v>
      </c>
      <c r="L21" s="108"/>
    </row>
    <row r="22" spans="2:12">
      <c r="B22" s="127">
        <v>9</v>
      </c>
      <c r="C22" s="378" t="s">
        <v>441</v>
      </c>
      <c r="D22" s="379"/>
      <c r="E22" s="99" t="s">
        <v>403</v>
      </c>
      <c r="F22" s="106" t="s">
        <v>402</v>
      </c>
      <c r="G22" s="101" t="s">
        <v>490</v>
      </c>
      <c r="H22" s="107" t="s">
        <v>473</v>
      </c>
      <c r="I22" s="106" t="s">
        <v>402</v>
      </c>
      <c r="J22" s="101" t="s">
        <v>490</v>
      </c>
      <c r="K22" s="107" t="s">
        <v>474</v>
      </c>
      <c r="L22" s="108"/>
    </row>
    <row r="23" spans="2:12">
      <c r="B23" s="127">
        <v>10</v>
      </c>
      <c r="C23" s="336" t="s">
        <v>442</v>
      </c>
      <c r="D23" s="337"/>
      <c r="E23" s="99" t="s">
        <v>403</v>
      </c>
      <c r="F23" s="106" t="s">
        <v>402</v>
      </c>
      <c r="G23" s="101" t="s">
        <v>490</v>
      </c>
      <c r="H23" s="107" t="s">
        <v>473</v>
      </c>
      <c r="I23" s="106" t="s">
        <v>402</v>
      </c>
      <c r="J23" s="101" t="s">
        <v>490</v>
      </c>
      <c r="K23" s="107" t="s">
        <v>474</v>
      </c>
      <c r="L23" s="108"/>
    </row>
    <row r="24" spans="2:12">
      <c r="B24" s="127">
        <v>11</v>
      </c>
      <c r="C24" s="336" t="s">
        <v>443</v>
      </c>
      <c r="D24" s="337"/>
      <c r="E24" s="99" t="s">
        <v>403</v>
      </c>
      <c r="F24" s="106" t="s">
        <v>402</v>
      </c>
      <c r="G24" s="101" t="s">
        <v>490</v>
      </c>
      <c r="H24" s="107" t="s">
        <v>473</v>
      </c>
      <c r="I24" s="106" t="s">
        <v>402</v>
      </c>
      <c r="J24" s="101" t="s">
        <v>490</v>
      </c>
      <c r="K24" s="107" t="s">
        <v>474</v>
      </c>
      <c r="L24" s="108"/>
    </row>
    <row r="25" spans="2:12">
      <c r="B25" s="127">
        <v>12</v>
      </c>
      <c r="C25" s="380" t="s">
        <v>416</v>
      </c>
      <c r="D25" s="381"/>
      <c r="E25" s="99" t="s">
        <v>403</v>
      </c>
      <c r="F25" s="106" t="s">
        <v>402</v>
      </c>
      <c r="G25" s="101" t="s">
        <v>490</v>
      </c>
      <c r="H25" s="107" t="s">
        <v>473</v>
      </c>
      <c r="I25" s="106" t="s">
        <v>402</v>
      </c>
      <c r="J25" s="101" t="s">
        <v>490</v>
      </c>
      <c r="K25" s="107" t="s">
        <v>474</v>
      </c>
      <c r="L25" s="108"/>
    </row>
    <row r="26" spans="2:12" s="86" customFormat="1" ht="67.5" customHeight="1">
      <c r="B26" s="137" t="s">
        <v>444</v>
      </c>
      <c r="C26" s="376" t="s">
        <v>445</v>
      </c>
      <c r="D26" s="377"/>
      <c r="E26" s="128" t="s">
        <v>403</v>
      </c>
      <c r="F26" s="106" t="s">
        <v>402</v>
      </c>
      <c r="G26" s="101" t="s">
        <v>490</v>
      </c>
      <c r="H26" s="107" t="s">
        <v>473</v>
      </c>
      <c r="I26" s="106" t="s">
        <v>402</v>
      </c>
      <c r="J26" s="101" t="s">
        <v>490</v>
      </c>
      <c r="K26" s="107" t="s">
        <v>474</v>
      </c>
      <c r="L26" s="138"/>
    </row>
    <row r="27" spans="2:12" s="86" customFormat="1" ht="24" customHeight="1">
      <c r="B27" s="137" t="s">
        <v>446</v>
      </c>
      <c r="C27" s="376" t="s">
        <v>447</v>
      </c>
      <c r="D27" s="377"/>
      <c r="E27" s="128" t="s">
        <v>403</v>
      </c>
      <c r="F27" s="106" t="s">
        <v>402</v>
      </c>
      <c r="G27" s="101" t="s">
        <v>490</v>
      </c>
      <c r="H27" s="107" t="s">
        <v>473</v>
      </c>
      <c r="I27" s="106" t="s">
        <v>402</v>
      </c>
      <c r="J27" s="101" t="s">
        <v>490</v>
      </c>
      <c r="K27" s="107" t="s">
        <v>474</v>
      </c>
      <c r="L27" s="138"/>
    </row>
    <row r="28" spans="2:12" s="86" customFormat="1" ht="33.75" customHeight="1">
      <c r="B28" s="137" t="s">
        <v>448</v>
      </c>
      <c r="C28" s="376" t="s">
        <v>417</v>
      </c>
      <c r="D28" s="377"/>
      <c r="E28" s="128" t="s">
        <v>403</v>
      </c>
      <c r="F28" s="106" t="s">
        <v>390</v>
      </c>
      <c r="G28" s="101" t="s">
        <v>490</v>
      </c>
      <c r="H28" s="107" t="s">
        <v>473</v>
      </c>
      <c r="I28" s="106" t="s">
        <v>390</v>
      </c>
      <c r="J28" s="101" t="s">
        <v>490</v>
      </c>
      <c r="K28" s="107" t="s">
        <v>474</v>
      </c>
      <c r="L28" s="150" t="s">
        <v>462</v>
      </c>
    </row>
    <row r="29" spans="2:12" s="86" customFormat="1" ht="45" customHeight="1">
      <c r="B29" s="139" t="s">
        <v>449</v>
      </c>
      <c r="C29" s="386" t="s">
        <v>450</v>
      </c>
      <c r="D29" s="387"/>
      <c r="E29" s="140" t="s">
        <v>439</v>
      </c>
      <c r="F29" s="141" t="s">
        <v>402</v>
      </c>
      <c r="G29" s="101" t="s">
        <v>490</v>
      </c>
      <c r="H29" s="107" t="s">
        <v>473</v>
      </c>
      <c r="I29" s="141" t="s">
        <v>402</v>
      </c>
      <c r="J29" s="101" t="s">
        <v>490</v>
      </c>
      <c r="K29" s="107" t="s">
        <v>474</v>
      </c>
      <c r="L29" s="142"/>
    </row>
    <row r="30" spans="2:12">
      <c r="B30" s="129" t="s">
        <v>451</v>
      </c>
      <c r="C30" s="109"/>
      <c r="D30" s="109"/>
      <c r="E30" s="130"/>
      <c r="F30" s="130"/>
      <c r="G30" s="110"/>
      <c r="H30" s="130"/>
      <c r="I30" s="130"/>
      <c r="J30" s="110"/>
      <c r="K30" s="130"/>
      <c r="L30" s="131"/>
    </row>
    <row r="31" spans="2:12">
      <c r="B31" s="143" t="s">
        <v>452</v>
      </c>
      <c r="C31" s="144"/>
      <c r="D31" s="144"/>
      <c r="E31" s="145"/>
      <c r="F31" s="145"/>
      <c r="G31" s="146"/>
      <c r="H31" s="145"/>
      <c r="I31" s="145"/>
      <c r="J31" s="146"/>
      <c r="K31" s="145"/>
      <c r="L31" s="147"/>
    </row>
    <row r="32" spans="2:12">
      <c r="B32" s="127">
        <v>1</v>
      </c>
      <c r="C32" s="232" t="s">
        <v>453</v>
      </c>
      <c r="D32" s="388"/>
      <c r="E32" s="99" t="s">
        <v>403</v>
      </c>
      <c r="F32" s="106" t="s">
        <v>402</v>
      </c>
      <c r="G32" s="101" t="s">
        <v>490</v>
      </c>
      <c r="H32" s="107" t="s">
        <v>473</v>
      </c>
      <c r="I32" s="106" t="s">
        <v>402</v>
      </c>
      <c r="J32" s="101" t="s">
        <v>490</v>
      </c>
      <c r="K32" s="107" t="s">
        <v>474</v>
      </c>
      <c r="L32" s="108"/>
    </row>
    <row r="33" spans="2:12">
      <c r="B33" s="127">
        <v>2</v>
      </c>
      <c r="C33" s="232" t="s">
        <v>454</v>
      </c>
      <c r="D33" s="388"/>
      <c r="E33" s="99" t="s">
        <v>403</v>
      </c>
      <c r="F33" s="106" t="s">
        <v>402</v>
      </c>
      <c r="G33" s="101" t="s">
        <v>490</v>
      </c>
      <c r="H33" s="107" t="s">
        <v>473</v>
      </c>
      <c r="I33" s="106" t="s">
        <v>402</v>
      </c>
      <c r="J33" s="101" t="s">
        <v>490</v>
      </c>
      <c r="K33" s="107" t="s">
        <v>474</v>
      </c>
      <c r="L33" s="108"/>
    </row>
    <row r="34" spans="2:12">
      <c r="B34" s="127">
        <v>3</v>
      </c>
      <c r="C34" s="232" t="s">
        <v>455</v>
      </c>
      <c r="D34" s="388"/>
      <c r="E34" s="99" t="s">
        <v>403</v>
      </c>
      <c r="F34" s="106" t="s">
        <v>402</v>
      </c>
      <c r="G34" s="101" t="s">
        <v>490</v>
      </c>
      <c r="H34" s="107" t="s">
        <v>473</v>
      </c>
      <c r="I34" s="106" t="s">
        <v>402</v>
      </c>
      <c r="J34" s="101" t="s">
        <v>490</v>
      </c>
      <c r="K34" s="107" t="s">
        <v>474</v>
      </c>
      <c r="L34" s="108"/>
    </row>
    <row r="35" spans="2:12" ht="27.75" customHeight="1">
      <c r="B35" s="127">
        <v>4</v>
      </c>
      <c r="C35" s="380" t="s">
        <v>456</v>
      </c>
      <c r="D35" s="381"/>
      <c r="E35" s="99" t="s">
        <v>403</v>
      </c>
      <c r="F35" s="106" t="s">
        <v>402</v>
      </c>
      <c r="G35" s="101" t="s">
        <v>490</v>
      </c>
      <c r="H35" s="107" t="s">
        <v>473</v>
      </c>
      <c r="I35" s="106" t="s">
        <v>402</v>
      </c>
      <c r="J35" s="101" t="s">
        <v>490</v>
      </c>
      <c r="K35" s="107" t="s">
        <v>474</v>
      </c>
      <c r="L35" s="108"/>
    </row>
    <row r="36" spans="2:12">
      <c r="B36" s="127">
        <v>5</v>
      </c>
      <c r="C36" s="380" t="s">
        <v>457</v>
      </c>
      <c r="D36" s="381"/>
      <c r="E36" s="99" t="s">
        <v>403</v>
      </c>
      <c r="F36" s="106" t="s">
        <v>402</v>
      </c>
      <c r="G36" s="101" t="s">
        <v>490</v>
      </c>
      <c r="H36" s="107" t="s">
        <v>473</v>
      </c>
      <c r="I36" s="106" t="s">
        <v>402</v>
      </c>
      <c r="J36" s="101" t="s">
        <v>490</v>
      </c>
      <c r="K36" s="107" t="s">
        <v>474</v>
      </c>
      <c r="L36" s="108"/>
    </row>
    <row r="37" spans="2:12">
      <c r="B37" s="127">
        <v>6</v>
      </c>
      <c r="C37" s="380" t="s">
        <v>458</v>
      </c>
      <c r="D37" s="381"/>
      <c r="E37" s="99" t="s">
        <v>403</v>
      </c>
      <c r="F37" s="106" t="s">
        <v>402</v>
      </c>
      <c r="G37" s="101" t="s">
        <v>490</v>
      </c>
      <c r="H37" s="107" t="s">
        <v>473</v>
      </c>
      <c r="I37" s="106" t="s">
        <v>402</v>
      </c>
      <c r="J37" s="101" t="s">
        <v>490</v>
      </c>
      <c r="K37" s="107" t="s">
        <v>474</v>
      </c>
      <c r="L37" s="108"/>
    </row>
    <row r="38" spans="2:12" ht="13.5" thickBot="1">
      <c r="B38" s="148">
        <v>7</v>
      </c>
      <c r="C38" s="389" t="s">
        <v>459</v>
      </c>
      <c r="D38" s="390"/>
      <c r="E38" s="132" t="s">
        <v>403</v>
      </c>
      <c r="F38" s="151" t="s">
        <v>402</v>
      </c>
      <c r="G38" s="152" t="s">
        <v>490</v>
      </c>
      <c r="H38" s="153" t="s">
        <v>473</v>
      </c>
      <c r="I38" s="151" t="s">
        <v>402</v>
      </c>
      <c r="J38" s="152" t="s">
        <v>490</v>
      </c>
      <c r="K38" s="153" t="s">
        <v>474</v>
      </c>
      <c r="L38" s="149"/>
    </row>
    <row r="39" spans="2:12" ht="13.5" thickBot="1"/>
    <row r="40" spans="2:12" ht="14.25" customHeight="1" thickBot="1">
      <c r="B40" s="391" t="s">
        <v>460</v>
      </c>
      <c r="C40" s="392"/>
      <c r="D40" s="392"/>
      <c r="E40" s="392"/>
      <c r="F40" s="392"/>
      <c r="G40" s="392"/>
      <c r="H40" s="392"/>
      <c r="I40" s="392"/>
      <c r="J40" s="392"/>
      <c r="K40" s="393"/>
    </row>
    <row r="41" spans="2:12" ht="25.5">
      <c r="B41" s="111" t="s">
        <v>404</v>
      </c>
      <c r="C41" s="394" t="s">
        <v>396</v>
      </c>
      <c r="D41" s="395"/>
      <c r="E41" s="112" t="s">
        <v>427</v>
      </c>
      <c r="F41" s="396" t="s">
        <v>428</v>
      </c>
      <c r="G41" s="396"/>
      <c r="H41" s="396"/>
      <c r="I41" s="396"/>
      <c r="J41" s="396"/>
      <c r="K41" s="397"/>
    </row>
    <row r="42" spans="2:12">
      <c r="B42" s="100">
        <v>1</v>
      </c>
      <c r="C42" s="382" t="s">
        <v>418</v>
      </c>
      <c r="D42" s="383"/>
      <c r="E42" s="113" t="s">
        <v>405</v>
      </c>
      <c r="F42" s="384"/>
      <c r="G42" s="384"/>
      <c r="H42" s="384"/>
      <c r="I42" s="384"/>
      <c r="J42" s="384"/>
      <c r="K42" s="385"/>
    </row>
    <row r="43" spans="2:12">
      <c r="B43" s="114">
        <v>2</v>
      </c>
      <c r="C43" s="382" t="s">
        <v>400</v>
      </c>
      <c r="D43" s="383"/>
      <c r="E43" s="113" t="s">
        <v>405</v>
      </c>
      <c r="F43" s="384"/>
      <c r="G43" s="384"/>
      <c r="H43" s="384"/>
      <c r="I43" s="384"/>
      <c r="J43" s="384"/>
      <c r="K43" s="385"/>
    </row>
    <row r="44" spans="2:12">
      <c r="B44" s="114">
        <v>2</v>
      </c>
      <c r="C44" s="382" t="s">
        <v>419</v>
      </c>
      <c r="D44" s="383"/>
      <c r="E44" s="113" t="s">
        <v>405</v>
      </c>
      <c r="F44" s="384"/>
      <c r="G44" s="384"/>
      <c r="H44" s="384"/>
      <c r="I44" s="384"/>
      <c r="J44" s="384"/>
      <c r="K44" s="385"/>
    </row>
    <row r="45" spans="2:12" ht="13.5" customHeight="1" thickBot="1">
      <c r="B45" s="102">
        <v>3</v>
      </c>
      <c r="C45" s="398" t="s">
        <v>420</v>
      </c>
      <c r="D45" s="399"/>
      <c r="E45" s="133" t="s">
        <v>405</v>
      </c>
      <c r="F45" s="400"/>
      <c r="G45" s="400"/>
      <c r="H45" s="400"/>
      <c r="I45" s="400"/>
      <c r="J45" s="400"/>
      <c r="K45" s="401"/>
    </row>
    <row r="46" spans="2:12">
      <c r="B46" s="86"/>
      <c r="C46" s="87"/>
      <c r="D46" s="87"/>
      <c r="E46" s="87"/>
      <c r="F46" s="88"/>
      <c r="G46" s="89"/>
      <c r="H46" s="86"/>
      <c r="I46" s="86"/>
      <c r="J46" s="89"/>
      <c r="K46" s="86"/>
      <c r="L46" s="86"/>
    </row>
    <row r="47" spans="2:12">
      <c r="B47" s="105" t="s">
        <v>421</v>
      </c>
      <c r="C47" s="90"/>
      <c r="D47" s="87"/>
      <c r="E47" s="87"/>
      <c r="F47" s="88"/>
      <c r="G47" s="89"/>
      <c r="H47" s="86"/>
      <c r="I47" s="86"/>
      <c r="J47" s="89"/>
      <c r="K47" s="86"/>
      <c r="L47" s="115"/>
    </row>
    <row r="48" spans="2:12">
      <c r="B48" s="105" t="s">
        <v>422</v>
      </c>
      <c r="C48" s="90"/>
      <c r="D48" s="87"/>
      <c r="E48" s="87"/>
      <c r="F48" s="88"/>
      <c r="G48" s="89"/>
      <c r="H48" s="86"/>
      <c r="I48" s="86"/>
      <c r="J48" s="89"/>
      <c r="K48" s="86"/>
      <c r="L48" s="86"/>
    </row>
    <row r="49" spans="2:12">
      <c r="B49" s="105"/>
      <c r="C49" s="90"/>
      <c r="D49" s="87"/>
      <c r="E49" s="87"/>
      <c r="F49" s="88"/>
      <c r="G49" s="89"/>
      <c r="H49" s="86"/>
      <c r="I49" s="86"/>
      <c r="J49" s="89"/>
      <c r="K49" s="86"/>
      <c r="L49" s="86"/>
    </row>
  </sheetData>
  <dataConsolidate/>
  <mergeCells count="45">
    <mergeCell ref="C43:D43"/>
    <mergeCell ref="F43:K43"/>
    <mergeCell ref="C44:D44"/>
    <mergeCell ref="F44:K44"/>
    <mergeCell ref="C45:D45"/>
    <mergeCell ref="F45:K45"/>
    <mergeCell ref="C42:D42"/>
    <mergeCell ref="F42:K42"/>
    <mergeCell ref="C29:D29"/>
    <mergeCell ref="C32:D32"/>
    <mergeCell ref="C33:D33"/>
    <mergeCell ref="C34:D34"/>
    <mergeCell ref="C35:D35"/>
    <mergeCell ref="C36:D36"/>
    <mergeCell ref="C37:D37"/>
    <mergeCell ref="C38:D38"/>
    <mergeCell ref="B40:K40"/>
    <mergeCell ref="C41:D41"/>
    <mergeCell ref="F41:K41"/>
    <mergeCell ref="C28:D28"/>
    <mergeCell ref="C17:D17"/>
    <mergeCell ref="C18:D18"/>
    <mergeCell ref="C19:D19"/>
    <mergeCell ref="C20:D20"/>
    <mergeCell ref="C21:D21"/>
    <mergeCell ref="C22:D22"/>
    <mergeCell ref="C23:D23"/>
    <mergeCell ref="C24:D24"/>
    <mergeCell ref="C25:D25"/>
    <mergeCell ref="C26:D26"/>
    <mergeCell ref="C27:D27"/>
    <mergeCell ref="C16:D16"/>
    <mergeCell ref="B6:C7"/>
    <mergeCell ref="D6:D7"/>
    <mergeCell ref="E6:F7"/>
    <mergeCell ref="G6:K7"/>
    <mergeCell ref="B8:C8"/>
    <mergeCell ref="E8:F9"/>
    <mergeCell ref="G8:K9"/>
    <mergeCell ref="B9:C9"/>
    <mergeCell ref="C11:D11"/>
    <mergeCell ref="B12:L12"/>
    <mergeCell ref="B13:L13"/>
    <mergeCell ref="C14:D14"/>
    <mergeCell ref="C15:D15"/>
  </mergeCells>
  <conditionalFormatting sqref="E42:E45">
    <cfRule type="containsBlanks" dxfId="37" priority="9" stopIfTrue="1">
      <formula>LEN(TRIM(E42))=0</formula>
    </cfRule>
  </conditionalFormatting>
  <conditionalFormatting sqref="F29 F14:H14 F15:F27 G15:H29">
    <cfRule type="containsBlanks" dxfId="36" priority="8" stopIfTrue="1">
      <formula>LEN(TRIM(F14))=0</formula>
    </cfRule>
  </conditionalFormatting>
  <conditionalFormatting sqref="I29 I14:I27 K14:K29">
    <cfRule type="containsBlanks" dxfId="35" priority="7" stopIfTrue="1">
      <formula>LEN(TRIM(I14))=0</formula>
    </cfRule>
  </conditionalFormatting>
  <conditionalFormatting sqref="F32:H38">
    <cfRule type="containsBlanks" dxfId="34" priority="6" stopIfTrue="1">
      <formula>LEN(TRIM(F32))=0</formula>
    </cfRule>
  </conditionalFormatting>
  <conditionalFormatting sqref="I32:I38 K32:K38">
    <cfRule type="containsBlanks" dxfId="33" priority="5" stopIfTrue="1">
      <formula>LEN(TRIM(I32))=0</formula>
    </cfRule>
  </conditionalFormatting>
  <conditionalFormatting sqref="F28">
    <cfRule type="containsBlanks" dxfId="32" priority="4" stopIfTrue="1">
      <formula>LEN(TRIM(F28))=0</formula>
    </cfRule>
  </conditionalFormatting>
  <conditionalFormatting sqref="I28">
    <cfRule type="containsBlanks" dxfId="31" priority="3" stopIfTrue="1">
      <formula>LEN(TRIM(I28))=0</formula>
    </cfRule>
  </conditionalFormatting>
  <conditionalFormatting sqref="J14:J29">
    <cfRule type="containsBlanks" dxfId="30" priority="2" stopIfTrue="1">
      <formula>LEN(TRIM(J14))=0</formula>
    </cfRule>
  </conditionalFormatting>
  <conditionalFormatting sqref="J32:J38">
    <cfRule type="containsBlanks" dxfId="29" priority="1" stopIfTrue="1">
      <formula>LEN(TRIM(J32))=0</formula>
    </cfRule>
  </conditionalFormatting>
  <dataValidations count="3">
    <dataValidation type="list" allowBlank="1" showInputMessage="1" showErrorMessage="1" sqref="E32:E38 JA32:JA38 SW32:SW38 ACS32:ACS38 AMO32:AMO38 AWK32:AWK38 BGG32:BGG38 BQC32:BQC38 BZY32:BZY38 CJU32:CJU38 CTQ32:CTQ38 DDM32:DDM38 DNI32:DNI38 DXE32:DXE38 EHA32:EHA38 EQW32:EQW38 FAS32:FAS38 FKO32:FKO38 FUK32:FUK38 GEG32:GEG38 GOC32:GOC38 GXY32:GXY38 HHU32:HHU38 HRQ32:HRQ38 IBM32:IBM38 ILI32:ILI38 IVE32:IVE38 JFA32:JFA38 JOW32:JOW38 JYS32:JYS38 KIO32:KIO38 KSK32:KSK38 LCG32:LCG38 LMC32:LMC38 LVY32:LVY38 MFU32:MFU38 MPQ32:MPQ38 MZM32:MZM38 NJI32:NJI38 NTE32:NTE38 ODA32:ODA38 OMW32:OMW38 OWS32:OWS38 PGO32:PGO38 PQK32:PQK38 QAG32:QAG38 QKC32:QKC38 QTY32:QTY38 RDU32:RDU38 RNQ32:RNQ38 RXM32:RXM38 SHI32:SHI38 SRE32:SRE38 TBA32:TBA38 TKW32:TKW38 TUS32:TUS38 UEO32:UEO38 UOK32:UOK38 UYG32:UYG38 VIC32:VIC38 VRY32:VRY38 WBU32:WBU38 WLQ32:WLQ38 WVM32:WVM38 E65568:E65574 JA65568:JA65574 SW65568:SW65574 ACS65568:ACS65574 AMO65568:AMO65574 AWK65568:AWK65574 BGG65568:BGG65574 BQC65568:BQC65574 BZY65568:BZY65574 CJU65568:CJU65574 CTQ65568:CTQ65574 DDM65568:DDM65574 DNI65568:DNI65574 DXE65568:DXE65574 EHA65568:EHA65574 EQW65568:EQW65574 FAS65568:FAS65574 FKO65568:FKO65574 FUK65568:FUK65574 GEG65568:GEG65574 GOC65568:GOC65574 GXY65568:GXY65574 HHU65568:HHU65574 HRQ65568:HRQ65574 IBM65568:IBM65574 ILI65568:ILI65574 IVE65568:IVE65574 JFA65568:JFA65574 JOW65568:JOW65574 JYS65568:JYS65574 KIO65568:KIO65574 KSK65568:KSK65574 LCG65568:LCG65574 LMC65568:LMC65574 LVY65568:LVY65574 MFU65568:MFU65574 MPQ65568:MPQ65574 MZM65568:MZM65574 NJI65568:NJI65574 NTE65568:NTE65574 ODA65568:ODA65574 OMW65568:OMW65574 OWS65568:OWS65574 PGO65568:PGO65574 PQK65568:PQK65574 QAG65568:QAG65574 QKC65568:QKC65574 QTY65568:QTY65574 RDU65568:RDU65574 RNQ65568:RNQ65574 RXM65568:RXM65574 SHI65568:SHI65574 SRE65568:SRE65574 TBA65568:TBA65574 TKW65568:TKW65574 TUS65568:TUS65574 UEO65568:UEO65574 UOK65568:UOK65574 UYG65568:UYG65574 VIC65568:VIC65574 VRY65568:VRY65574 WBU65568:WBU65574 WLQ65568:WLQ65574 WVM65568:WVM65574 E131104:E131110 JA131104:JA131110 SW131104:SW131110 ACS131104:ACS131110 AMO131104:AMO131110 AWK131104:AWK131110 BGG131104:BGG131110 BQC131104:BQC131110 BZY131104:BZY131110 CJU131104:CJU131110 CTQ131104:CTQ131110 DDM131104:DDM131110 DNI131104:DNI131110 DXE131104:DXE131110 EHA131104:EHA131110 EQW131104:EQW131110 FAS131104:FAS131110 FKO131104:FKO131110 FUK131104:FUK131110 GEG131104:GEG131110 GOC131104:GOC131110 GXY131104:GXY131110 HHU131104:HHU131110 HRQ131104:HRQ131110 IBM131104:IBM131110 ILI131104:ILI131110 IVE131104:IVE131110 JFA131104:JFA131110 JOW131104:JOW131110 JYS131104:JYS131110 KIO131104:KIO131110 KSK131104:KSK131110 LCG131104:LCG131110 LMC131104:LMC131110 LVY131104:LVY131110 MFU131104:MFU131110 MPQ131104:MPQ131110 MZM131104:MZM131110 NJI131104:NJI131110 NTE131104:NTE131110 ODA131104:ODA131110 OMW131104:OMW131110 OWS131104:OWS131110 PGO131104:PGO131110 PQK131104:PQK131110 QAG131104:QAG131110 QKC131104:QKC131110 QTY131104:QTY131110 RDU131104:RDU131110 RNQ131104:RNQ131110 RXM131104:RXM131110 SHI131104:SHI131110 SRE131104:SRE131110 TBA131104:TBA131110 TKW131104:TKW131110 TUS131104:TUS131110 UEO131104:UEO131110 UOK131104:UOK131110 UYG131104:UYG131110 VIC131104:VIC131110 VRY131104:VRY131110 WBU131104:WBU131110 WLQ131104:WLQ131110 WVM131104:WVM131110 E196640:E196646 JA196640:JA196646 SW196640:SW196646 ACS196640:ACS196646 AMO196640:AMO196646 AWK196640:AWK196646 BGG196640:BGG196646 BQC196640:BQC196646 BZY196640:BZY196646 CJU196640:CJU196646 CTQ196640:CTQ196646 DDM196640:DDM196646 DNI196640:DNI196646 DXE196640:DXE196646 EHA196640:EHA196646 EQW196640:EQW196646 FAS196640:FAS196646 FKO196640:FKO196646 FUK196640:FUK196646 GEG196640:GEG196646 GOC196640:GOC196646 GXY196640:GXY196646 HHU196640:HHU196646 HRQ196640:HRQ196646 IBM196640:IBM196646 ILI196640:ILI196646 IVE196640:IVE196646 JFA196640:JFA196646 JOW196640:JOW196646 JYS196640:JYS196646 KIO196640:KIO196646 KSK196640:KSK196646 LCG196640:LCG196646 LMC196640:LMC196646 LVY196640:LVY196646 MFU196640:MFU196646 MPQ196640:MPQ196646 MZM196640:MZM196646 NJI196640:NJI196646 NTE196640:NTE196646 ODA196640:ODA196646 OMW196640:OMW196646 OWS196640:OWS196646 PGO196640:PGO196646 PQK196640:PQK196646 QAG196640:QAG196646 QKC196640:QKC196646 QTY196640:QTY196646 RDU196640:RDU196646 RNQ196640:RNQ196646 RXM196640:RXM196646 SHI196640:SHI196646 SRE196640:SRE196646 TBA196640:TBA196646 TKW196640:TKW196646 TUS196640:TUS196646 UEO196640:UEO196646 UOK196640:UOK196646 UYG196640:UYG196646 VIC196640:VIC196646 VRY196640:VRY196646 WBU196640:WBU196646 WLQ196640:WLQ196646 WVM196640:WVM196646 E262176:E262182 JA262176:JA262182 SW262176:SW262182 ACS262176:ACS262182 AMO262176:AMO262182 AWK262176:AWK262182 BGG262176:BGG262182 BQC262176:BQC262182 BZY262176:BZY262182 CJU262176:CJU262182 CTQ262176:CTQ262182 DDM262176:DDM262182 DNI262176:DNI262182 DXE262176:DXE262182 EHA262176:EHA262182 EQW262176:EQW262182 FAS262176:FAS262182 FKO262176:FKO262182 FUK262176:FUK262182 GEG262176:GEG262182 GOC262176:GOC262182 GXY262176:GXY262182 HHU262176:HHU262182 HRQ262176:HRQ262182 IBM262176:IBM262182 ILI262176:ILI262182 IVE262176:IVE262182 JFA262176:JFA262182 JOW262176:JOW262182 JYS262176:JYS262182 KIO262176:KIO262182 KSK262176:KSK262182 LCG262176:LCG262182 LMC262176:LMC262182 LVY262176:LVY262182 MFU262176:MFU262182 MPQ262176:MPQ262182 MZM262176:MZM262182 NJI262176:NJI262182 NTE262176:NTE262182 ODA262176:ODA262182 OMW262176:OMW262182 OWS262176:OWS262182 PGO262176:PGO262182 PQK262176:PQK262182 QAG262176:QAG262182 QKC262176:QKC262182 QTY262176:QTY262182 RDU262176:RDU262182 RNQ262176:RNQ262182 RXM262176:RXM262182 SHI262176:SHI262182 SRE262176:SRE262182 TBA262176:TBA262182 TKW262176:TKW262182 TUS262176:TUS262182 UEO262176:UEO262182 UOK262176:UOK262182 UYG262176:UYG262182 VIC262176:VIC262182 VRY262176:VRY262182 WBU262176:WBU262182 WLQ262176:WLQ262182 WVM262176:WVM262182 E327712:E327718 JA327712:JA327718 SW327712:SW327718 ACS327712:ACS327718 AMO327712:AMO327718 AWK327712:AWK327718 BGG327712:BGG327718 BQC327712:BQC327718 BZY327712:BZY327718 CJU327712:CJU327718 CTQ327712:CTQ327718 DDM327712:DDM327718 DNI327712:DNI327718 DXE327712:DXE327718 EHA327712:EHA327718 EQW327712:EQW327718 FAS327712:FAS327718 FKO327712:FKO327718 FUK327712:FUK327718 GEG327712:GEG327718 GOC327712:GOC327718 GXY327712:GXY327718 HHU327712:HHU327718 HRQ327712:HRQ327718 IBM327712:IBM327718 ILI327712:ILI327718 IVE327712:IVE327718 JFA327712:JFA327718 JOW327712:JOW327718 JYS327712:JYS327718 KIO327712:KIO327718 KSK327712:KSK327718 LCG327712:LCG327718 LMC327712:LMC327718 LVY327712:LVY327718 MFU327712:MFU327718 MPQ327712:MPQ327718 MZM327712:MZM327718 NJI327712:NJI327718 NTE327712:NTE327718 ODA327712:ODA327718 OMW327712:OMW327718 OWS327712:OWS327718 PGO327712:PGO327718 PQK327712:PQK327718 QAG327712:QAG327718 QKC327712:QKC327718 QTY327712:QTY327718 RDU327712:RDU327718 RNQ327712:RNQ327718 RXM327712:RXM327718 SHI327712:SHI327718 SRE327712:SRE327718 TBA327712:TBA327718 TKW327712:TKW327718 TUS327712:TUS327718 UEO327712:UEO327718 UOK327712:UOK327718 UYG327712:UYG327718 VIC327712:VIC327718 VRY327712:VRY327718 WBU327712:WBU327718 WLQ327712:WLQ327718 WVM327712:WVM327718 E393248:E393254 JA393248:JA393254 SW393248:SW393254 ACS393248:ACS393254 AMO393248:AMO393254 AWK393248:AWK393254 BGG393248:BGG393254 BQC393248:BQC393254 BZY393248:BZY393254 CJU393248:CJU393254 CTQ393248:CTQ393254 DDM393248:DDM393254 DNI393248:DNI393254 DXE393248:DXE393254 EHA393248:EHA393254 EQW393248:EQW393254 FAS393248:FAS393254 FKO393248:FKO393254 FUK393248:FUK393254 GEG393248:GEG393254 GOC393248:GOC393254 GXY393248:GXY393254 HHU393248:HHU393254 HRQ393248:HRQ393254 IBM393248:IBM393254 ILI393248:ILI393254 IVE393248:IVE393254 JFA393248:JFA393254 JOW393248:JOW393254 JYS393248:JYS393254 KIO393248:KIO393254 KSK393248:KSK393254 LCG393248:LCG393254 LMC393248:LMC393254 LVY393248:LVY393254 MFU393248:MFU393254 MPQ393248:MPQ393254 MZM393248:MZM393254 NJI393248:NJI393254 NTE393248:NTE393254 ODA393248:ODA393254 OMW393248:OMW393254 OWS393248:OWS393254 PGO393248:PGO393254 PQK393248:PQK393254 QAG393248:QAG393254 QKC393248:QKC393254 QTY393248:QTY393254 RDU393248:RDU393254 RNQ393248:RNQ393254 RXM393248:RXM393254 SHI393248:SHI393254 SRE393248:SRE393254 TBA393248:TBA393254 TKW393248:TKW393254 TUS393248:TUS393254 UEO393248:UEO393254 UOK393248:UOK393254 UYG393248:UYG393254 VIC393248:VIC393254 VRY393248:VRY393254 WBU393248:WBU393254 WLQ393248:WLQ393254 WVM393248:WVM393254 E458784:E458790 JA458784:JA458790 SW458784:SW458790 ACS458784:ACS458790 AMO458784:AMO458790 AWK458784:AWK458790 BGG458784:BGG458790 BQC458784:BQC458790 BZY458784:BZY458790 CJU458784:CJU458790 CTQ458784:CTQ458790 DDM458784:DDM458790 DNI458784:DNI458790 DXE458784:DXE458790 EHA458784:EHA458790 EQW458784:EQW458790 FAS458784:FAS458790 FKO458784:FKO458790 FUK458784:FUK458790 GEG458784:GEG458790 GOC458784:GOC458790 GXY458784:GXY458790 HHU458784:HHU458790 HRQ458784:HRQ458790 IBM458784:IBM458790 ILI458784:ILI458790 IVE458784:IVE458790 JFA458784:JFA458790 JOW458784:JOW458790 JYS458784:JYS458790 KIO458784:KIO458790 KSK458784:KSK458790 LCG458784:LCG458790 LMC458784:LMC458790 LVY458784:LVY458790 MFU458784:MFU458790 MPQ458784:MPQ458790 MZM458784:MZM458790 NJI458784:NJI458790 NTE458784:NTE458790 ODA458784:ODA458790 OMW458784:OMW458790 OWS458784:OWS458790 PGO458784:PGO458790 PQK458784:PQK458790 QAG458784:QAG458790 QKC458784:QKC458790 QTY458784:QTY458790 RDU458784:RDU458790 RNQ458784:RNQ458790 RXM458784:RXM458790 SHI458784:SHI458790 SRE458784:SRE458790 TBA458784:TBA458790 TKW458784:TKW458790 TUS458784:TUS458790 UEO458784:UEO458790 UOK458784:UOK458790 UYG458784:UYG458790 VIC458784:VIC458790 VRY458784:VRY458790 WBU458784:WBU458790 WLQ458784:WLQ458790 WVM458784:WVM458790 E524320:E524326 JA524320:JA524326 SW524320:SW524326 ACS524320:ACS524326 AMO524320:AMO524326 AWK524320:AWK524326 BGG524320:BGG524326 BQC524320:BQC524326 BZY524320:BZY524326 CJU524320:CJU524326 CTQ524320:CTQ524326 DDM524320:DDM524326 DNI524320:DNI524326 DXE524320:DXE524326 EHA524320:EHA524326 EQW524320:EQW524326 FAS524320:FAS524326 FKO524320:FKO524326 FUK524320:FUK524326 GEG524320:GEG524326 GOC524320:GOC524326 GXY524320:GXY524326 HHU524320:HHU524326 HRQ524320:HRQ524326 IBM524320:IBM524326 ILI524320:ILI524326 IVE524320:IVE524326 JFA524320:JFA524326 JOW524320:JOW524326 JYS524320:JYS524326 KIO524320:KIO524326 KSK524320:KSK524326 LCG524320:LCG524326 LMC524320:LMC524326 LVY524320:LVY524326 MFU524320:MFU524326 MPQ524320:MPQ524326 MZM524320:MZM524326 NJI524320:NJI524326 NTE524320:NTE524326 ODA524320:ODA524326 OMW524320:OMW524326 OWS524320:OWS524326 PGO524320:PGO524326 PQK524320:PQK524326 QAG524320:QAG524326 QKC524320:QKC524326 QTY524320:QTY524326 RDU524320:RDU524326 RNQ524320:RNQ524326 RXM524320:RXM524326 SHI524320:SHI524326 SRE524320:SRE524326 TBA524320:TBA524326 TKW524320:TKW524326 TUS524320:TUS524326 UEO524320:UEO524326 UOK524320:UOK524326 UYG524320:UYG524326 VIC524320:VIC524326 VRY524320:VRY524326 WBU524320:WBU524326 WLQ524320:WLQ524326 WVM524320:WVM524326 E589856:E589862 JA589856:JA589862 SW589856:SW589862 ACS589856:ACS589862 AMO589856:AMO589862 AWK589856:AWK589862 BGG589856:BGG589862 BQC589856:BQC589862 BZY589856:BZY589862 CJU589856:CJU589862 CTQ589856:CTQ589862 DDM589856:DDM589862 DNI589856:DNI589862 DXE589856:DXE589862 EHA589856:EHA589862 EQW589856:EQW589862 FAS589856:FAS589862 FKO589856:FKO589862 FUK589856:FUK589862 GEG589856:GEG589862 GOC589856:GOC589862 GXY589856:GXY589862 HHU589856:HHU589862 HRQ589856:HRQ589862 IBM589856:IBM589862 ILI589856:ILI589862 IVE589856:IVE589862 JFA589856:JFA589862 JOW589856:JOW589862 JYS589856:JYS589862 KIO589856:KIO589862 KSK589856:KSK589862 LCG589856:LCG589862 LMC589856:LMC589862 LVY589856:LVY589862 MFU589856:MFU589862 MPQ589856:MPQ589862 MZM589856:MZM589862 NJI589856:NJI589862 NTE589856:NTE589862 ODA589856:ODA589862 OMW589856:OMW589862 OWS589856:OWS589862 PGO589856:PGO589862 PQK589856:PQK589862 QAG589856:QAG589862 QKC589856:QKC589862 QTY589856:QTY589862 RDU589856:RDU589862 RNQ589856:RNQ589862 RXM589856:RXM589862 SHI589856:SHI589862 SRE589856:SRE589862 TBA589856:TBA589862 TKW589856:TKW589862 TUS589856:TUS589862 UEO589856:UEO589862 UOK589856:UOK589862 UYG589856:UYG589862 VIC589856:VIC589862 VRY589856:VRY589862 WBU589856:WBU589862 WLQ589856:WLQ589862 WVM589856:WVM589862 E655392:E655398 JA655392:JA655398 SW655392:SW655398 ACS655392:ACS655398 AMO655392:AMO655398 AWK655392:AWK655398 BGG655392:BGG655398 BQC655392:BQC655398 BZY655392:BZY655398 CJU655392:CJU655398 CTQ655392:CTQ655398 DDM655392:DDM655398 DNI655392:DNI655398 DXE655392:DXE655398 EHA655392:EHA655398 EQW655392:EQW655398 FAS655392:FAS655398 FKO655392:FKO655398 FUK655392:FUK655398 GEG655392:GEG655398 GOC655392:GOC655398 GXY655392:GXY655398 HHU655392:HHU655398 HRQ655392:HRQ655398 IBM655392:IBM655398 ILI655392:ILI655398 IVE655392:IVE655398 JFA655392:JFA655398 JOW655392:JOW655398 JYS655392:JYS655398 KIO655392:KIO655398 KSK655392:KSK655398 LCG655392:LCG655398 LMC655392:LMC655398 LVY655392:LVY655398 MFU655392:MFU655398 MPQ655392:MPQ655398 MZM655392:MZM655398 NJI655392:NJI655398 NTE655392:NTE655398 ODA655392:ODA655398 OMW655392:OMW655398 OWS655392:OWS655398 PGO655392:PGO655398 PQK655392:PQK655398 QAG655392:QAG655398 QKC655392:QKC655398 QTY655392:QTY655398 RDU655392:RDU655398 RNQ655392:RNQ655398 RXM655392:RXM655398 SHI655392:SHI655398 SRE655392:SRE655398 TBA655392:TBA655398 TKW655392:TKW655398 TUS655392:TUS655398 UEO655392:UEO655398 UOK655392:UOK655398 UYG655392:UYG655398 VIC655392:VIC655398 VRY655392:VRY655398 WBU655392:WBU655398 WLQ655392:WLQ655398 WVM655392:WVM655398 E720928:E720934 JA720928:JA720934 SW720928:SW720934 ACS720928:ACS720934 AMO720928:AMO720934 AWK720928:AWK720934 BGG720928:BGG720934 BQC720928:BQC720934 BZY720928:BZY720934 CJU720928:CJU720934 CTQ720928:CTQ720934 DDM720928:DDM720934 DNI720928:DNI720934 DXE720928:DXE720934 EHA720928:EHA720934 EQW720928:EQW720934 FAS720928:FAS720934 FKO720928:FKO720934 FUK720928:FUK720934 GEG720928:GEG720934 GOC720928:GOC720934 GXY720928:GXY720934 HHU720928:HHU720934 HRQ720928:HRQ720934 IBM720928:IBM720934 ILI720928:ILI720934 IVE720928:IVE720934 JFA720928:JFA720934 JOW720928:JOW720934 JYS720928:JYS720934 KIO720928:KIO720934 KSK720928:KSK720934 LCG720928:LCG720934 LMC720928:LMC720934 LVY720928:LVY720934 MFU720928:MFU720934 MPQ720928:MPQ720934 MZM720928:MZM720934 NJI720928:NJI720934 NTE720928:NTE720934 ODA720928:ODA720934 OMW720928:OMW720934 OWS720928:OWS720934 PGO720928:PGO720934 PQK720928:PQK720934 QAG720928:QAG720934 QKC720928:QKC720934 QTY720928:QTY720934 RDU720928:RDU720934 RNQ720928:RNQ720934 RXM720928:RXM720934 SHI720928:SHI720934 SRE720928:SRE720934 TBA720928:TBA720934 TKW720928:TKW720934 TUS720928:TUS720934 UEO720928:UEO720934 UOK720928:UOK720934 UYG720928:UYG720934 VIC720928:VIC720934 VRY720928:VRY720934 WBU720928:WBU720934 WLQ720928:WLQ720934 WVM720928:WVM720934 E786464:E786470 JA786464:JA786470 SW786464:SW786470 ACS786464:ACS786470 AMO786464:AMO786470 AWK786464:AWK786470 BGG786464:BGG786470 BQC786464:BQC786470 BZY786464:BZY786470 CJU786464:CJU786470 CTQ786464:CTQ786470 DDM786464:DDM786470 DNI786464:DNI786470 DXE786464:DXE786470 EHA786464:EHA786470 EQW786464:EQW786470 FAS786464:FAS786470 FKO786464:FKO786470 FUK786464:FUK786470 GEG786464:GEG786470 GOC786464:GOC786470 GXY786464:GXY786470 HHU786464:HHU786470 HRQ786464:HRQ786470 IBM786464:IBM786470 ILI786464:ILI786470 IVE786464:IVE786470 JFA786464:JFA786470 JOW786464:JOW786470 JYS786464:JYS786470 KIO786464:KIO786470 KSK786464:KSK786470 LCG786464:LCG786470 LMC786464:LMC786470 LVY786464:LVY786470 MFU786464:MFU786470 MPQ786464:MPQ786470 MZM786464:MZM786470 NJI786464:NJI786470 NTE786464:NTE786470 ODA786464:ODA786470 OMW786464:OMW786470 OWS786464:OWS786470 PGO786464:PGO786470 PQK786464:PQK786470 QAG786464:QAG786470 QKC786464:QKC786470 QTY786464:QTY786470 RDU786464:RDU786470 RNQ786464:RNQ786470 RXM786464:RXM786470 SHI786464:SHI786470 SRE786464:SRE786470 TBA786464:TBA786470 TKW786464:TKW786470 TUS786464:TUS786470 UEO786464:UEO786470 UOK786464:UOK786470 UYG786464:UYG786470 VIC786464:VIC786470 VRY786464:VRY786470 WBU786464:WBU786470 WLQ786464:WLQ786470 WVM786464:WVM786470 E852000:E852006 JA852000:JA852006 SW852000:SW852006 ACS852000:ACS852006 AMO852000:AMO852006 AWK852000:AWK852006 BGG852000:BGG852006 BQC852000:BQC852006 BZY852000:BZY852006 CJU852000:CJU852006 CTQ852000:CTQ852006 DDM852000:DDM852006 DNI852000:DNI852006 DXE852000:DXE852006 EHA852000:EHA852006 EQW852000:EQW852006 FAS852000:FAS852006 FKO852000:FKO852006 FUK852000:FUK852006 GEG852000:GEG852006 GOC852000:GOC852006 GXY852000:GXY852006 HHU852000:HHU852006 HRQ852000:HRQ852006 IBM852000:IBM852006 ILI852000:ILI852006 IVE852000:IVE852006 JFA852000:JFA852006 JOW852000:JOW852006 JYS852000:JYS852006 KIO852000:KIO852006 KSK852000:KSK852006 LCG852000:LCG852006 LMC852000:LMC852006 LVY852000:LVY852006 MFU852000:MFU852006 MPQ852000:MPQ852006 MZM852000:MZM852006 NJI852000:NJI852006 NTE852000:NTE852006 ODA852000:ODA852006 OMW852000:OMW852006 OWS852000:OWS852006 PGO852000:PGO852006 PQK852000:PQK852006 QAG852000:QAG852006 QKC852000:QKC852006 QTY852000:QTY852006 RDU852000:RDU852006 RNQ852000:RNQ852006 RXM852000:RXM852006 SHI852000:SHI852006 SRE852000:SRE852006 TBA852000:TBA852006 TKW852000:TKW852006 TUS852000:TUS852006 UEO852000:UEO852006 UOK852000:UOK852006 UYG852000:UYG852006 VIC852000:VIC852006 VRY852000:VRY852006 WBU852000:WBU852006 WLQ852000:WLQ852006 WVM852000:WVM852006 E917536:E917542 JA917536:JA917542 SW917536:SW917542 ACS917536:ACS917542 AMO917536:AMO917542 AWK917536:AWK917542 BGG917536:BGG917542 BQC917536:BQC917542 BZY917536:BZY917542 CJU917536:CJU917542 CTQ917536:CTQ917542 DDM917536:DDM917542 DNI917536:DNI917542 DXE917536:DXE917542 EHA917536:EHA917542 EQW917536:EQW917542 FAS917536:FAS917542 FKO917536:FKO917542 FUK917536:FUK917542 GEG917536:GEG917542 GOC917536:GOC917542 GXY917536:GXY917542 HHU917536:HHU917542 HRQ917536:HRQ917542 IBM917536:IBM917542 ILI917536:ILI917542 IVE917536:IVE917542 JFA917536:JFA917542 JOW917536:JOW917542 JYS917536:JYS917542 KIO917536:KIO917542 KSK917536:KSK917542 LCG917536:LCG917542 LMC917536:LMC917542 LVY917536:LVY917542 MFU917536:MFU917542 MPQ917536:MPQ917542 MZM917536:MZM917542 NJI917536:NJI917542 NTE917536:NTE917542 ODA917536:ODA917542 OMW917536:OMW917542 OWS917536:OWS917542 PGO917536:PGO917542 PQK917536:PQK917542 QAG917536:QAG917542 QKC917536:QKC917542 QTY917536:QTY917542 RDU917536:RDU917542 RNQ917536:RNQ917542 RXM917536:RXM917542 SHI917536:SHI917542 SRE917536:SRE917542 TBA917536:TBA917542 TKW917536:TKW917542 TUS917536:TUS917542 UEO917536:UEO917542 UOK917536:UOK917542 UYG917536:UYG917542 VIC917536:VIC917542 VRY917536:VRY917542 WBU917536:WBU917542 WLQ917536:WLQ917542 WVM917536:WVM917542 E983072:E983078 JA983072:JA983078 SW983072:SW983078 ACS983072:ACS983078 AMO983072:AMO983078 AWK983072:AWK983078 BGG983072:BGG983078 BQC983072:BQC983078 BZY983072:BZY983078 CJU983072:CJU983078 CTQ983072:CTQ983078 DDM983072:DDM983078 DNI983072:DNI983078 DXE983072:DXE983078 EHA983072:EHA983078 EQW983072:EQW983078 FAS983072:FAS983078 FKO983072:FKO983078 FUK983072:FUK983078 GEG983072:GEG983078 GOC983072:GOC983078 GXY983072:GXY983078 HHU983072:HHU983078 HRQ983072:HRQ983078 IBM983072:IBM983078 ILI983072:ILI983078 IVE983072:IVE983078 JFA983072:JFA983078 JOW983072:JOW983078 JYS983072:JYS983078 KIO983072:KIO983078 KSK983072:KSK983078 LCG983072:LCG983078 LMC983072:LMC983078 LVY983072:LVY983078 MFU983072:MFU983078 MPQ983072:MPQ983078 MZM983072:MZM983078 NJI983072:NJI983078 NTE983072:NTE983078 ODA983072:ODA983078 OMW983072:OMW983078 OWS983072:OWS983078 PGO983072:PGO983078 PQK983072:PQK983078 QAG983072:QAG983078 QKC983072:QKC983078 QTY983072:QTY983078 RDU983072:RDU983078 RNQ983072:RNQ983078 RXM983072:RXM983078 SHI983072:SHI983078 SRE983072:SRE983078 TBA983072:TBA983078 TKW983072:TKW983078 TUS983072:TUS983078 UEO983072:UEO983078 UOK983072:UOK983078 UYG983072:UYG983078 VIC983072:VIC983078 VRY983072:VRY983078 WBU983072:WBU983078 WLQ983072:WLQ983078 WVM983072:WVM983078 E14:E29 JA14:JA29 SW14:SW29 ACS14:ACS29 AMO14:AMO29 AWK14:AWK29 BGG14:BGG29 BQC14:BQC29 BZY14:BZY29 CJU14:CJU29 CTQ14:CTQ29 DDM14:DDM29 DNI14:DNI29 DXE14:DXE29 EHA14:EHA29 EQW14:EQW29 FAS14:FAS29 FKO14:FKO29 FUK14:FUK29 GEG14:GEG29 GOC14:GOC29 GXY14:GXY29 HHU14:HHU29 HRQ14:HRQ29 IBM14:IBM29 ILI14:ILI29 IVE14:IVE29 JFA14:JFA29 JOW14:JOW29 JYS14:JYS29 KIO14:KIO29 KSK14:KSK29 LCG14:LCG29 LMC14:LMC29 LVY14:LVY29 MFU14:MFU29 MPQ14:MPQ29 MZM14:MZM29 NJI14:NJI29 NTE14:NTE29 ODA14:ODA29 OMW14:OMW29 OWS14:OWS29 PGO14:PGO29 PQK14:PQK29 QAG14:QAG29 QKC14:QKC29 QTY14:QTY29 RDU14:RDU29 RNQ14:RNQ29 RXM14:RXM29 SHI14:SHI29 SRE14:SRE29 TBA14:TBA29 TKW14:TKW29 TUS14:TUS29 UEO14:UEO29 UOK14:UOK29 UYG14:UYG29 VIC14:VIC29 VRY14:VRY29 WBU14:WBU29 WLQ14:WLQ29 WVM14:WVM29 E65550:E65565 JA65550:JA65565 SW65550:SW65565 ACS65550:ACS65565 AMO65550:AMO65565 AWK65550:AWK65565 BGG65550:BGG65565 BQC65550:BQC65565 BZY65550:BZY65565 CJU65550:CJU65565 CTQ65550:CTQ65565 DDM65550:DDM65565 DNI65550:DNI65565 DXE65550:DXE65565 EHA65550:EHA65565 EQW65550:EQW65565 FAS65550:FAS65565 FKO65550:FKO65565 FUK65550:FUK65565 GEG65550:GEG65565 GOC65550:GOC65565 GXY65550:GXY65565 HHU65550:HHU65565 HRQ65550:HRQ65565 IBM65550:IBM65565 ILI65550:ILI65565 IVE65550:IVE65565 JFA65550:JFA65565 JOW65550:JOW65565 JYS65550:JYS65565 KIO65550:KIO65565 KSK65550:KSK65565 LCG65550:LCG65565 LMC65550:LMC65565 LVY65550:LVY65565 MFU65550:MFU65565 MPQ65550:MPQ65565 MZM65550:MZM65565 NJI65550:NJI65565 NTE65550:NTE65565 ODA65550:ODA65565 OMW65550:OMW65565 OWS65550:OWS65565 PGO65550:PGO65565 PQK65550:PQK65565 QAG65550:QAG65565 QKC65550:QKC65565 QTY65550:QTY65565 RDU65550:RDU65565 RNQ65550:RNQ65565 RXM65550:RXM65565 SHI65550:SHI65565 SRE65550:SRE65565 TBA65550:TBA65565 TKW65550:TKW65565 TUS65550:TUS65565 UEO65550:UEO65565 UOK65550:UOK65565 UYG65550:UYG65565 VIC65550:VIC65565 VRY65550:VRY65565 WBU65550:WBU65565 WLQ65550:WLQ65565 WVM65550:WVM65565 E131086:E131101 JA131086:JA131101 SW131086:SW131101 ACS131086:ACS131101 AMO131086:AMO131101 AWK131086:AWK131101 BGG131086:BGG131101 BQC131086:BQC131101 BZY131086:BZY131101 CJU131086:CJU131101 CTQ131086:CTQ131101 DDM131086:DDM131101 DNI131086:DNI131101 DXE131086:DXE131101 EHA131086:EHA131101 EQW131086:EQW131101 FAS131086:FAS131101 FKO131086:FKO131101 FUK131086:FUK131101 GEG131086:GEG131101 GOC131086:GOC131101 GXY131086:GXY131101 HHU131086:HHU131101 HRQ131086:HRQ131101 IBM131086:IBM131101 ILI131086:ILI131101 IVE131086:IVE131101 JFA131086:JFA131101 JOW131086:JOW131101 JYS131086:JYS131101 KIO131086:KIO131101 KSK131086:KSK131101 LCG131086:LCG131101 LMC131086:LMC131101 LVY131086:LVY131101 MFU131086:MFU131101 MPQ131086:MPQ131101 MZM131086:MZM131101 NJI131086:NJI131101 NTE131086:NTE131101 ODA131086:ODA131101 OMW131086:OMW131101 OWS131086:OWS131101 PGO131086:PGO131101 PQK131086:PQK131101 QAG131086:QAG131101 QKC131086:QKC131101 QTY131086:QTY131101 RDU131086:RDU131101 RNQ131086:RNQ131101 RXM131086:RXM131101 SHI131086:SHI131101 SRE131086:SRE131101 TBA131086:TBA131101 TKW131086:TKW131101 TUS131086:TUS131101 UEO131086:UEO131101 UOK131086:UOK131101 UYG131086:UYG131101 VIC131086:VIC131101 VRY131086:VRY131101 WBU131086:WBU131101 WLQ131086:WLQ131101 WVM131086:WVM131101 E196622:E196637 JA196622:JA196637 SW196622:SW196637 ACS196622:ACS196637 AMO196622:AMO196637 AWK196622:AWK196637 BGG196622:BGG196637 BQC196622:BQC196637 BZY196622:BZY196637 CJU196622:CJU196637 CTQ196622:CTQ196637 DDM196622:DDM196637 DNI196622:DNI196637 DXE196622:DXE196637 EHA196622:EHA196637 EQW196622:EQW196637 FAS196622:FAS196637 FKO196622:FKO196637 FUK196622:FUK196637 GEG196622:GEG196637 GOC196622:GOC196637 GXY196622:GXY196637 HHU196622:HHU196637 HRQ196622:HRQ196637 IBM196622:IBM196637 ILI196622:ILI196637 IVE196622:IVE196637 JFA196622:JFA196637 JOW196622:JOW196637 JYS196622:JYS196637 KIO196622:KIO196637 KSK196622:KSK196637 LCG196622:LCG196637 LMC196622:LMC196637 LVY196622:LVY196637 MFU196622:MFU196637 MPQ196622:MPQ196637 MZM196622:MZM196637 NJI196622:NJI196637 NTE196622:NTE196637 ODA196622:ODA196637 OMW196622:OMW196637 OWS196622:OWS196637 PGO196622:PGO196637 PQK196622:PQK196637 QAG196622:QAG196637 QKC196622:QKC196637 QTY196622:QTY196637 RDU196622:RDU196637 RNQ196622:RNQ196637 RXM196622:RXM196637 SHI196622:SHI196637 SRE196622:SRE196637 TBA196622:TBA196637 TKW196622:TKW196637 TUS196622:TUS196637 UEO196622:UEO196637 UOK196622:UOK196637 UYG196622:UYG196637 VIC196622:VIC196637 VRY196622:VRY196637 WBU196622:WBU196637 WLQ196622:WLQ196637 WVM196622:WVM196637 E262158:E262173 JA262158:JA262173 SW262158:SW262173 ACS262158:ACS262173 AMO262158:AMO262173 AWK262158:AWK262173 BGG262158:BGG262173 BQC262158:BQC262173 BZY262158:BZY262173 CJU262158:CJU262173 CTQ262158:CTQ262173 DDM262158:DDM262173 DNI262158:DNI262173 DXE262158:DXE262173 EHA262158:EHA262173 EQW262158:EQW262173 FAS262158:FAS262173 FKO262158:FKO262173 FUK262158:FUK262173 GEG262158:GEG262173 GOC262158:GOC262173 GXY262158:GXY262173 HHU262158:HHU262173 HRQ262158:HRQ262173 IBM262158:IBM262173 ILI262158:ILI262173 IVE262158:IVE262173 JFA262158:JFA262173 JOW262158:JOW262173 JYS262158:JYS262173 KIO262158:KIO262173 KSK262158:KSK262173 LCG262158:LCG262173 LMC262158:LMC262173 LVY262158:LVY262173 MFU262158:MFU262173 MPQ262158:MPQ262173 MZM262158:MZM262173 NJI262158:NJI262173 NTE262158:NTE262173 ODA262158:ODA262173 OMW262158:OMW262173 OWS262158:OWS262173 PGO262158:PGO262173 PQK262158:PQK262173 QAG262158:QAG262173 QKC262158:QKC262173 QTY262158:QTY262173 RDU262158:RDU262173 RNQ262158:RNQ262173 RXM262158:RXM262173 SHI262158:SHI262173 SRE262158:SRE262173 TBA262158:TBA262173 TKW262158:TKW262173 TUS262158:TUS262173 UEO262158:UEO262173 UOK262158:UOK262173 UYG262158:UYG262173 VIC262158:VIC262173 VRY262158:VRY262173 WBU262158:WBU262173 WLQ262158:WLQ262173 WVM262158:WVM262173 E327694:E327709 JA327694:JA327709 SW327694:SW327709 ACS327694:ACS327709 AMO327694:AMO327709 AWK327694:AWK327709 BGG327694:BGG327709 BQC327694:BQC327709 BZY327694:BZY327709 CJU327694:CJU327709 CTQ327694:CTQ327709 DDM327694:DDM327709 DNI327694:DNI327709 DXE327694:DXE327709 EHA327694:EHA327709 EQW327694:EQW327709 FAS327694:FAS327709 FKO327694:FKO327709 FUK327694:FUK327709 GEG327694:GEG327709 GOC327694:GOC327709 GXY327694:GXY327709 HHU327694:HHU327709 HRQ327694:HRQ327709 IBM327694:IBM327709 ILI327694:ILI327709 IVE327694:IVE327709 JFA327694:JFA327709 JOW327694:JOW327709 JYS327694:JYS327709 KIO327694:KIO327709 KSK327694:KSK327709 LCG327694:LCG327709 LMC327694:LMC327709 LVY327694:LVY327709 MFU327694:MFU327709 MPQ327694:MPQ327709 MZM327694:MZM327709 NJI327694:NJI327709 NTE327694:NTE327709 ODA327694:ODA327709 OMW327694:OMW327709 OWS327694:OWS327709 PGO327694:PGO327709 PQK327694:PQK327709 QAG327694:QAG327709 QKC327694:QKC327709 QTY327694:QTY327709 RDU327694:RDU327709 RNQ327694:RNQ327709 RXM327694:RXM327709 SHI327694:SHI327709 SRE327694:SRE327709 TBA327694:TBA327709 TKW327694:TKW327709 TUS327694:TUS327709 UEO327694:UEO327709 UOK327694:UOK327709 UYG327694:UYG327709 VIC327694:VIC327709 VRY327694:VRY327709 WBU327694:WBU327709 WLQ327694:WLQ327709 WVM327694:WVM327709 E393230:E393245 JA393230:JA393245 SW393230:SW393245 ACS393230:ACS393245 AMO393230:AMO393245 AWK393230:AWK393245 BGG393230:BGG393245 BQC393230:BQC393245 BZY393230:BZY393245 CJU393230:CJU393245 CTQ393230:CTQ393245 DDM393230:DDM393245 DNI393230:DNI393245 DXE393230:DXE393245 EHA393230:EHA393245 EQW393230:EQW393245 FAS393230:FAS393245 FKO393230:FKO393245 FUK393230:FUK393245 GEG393230:GEG393245 GOC393230:GOC393245 GXY393230:GXY393245 HHU393230:HHU393245 HRQ393230:HRQ393245 IBM393230:IBM393245 ILI393230:ILI393245 IVE393230:IVE393245 JFA393230:JFA393245 JOW393230:JOW393245 JYS393230:JYS393245 KIO393230:KIO393245 KSK393230:KSK393245 LCG393230:LCG393245 LMC393230:LMC393245 LVY393230:LVY393245 MFU393230:MFU393245 MPQ393230:MPQ393245 MZM393230:MZM393245 NJI393230:NJI393245 NTE393230:NTE393245 ODA393230:ODA393245 OMW393230:OMW393245 OWS393230:OWS393245 PGO393230:PGO393245 PQK393230:PQK393245 QAG393230:QAG393245 QKC393230:QKC393245 QTY393230:QTY393245 RDU393230:RDU393245 RNQ393230:RNQ393245 RXM393230:RXM393245 SHI393230:SHI393245 SRE393230:SRE393245 TBA393230:TBA393245 TKW393230:TKW393245 TUS393230:TUS393245 UEO393230:UEO393245 UOK393230:UOK393245 UYG393230:UYG393245 VIC393230:VIC393245 VRY393230:VRY393245 WBU393230:WBU393245 WLQ393230:WLQ393245 WVM393230:WVM393245 E458766:E458781 JA458766:JA458781 SW458766:SW458781 ACS458766:ACS458781 AMO458766:AMO458781 AWK458766:AWK458781 BGG458766:BGG458781 BQC458766:BQC458781 BZY458766:BZY458781 CJU458766:CJU458781 CTQ458766:CTQ458781 DDM458766:DDM458781 DNI458766:DNI458781 DXE458766:DXE458781 EHA458766:EHA458781 EQW458766:EQW458781 FAS458766:FAS458781 FKO458766:FKO458781 FUK458766:FUK458781 GEG458766:GEG458781 GOC458766:GOC458781 GXY458766:GXY458781 HHU458766:HHU458781 HRQ458766:HRQ458781 IBM458766:IBM458781 ILI458766:ILI458781 IVE458766:IVE458781 JFA458766:JFA458781 JOW458766:JOW458781 JYS458766:JYS458781 KIO458766:KIO458781 KSK458766:KSK458781 LCG458766:LCG458781 LMC458766:LMC458781 LVY458766:LVY458781 MFU458766:MFU458781 MPQ458766:MPQ458781 MZM458766:MZM458781 NJI458766:NJI458781 NTE458766:NTE458781 ODA458766:ODA458781 OMW458766:OMW458781 OWS458766:OWS458781 PGO458766:PGO458781 PQK458766:PQK458781 QAG458766:QAG458781 QKC458766:QKC458781 QTY458766:QTY458781 RDU458766:RDU458781 RNQ458766:RNQ458781 RXM458766:RXM458781 SHI458766:SHI458781 SRE458766:SRE458781 TBA458766:TBA458781 TKW458766:TKW458781 TUS458766:TUS458781 UEO458766:UEO458781 UOK458766:UOK458781 UYG458766:UYG458781 VIC458766:VIC458781 VRY458766:VRY458781 WBU458766:WBU458781 WLQ458766:WLQ458781 WVM458766:WVM458781 E524302:E524317 JA524302:JA524317 SW524302:SW524317 ACS524302:ACS524317 AMO524302:AMO524317 AWK524302:AWK524317 BGG524302:BGG524317 BQC524302:BQC524317 BZY524302:BZY524317 CJU524302:CJU524317 CTQ524302:CTQ524317 DDM524302:DDM524317 DNI524302:DNI524317 DXE524302:DXE524317 EHA524302:EHA524317 EQW524302:EQW524317 FAS524302:FAS524317 FKO524302:FKO524317 FUK524302:FUK524317 GEG524302:GEG524317 GOC524302:GOC524317 GXY524302:GXY524317 HHU524302:HHU524317 HRQ524302:HRQ524317 IBM524302:IBM524317 ILI524302:ILI524317 IVE524302:IVE524317 JFA524302:JFA524317 JOW524302:JOW524317 JYS524302:JYS524317 KIO524302:KIO524317 KSK524302:KSK524317 LCG524302:LCG524317 LMC524302:LMC524317 LVY524302:LVY524317 MFU524302:MFU524317 MPQ524302:MPQ524317 MZM524302:MZM524317 NJI524302:NJI524317 NTE524302:NTE524317 ODA524302:ODA524317 OMW524302:OMW524317 OWS524302:OWS524317 PGO524302:PGO524317 PQK524302:PQK524317 QAG524302:QAG524317 QKC524302:QKC524317 QTY524302:QTY524317 RDU524302:RDU524317 RNQ524302:RNQ524317 RXM524302:RXM524317 SHI524302:SHI524317 SRE524302:SRE524317 TBA524302:TBA524317 TKW524302:TKW524317 TUS524302:TUS524317 UEO524302:UEO524317 UOK524302:UOK524317 UYG524302:UYG524317 VIC524302:VIC524317 VRY524302:VRY524317 WBU524302:WBU524317 WLQ524302:WLQ524317 WVM524302:WVM524317 E589838:E589853 JA589838:JA589853 SW589838:SW589853 ACS589838:ACS589853 AMO589838:AMO589853 AWK589838:AWK589853 BGG589838:BGG589853 BQC589838:BQC589853 BZY589838:BZY589853 CJU589838:CJU589853 CTQ589838:CTQ589853 DDM589838:DDM589853 DNI589838:DNI589853 DXE589838:DXE589853 EHA589838:EHA589853 EQW589838:EQW589853 FAS589838:FAS589853 FKO589838:FKO589853 FUK589838:FUK589853 GEG589838:GEG589853 GOC589838:GOC589853 GXY589838:GXY589853 HHU589838:HHU589853 HRQ589838:HRQ589853 IBM589838:IBM589853 ILI589838:ILI589853 IVE589838:IVE589853 JFA589838:JFA589853 JOW589838:JOW589853 JYS589838:JYS589853 KIO589838:KIO589853 KSK589838:KSK589853 LCG589838:LCG589853 LMC589838:LMC589853 LVY589838:LVY589853 MFU589838:MFU589853 MPQ589838:MPQ589853 MZM589838:MZM589853 NJI589838:NJI589853 NTE589838:NTE589853 ODA589838:ODA589853 OMW589838:OMW589853 OWS589838:OWS589853 PGO589838:PGO589853 PQK589838:PQK589853 QAG589838:QAG589853 QKC589838:QKC589853 QTY589838:QTY589853 RDU589838:RDU589853 RNQ589838:RNQ589853 RXM589838:RXM589853 SHI589838:SHI589853 SRE589838:SRE589853 TBA589838:TBA589853 TKW589838:TKW589853 TUS589838:TUS589853 UEO589838:UEO589853 UOK589838:UOK589853 UYG589838:UYG589853 VIC589838:VIC589853 VRY589838:VRY589853 WBU589838:WBU589853 WLQ589838:WLQ589853 WVM589838:WVM589853 E655374:E655389 JA655374:JA655389 SW655374:SW655389 ACS655374:ACS655389 AMO655374:AMO655389 AWK655374:AWK655389 BGG655374:BGG655389 BQC655374:BQC655389 BZY655374:BZY655389 CJU655374:CJU655389 CTQ655374:CTQ655389 DDM655374:DDM655389 DNI655374:DNI655389 DXE655374:DXE655389 EHA655374:EHA655389 EQW655374:EQW655389 FAS655374:FAS655389 FKO655374:FKO655389 FUK655374:FUK655389 GEG655374:GEG655389 GOC655374:GOC655389 GXY655374:GXY655389 HHU655374:HHU655389 HRQ655374:HRQ655389 IBM655374:IBM655389 ILI655374:ILI655389 IVE655374:IVE655389 JFA655374:JFA655389 JOW655374:JOW655389 JYS655374:JYS655389 KIO655374:KIO655389 KSK655374:KSK655389 LCG655374:LCG655389 LMC655374:LMC655389 LVY655374:LVY655389 MFU655374:MFU655389 MPQ655374:MPQ655389 MZM655374:MZM655389 NJI655374:NJI655389 NTE655374:NTE655389 ODA655374:ODA655389 OMW655374:OMW655389 OWS655374:OWS655389 PGO655374:PGO655389 PQK655374:PQK655389 QAG655374:QAG655389 QKC655374:QKC655389 QTY655374:QTY655389 RDU655374:RDU655389 RNQ655374:RNQ655389 RXM655374:RXM655389 SHI655374:SHI655389 SRE655374:SRE655389 TBA655374:TBA655389 TKW655374:TKW655389 TUS655374:TUS655389 UEO655374:UEO655389 UOK655374:UOK655389 UYG655374:UYG655389 VIC655374:VIC655389 VRY655374:VRY655389 WBU655374:WBU655389 WLQ655374:WLQ655389 WVM655374:WVM655389 E720910:E720925 JA720910:JA720925 SW720910:SW720925 ACS720910:ACS720925 AMO720910:AMO720925 AWK720910:AWK720925 BGG720910:BGG720925 BQC720910:BQC720925 BZY720910:BZY720925 CJU720910:CJU720925 CTQ720910:CTQ720925 DDM720910:DDM720925 DNI720910:DNI720925 DXE720910:DXE720925 EHA720910:EHA720925 EQW720910:EQW720925 FAS720910:FAS720925 FKO720910:FKO720925 FUK720910:FUK720925 GEG720910:GEG720925 GOC720910:GOC720925 GXY720910:GXY720925 HHU720910:HHU720925 HRQ720910:HRQ720925 IBM720910:IBM720925 ILI720910:ILI720925 IVE720910:IVE720925 JFA720910:JFA720925 JOW720910:JOW720925 JYS720910:JYS720925 KIO720910:KIO720925 KSK720910:KSK720925 LCG720910:LCG720925 LMC720910:LMC720925 LVY720910:LVY720925 MFU720910:MFU720925 MPQ720910:MPQ720925 MZM720910:MZM720925 NJI720910:NJI720925 NTE720910:NTE720925 ODA720910:ODA720925 OMW720910:OMW720925 OWS720910:OWS720925 PGO720910:PGO720925 PQK720910:PQK720925 QAG720910:QAG720925 QKC720910:QKC720925 QTY720910:QTY720925 RDU720910:RDU720925 RNQ720910:RNQ720925 RXM720910:RXM720925 SHI720910:SHI720925 SRE720910:SRE720925 TBA720910:TBA720925 TKW720910:TKW720925 TUS720910:TUS720925 UEO720910:UEO720925 UOK720910:UOK720925 UYG720910:UYG720925 VIC720910:VIC720925 VRY720910:VRY720925 WBU720910:WBU720925 WLQ720910:WLQ720925 WVM720910:WVM720925 E786446:E786461 JA786446:JA786461 SW786446:SW786461 ACS786446:ACS786461 AMO786446:AMO786461 AWK786446:AWK786461 BGG786446:BGG786461 BQC786446:BQC786461 BZY786446:BZY786461 CJU786446:CJU786461 CTQ786446:CTQ786461 DDM786446:DDM786461 DNI786446:DNI786461 DXE786446:DXE786461 EHA786446:EHA786461 EQW786446:EQW786461 FAS786446:FAS786461 FKO786446:FKO786461 FUK786446:FUK786461 GEG786446:GEG786461 GOC786446:GOC786461 GXY786446:GXY786461 HHU786446:HHU786461 HRQ786446:HRQ786461 IBM786446:IBM786461 ILI786446:ILI786461 IVE786446:IVE786461 JFA786446:JFA786461 JOW786446:JOW786461 JYS786446:JYS786461 KIO786446:KIO786461 KSK786446:KSK786461 LCG786446:LCG786461 LMC786446:LMC786461 LVY786446:LVY786461 MFU786446:MFU786461 MPQ786446:MPQ786461 MZM786446:MZM786461 NJI786446:NJI786461 NTE786446:NTE786461 ODA786446:ODA786461 OMW786446:OMW786461 OWS786446:OWS786461 PGO786446:PGO786461 PQK786446:PQK786461 QAG786446:QAG786461 QKC786446:QKC786461 QTY786446:QTY786461 RDU786446:RDU786461 RNQ786446:RNQ786461 RXM786446:RXM786461 SHI786446:SHI786461 SRE786446:SRE786461 TBA786446:TBA786461 TKW786446:TKW786461 TUS786446:TUS786461 UEO786446:UEO786461 UOK786446:UOK786461 UYG786446:UYG786461 VIC786446:VIC786461 VRY786446:VRY786461 WBU786446:WBU786461 WLQ786446:WLQ786461 WVM786446:WVM786461 E851982:E851997 JA851982:JA851997 SW851982:SW851997 ACS851982:ACS851997 AMO851982:AMO851997 AWK851982:AWK851997 BGG851982:BGG851997 BQC851982:BQC851997 BZY851982:BZY851997 CJU851982:CJU851997 CTQ851982:CTQ851997 DDM851982:DDM851997 DNI851982:DNI851997 DXE851982:DXE851997 EHA851982:EHA851997 EQW851982:EQW851997 FAS851982:FAS851997 FKO851982:FKO851997 FUK851982:FUK851997 GEG851982:GEG851997 GOC851982:GOC851997 GXY851982:GXY851997 HHU851982:HHU851997 HRQ851982:HRQ851997 IBM851982:IBM851997 ILI851982:ILI851997 IVE851982:IVE851997 JFA851982:JFA851997 JOW851982:JOW851997 JYS851982:JYS851997 KIO851982:KIO851997 KSK851982:KSK851997 LCG851982:LCG851997 LMC851982:LMC851997 LVY851982:LVY851997 MFU851982:MFU851997 MPQ851982:MPQ851997 MZM851982:MZM851997 NJI851982:NJI851997 NTE851982:NTE851997 ODA851982:ODA851997 OMW851982:OMW851997 OWS851982:OWS851997 PGO851982:PGO851997 PQK851982:PQK851997 QAG851982:QAG851997 QKC851982:QKC851997 QTY851982:QTY851997 RDU851982:RDU851997 RNQ851982:RNQ851997 RXM851982:RXM851997 SHI851982:SHI851997 SRE851982:SRE851997 TBA851982:TBA851997 TKW851982:TKW851997 TUS851982:TUS851997 UEO851982:UEO851997 UOK851982:UOK851997 UYG851982:UYG851997 VIC851982:VIC851997 VRY851982:VRY851997 WBU851982:WBU851997 WLQ851982:WLQ851997 WVM851982:WVM851997 E917518:E917533 JA917518:JA917533 SW917518:SW917533 ACS917518:ACS917533 AMO917518:AMO917533 AWK917518:AWK917533 BGG917518:BGG917533 BQC917518:BQC917533 BZY917518:BZY917533 CJU917518:CJU917533 CTQ917518:CTQ917533 DDM917518:DDM917533 DNI917518:DNI917533 DXE917518:DXE917533 EHA917518:EHA917533 EQW917518:EQW917533 FAS917518:FAS917533 FKO917518:FKO917533 FUK917518:FUK917533 GEG917518:GEG917533 GOC917518:GOC917533 GXY917518:GXY917533 HHU917518:HHU917533 HRQ917518:HRQ917533 IBM917518:IBM917533 ILI917518:ILI917533 IVE917518:IVE917533 JFA917518:JFA917533 JOW917518:JOW917533 JYS917518:JYS917533 KIO917518:KIO917533 KSK917518:KSK917533 LCG917518:LCG917533 LMC917518:LMC917533 LVY917518:LVY917533 MFU917518:MFU917533 MPQ917518:MPQ917533 MZM917518:MZM917533 NJI917518:NJI917533 NTE917518:NTE917533 ODA917518:ODA917533 OMW917518:OMW917533 OWS917518:OWS917533 PGO917518:PGO917533 PQK917518:PQK917533 QAG917518:QAG917533 QKC917518:QKC917533 QTY917518:QTY917533 RDU917518:RDU917533 RNQ917518:RNQ917533 RXM917518:RXM917533 SHI917518:SHI917533 SRE917518:SRE917533 TBA917518:TBA917533 TKW917518:TKW917533 TUS917518:TUS917533 UEO917518:UEO917533 UOK917518:UOK917533 UYG917518:UYG917533 VIC917518:VIC917533 VRY917518:VRY917533 WBU917518:WBU917533 WLQ917518:WLQ917533 WVM917518:WVM917533 E983054:E983069 JA983054:JA983069 SW983054:SW983069 ACS983054:ACS983069 AMO983054:AMO983069 AWK983054:AWK983069 BGG983054:BGG983069 BQC983054:BQC983069 BZY983054:BZY983069 CJU983054:CJU983069 CTQ983054:CTQ983069 DDM983054:DDM983069 DNI983054:DNI983069 DXE983054:DXE983069 EHA983054:EHA983069 EQW983054:EQW983069 FAS983054:FAS983069 FKO983054:FKO983069 FUK983054:FUK983069 GEG983054:GEG983069 GOC983054:GOC983069 GXY983054:GXY983069 HHU983054:HHU983069 HRQ983054:HRQ983069 IBM983054:IBM983069 ILI983054:ILI983069 IVE983054:IVE983069 JFA983054:JFA983069 JOW983054:JOW983069 JYS983054:JYS983069 KIO983054:KIO983069 KSK983054:KSK983069 LCG983054:LCG983069 LMC983054:LMC983069 LVY983054:LVY983069 MFU983054:MFU983069 MPQ983054:MPQ983069 MZM983054:MZM983069 NJI983054:NJI983069 NTE983054:NTE983069 ODA983054:ODA983069 OMW983054:OMW983069 OWS983054:OWS983069 PGO983054:PGO983069 PQK983054:PQK983069 QAG983054:QAG983069 QKC983054:QKC983069 QTY983054:QTY983069 RDU983054:RDU983069 RNQ983054:RNQ983069 RXM983054:RXM983069 SHI983054:SHI983069 SRE983054:SRE983069 TBA983054:TBA983069 TKW983054:TKW983069 TUS983054:TUS983069 UEO983054:UEO983069 UOK983054:UOK983069 UYG983054:UYG983069 VIC983054:VIC983069 VRY983054:VRY983069 WBU983054:WBU983069 WLQ983054:WLQ983069 WVM983054:WVM983069" xr:uid="{00000000-0002-0000-0100-000000000000}">
      <formula1>"Low, Medium, High"</formula1>
    </dataValidation>
    <dataValidation type="list" allowBlank="1" showInputMessage="1" showErrorMessage="1" sqref="E42:E45 JA42:JA45 SW42:SW45 ACS42:ACS45 AMO42:AMO45 AWK42:AWK45 BGG42:BGG45 BQC42:BQC45 BZY42:BZY45 CJU42:CJU45 CTQ42:CTQ45 DDM42:DDM45 DNI42:DNI45 DXE42:DXE45 EHA42:EHA45 EQW42:EQW45 FAS42:FAS45 FKO42:FKO45 FUK42:FUK45 GEG42:GEG45 GOC42:GOC45 GXY42:GXY45 HHU42:HHU45 HRQ42:HRQ45 IBM42:IBM45 ILI42:ILI45 IVE42:IVE45 JFA42:JFA45 JOW42:JOW45 JYS42:JYS45 KIO42:KIO45 KSK42:KSK45 LCG42:LCG45 LMC42:LMC45 LVY42:LVY45 MFU42:MFU45 MPQ42:MPQ45 MZM42:MZM45 NJI42:NJI45 NTE42:NTE45 ODA42:ODA45 OMW42:OMW45 OWS42:OWS45 PGO42:PGO45 PQK42:PQK45 QAG42:QAG45 QKC42:QKC45 QTY42:QTY45 RDU42:RDU45 RNQ42:RNQ45 RXM42:RXM45 SHI42:SHI45 SRE42:SRE45 TBA42:TBA45 TKW42:TKW45 TUS42:TUS45 UEO42:UEO45 UOK42:UOK45 UYG42:UYG45 VIC42:VIC45 VRY42:VRY45 WBU42:WBU45 WLQ42:WLQ45 WVM42:WVM45 E65578:E65581 JA65578:JA65581 SW65578:SW65581 ACS65578:ACS65581 AMO65578:AMO65581 AWK65578:AWK65581 BGG65578:BGG65581 BQC65578:BQC65581 BZY65578:BZY65581 CJU65578:CJU65581 CTQ65578:CTQ65581 DDM65578:DDM65581 DNI65578:DNI65581 DXE65578:DXE65581 EHA65578:EHA65581 EQW65578:EQW65581 FAS65578:FAS65581 FKO65578:FKO65581 FUK65578:FUK65581 GEG65578:GEG65581 GOC65578:GOC65581 GXY65578:GXY65581 HHU65578:HHU65581 HRQ65578:HRQ65581 IBM65578:IBM65581 ILI65578:ILI65581 IVE65578:IVE65581 JFA65578:JFA65581 JOW65578:JOW65581 JYS65578:JYS65581 KIO65578:KIO65581 KSK65578:KSK65581 LCG65578:LCG65581 LMC65578:LMC65581 LVY65578:LVY65581 MFU65578:MFU65581 MPQ65578:MPQ65581 MZM65578:MZM65581 NJI65578:NJI65581 NTE65578:NTE65581 ODA65578:ODA65581 OMW65578:OMW65581 OWS65578:OWS65581 PGO65578:PGO65581 PQK65578:PQK65581 QAG65578:QAG65581 QKC65578:QKC65581 QTY65578:QTY65581 RDU65578:RDU65581 RNQ65578:RNQ65581 RXM65578:RXM65581 SHI65578:SHI65581 SRE65578:SRE65581 TBA65578:TBA65581 TKW65578:TKW65581 TUS65578:TUS65581 UEO65578:UEO65581 UOK65578:UOK65581 UYG65578:UYG65581 VIC65578:VIC65581 VRY65578:VRY65581 WBU65578:WBU65581 WLQ65578:WLQ65581 WVM65578:WVM65581 E131114:E131117 JA131114:JA131117 SW131114:SW131117 ACS131114:ACS131117 AMO131114:AMO131117 AWK131114:AWK131117 BGG131114:BGG131117 BQC131114:BQC131117 BZY131114:BZY131117 CJU131114:CJU131117 CTQ131114:CTQ131117 DDM131114:DDM131117 DNI131114:DNI131117 DXE131114:DXE131117 EHA131114:EHA131117 EQW131114:EQW131117 FAS131114:FAS131117 FKO131114:FKO131117 FUK131114:FUK131117 GEG131114:GEG131117 GOC131114:GOC131117 GXY131114:GXY131117 HHU131114:HHU131117 HRQ131114:HRQ131117 IBM131114:IBM131117 ILI131114:ILI131117 IVE131114:IVE131117 JFA131114:JFA131117 JOW131114:JOW131117 JYS131114:JYS131117 KIO131114:KIO131117 KSK131114:KSK131117 LCG131114:LCG131117 LMC131114:LMC131117 LVY131114:LVY131117 MFU131114:MFU131117 MPQ131114:MPQ131117 MZM131114:MZM131117 NJI131114:NJI131117 NTE131114:NTE131117 ODA131114:ODA131117 OMW131114:OMW131117 OWS131114:OWS131117 PGO131114:PGO131117 PQK131114:PQK131117 QAG131114:QAG131117 QKC131114:QKC131117 QTY131114:QTY131117 RDU131114:RDU131117 RNQ131114:RNQ131117 RXM131114:RXM131117 SHI131114:SHI131117 SRE131114:SRE131117 TBA131114:TBA131117 TKW131114:TKW131117 TUS131114:TUS131117 UEO131114:UEO131117 UOK131114:UOK131117 UYG131114:UYG131117 VIC131114:VIC131117 VRY131114:VRY131117 WBU131114:WBU131117 WLQ131114:WLQ131117 WVM131114:WVM131117 E196650:E196653 JA196650:JA196653 SW196650:SW196653 ACS196650:ACS196653 AMO196650:AMO196653 AWK196650:AWK196653 BGG196650:BGG196653 BQC196650:BQC196653 BZY196650:BZY196653 CJU196650:CJU196653 CTQ196650:CTQ196653 DDM196650:DDM196653 DNI196650:DNI196653 DXE196650:DXE196653 EHA196650:EHA196653 EQW196650:EQW196653 FAS196650:FAS196653 FKO196650:FKO196653 FUK196650:FUK196653 GEG196650:GEG196653 GOC196650:GOC196653 GXY196650:GXY196653 HHU196650:HHU196653 HRQ196650:HRQ196653 IBM196650:IBM196653 ILI196650:ILI196653 IVE196650:IVE196653 JFA196650:JFA196653 JOW196650:JOW196653 JYS196650:JYS196653 KIO196650:KIO196653 KSK196650:KSK196653 LCG196650:LCG196653 LMC196650:LMC196653 LVY196650:LVY196653 MFU196650:MFU196653 MPQ196650:MPQ196653 MZM196650:MZM196653 NJI196650:NJI196653 NTE196650:NTE196653 ODA196650:ODA196653 OMW196650:OMW196653 OWS196650:OWS196653 PGO196650:PGO196653 PQK196650:PQK196653 QAG196650:QAG196653 QKC196650:QKC196653 QTY196650:QTY196653 RDU196650:RDU196653 RNQ196650:RNQ196653 RXM196650:RXM196653 SHI196650:SHI196653 SRE196650:SRE196653 TBA196650:TBA196653 TKW196650:TKW196653 TUS196650:TUS196653 UEO196650:UEO196653 UOK196650:UOK196653 UYG196650:UYG196653 VIC196650:VIC196653 VRY196650:VRY196653 WBU196650:WBU196653 WLQ196650:WLQ196653 WVM196650:WVM196653 E262186:E262189 JA262186:JA262189 SW262186:SW262189 ACS262186:ACS262189 AMO262186:AMO262189 AWK262186:AWK262189 BGG262186:BGG262189 BQC262186:BQC262189 BZY262186:BZY262189 CJU262186:CJU262189 CTQ262186:CTQ262189 DDM262186:DDM262189 DNI262186:DNI262189 DXE262186:DXE262189 EHA262186:EHA262189 EQW262186:EQW262189 FAS262186:FAS262189 FKO262186:FKO262189 FUK262186:FUK262189 GEG262186:GEG262189 GOC262186:GOC262189 GXY262186:GXY262189 HHU262186:HHU262189 HRQ262186:HRQ262189 IBM262186:IBM262189 ILI262186:ILI262189 IVE262186:IVE262189 JFA262186:JFA262189 JOW262186:JOW262189 JYS262186:JYS262189 KIO262186:KIO262189 KSK262186:KSK262189 LCG262186:LCG262189 LMC262186:LMC262189 LVY262186:LVY262189 MFU262186:MFU262189 MPQ262186:MPQ262189 MZM262186:MZM262189 NJI262186:NJI262189 NTE262186:NTE262189 ODA262186:ODA262189 OMW262186:OMW262189 OWS262186:OWS262189 PGO262186:PGO262189 PQK262186:PQK262189 QAG262186:QAG262189 QKC262186:QKC262189 QTY262186:QTY262189 RDU262186:RDU262189 RNQ262186:RNQ262189 RXM262186:RXM262189 SHI262186:SHI262189 SRE262186:SRE262189 TBA262186:TBA262189 TKW262186:TKW262189 TUS262186:TUS262189 UEO262186:UEO262189 UOK262186:UOK262189 UYG262186:UYG262189 VIC262186:VIC262189 VRY262186:VRY262189 WBU262186:WBU262189 WLQ262186:WLQ262189 WVM262186:WVM262189 E327722:E327725 JA327722:JA327725 SW327722:SW327725 ACS327722:ACS327725 AMO327722:AMO327725 AWK327722:AWK327725 BGG327722:BGG327725 BQC327722:BQC327725 BZY327722:BZY327725 CJU327722:CJU327725 CTQ327722:CTQ327725 DDM327722:DDM327725 DNI327722:DNI327725 DXE327722:DXE327725 EHA327722:EHA327725 EQW327722:EQW327725 FAS327722:FAS327725 FKO327722:FKO327725 FUK327722:FUK327725 GEG327722:GEG327725 GOC327722:GOC327725 GXY327722:GXY327725 HHU327722:HHU327725 HRQ327722:HRQ327725 IBM327722:IBM327725 ILI327722:ILI327725 IVE327722:IVE327725 JFA327722:JFA327725 JOW327722:JOW327725 JYS327722:JYS327725 KIO327722:KIO327725 KSK327722:KSK327725 LCG327722:LCG327725 LMC327722:LMC327725 LVY327722:LVY327725 MFU327722:MFU327725 MPQ327722:MPQ327725 MZM327722:MZM327725 NJI327722:NJI327725 NTE327722:NTE327725 ODA327722:ODA327725 OMW327722:OMW327725 OWS327722:OWS327725 PGO327722:PGO327725 PQK327722:PQK327725 QAG327722:QAG327725 QKC327722:QKC327725 QTY327722:QTY327725 RDU327722:RDU327725 RNQ327722:RNQ327725 RXM327722:RXM327725 SHI327722:SHI327725 SRE327722:SRE327725 TBA327722:TBA327725 TKW327722:TKW327725 TUS327722:TUS327725 UEO327722:UEO327725 UOK327722:UOK327725 UYG327722:UYG327725 VIC327722:VIC327725 VRY327722:VRY327725 WBU327722:WBU327725 WLQ327722:WLQ327725 WVM327722:WVM327725 E393258:E393261 JA393258:JA393261 SW393258:SW393261 ACS393258:ACS393261 AMO393258:AMO393261 AWK393258:AWK393261 BGG393258:BGG393261 BQC393258:BQC393261 BZY393258:BZY393261 CJU393258:CJU393261 CTQ393258:CTQ393261 DDM393258:DDM393261 DNI393258:DNI393261 DXE393258:DXE393261 EHA393258:EHA393261 EQW393258:EQW393261 FAS393258:FAS393261 FKO393258:FKO393261 FUK393258:FUK393261 GEG393258:GEG393261 GOC393258:GOC393261 GXY393258:GXY393261 HHU393258:HHU393261 HRQ393258:HRQ393261 IBM393258:IBM393261 ILI393258:ILI393261 IVE393258:IVE393261 JFA393258:JFA393261 JOW393258:JOW393261 JYS393258:JYS393261 KIO393258:KIO393261 KSK393258:KSK393261 LCG393258:LCG393261 LMC393258:LMC393261 LVY393258:LVY393261 MFU393258:MFU393261 MPQ393258:MPQ393261 MZM393258:MZM393261 NJI393258:NJI393261 NTE393258:NTE393261 ODA393258:ODA393261 OMW393258:OMW393261 OWS393258:OWS393261 PGO393258:PGO393261 PQK393258:PQK393261 QAG393258:QAG393261 QKC393258:QKC393261 QTY393258:QTY393261 RDU393258:RDU393261 RNQ393258:RNQ393261 RXM393258:RXM393261 SHI393258:SHI393261 SRE393258:SRE393261 TBA393258:TBA393261 TKW393258:TKW393261 TUS393258:TUS393261 UEO393258:UEO393261 UOK393258:UOK393261 UYG393258:UYG393261 VIC393258:VIC393261 VRY393258:VRY393261 WBU393258:WBU393261 WLQ393258:WLQ393261 WVM393258:WVM393261 E458794:E458797 JA458794:JA458797 SW458794:SW458797 ACS458794:ACS458797 AMO458794:AMO458797 AWK458794:AWK458797 BGG458794:BGG458797 BQC458794:BQC458797 BZY458794:BZY458797 CJU458794:CJU458797 CTQ458794:CTQ458797 DDM458794:DDM458797 DNI458794:DNI458797 DXE458794:DXE458797 EHA458794:EHA458797 EQW458794:EQW458797 FAS458794:FAS458797 FKO458794:FKO458797 FUK458794:FUK458797 GEG458794:GEG458797 GOC458794:GOC458797 GXY458794:GXY458797 HHU458794:HHU458797 HRQ458794:HRQ458797 IBM458794:IBM458797 ILI458794:ILI458797 IVE458794:IVE458797 JFA458794:JFA458797 JOW458794:JOW458797 JYS458794:JYS458797 KIO458794:KIO458797 KSK458794:KSK458797 LCG458794:LCG458797 LMC458794:LMC458797 LVY458794:LVY458797 MFU458794:MFU458797 MPQ458794:MPQ458797 MZM458794:MZM458797 NJI458794:NJI458797 NTE458794:NTE458797 ODA458794:ODA458797 OMW458794:OMW458797 OWS458794:OWS458797 PGO458794:PGO458797 PQK458794:PQK458797 QAG458794:QAG458797 QKC458794:QKC458797 QTY458794:QTY458797 RDU458794:RDU458797 RNQ458794:RNQ458797 RXM458794:RXM458797 SHI458794:SHI458797 SRE458794:SRE458797 TBA458794:TBA458797 TKW458794:TKW458797 TUS458794:TUS458797 UEO458794:UEO458797 UOK458794:UOK458797 UYG458794:UYG458797 VIC458794:VIC458797 VRY458794:VRY458797 WBU458794:WBU458797 WLQ458794:WLQ458797 WVM458794:WVM458797 E524330:E524333 JA524330:JA524333 SW524330:SW524333 ACS524330:ACS524333 AMO524330:AMO524333 AWK524330:AWK524333 BGG524330:BGG524333 BQC524330:BQC524333 BZY524330:BZY524333 CJU524330:CJU524333 CTQ524330:CTQ524333 DDM524330:DDM524333 DNI524330:DNI524333 DXE524330:DXE524333 EHA524330:EHA524333 EQW524330:EQW524333 FAS524330:FAS524333 FKO524330:FKO524333 FUK524330:FUK524333 GEG524330:GEG524333 GOC524330:GOC524333 GXY524330:GXY524333 HHU524330:HHU524333 HRQ524330:HRQ524333 IBM524330:IBM524333 ILI524330:ILI524333 IVE524330:IVE524333 JFA524330:JFA524333 JOW524330:JOW524333 JYS524330:JYS524333 KIO524330:KIO524333 KSK524330:KSK524333 LCG524330:LCG524333 LMC524330:LMC524333 LVY524330:LVY524333 MFU524330:MFU524333 MPQ524330:MPQ524333 MZM524330:MZM524333 NJI524330:NJI524333 NTE524330:NTE524333 ODA524330:ODA524333 OMW524330:OMW524333 OWS524330:OWS524333 PGO524330:PGO524333 PQK524330:PQK524333 QAG524330:QAG524333 QKC524330:QKC524333 QTY524330:QTY524333 RDU524330:RDU524333 RNQ524330:RNQ524333 RXM524330:RXM524333 SHI524330:SHI524333 SRE524330:SRE524333 TBA524330:TBA524333 TKW524330:TKW524333 TUS524330:TUS524333 UEO524330:UEO524333 UOK524330:UOK524333 UYG524330:UYG524333 VIC524330:VIC524333 VRY524330:VRY524333 WBU524330:WBU524333 WLQ524330:WLQ524333 WVM524330:WVM524333 E589866:E589869 JA589866:JA589869 SW589866:SW589869 ACS589866:ACS589869 AMO589866:AMO589869 AWK589866:AWK589869 BGG589866:BGG589869 BQC589866:BQC589869 BZY589866:BZY589869 CJU589866:CJU589869 CTQ589866:CTQ589869 DDM589866:DDM589869 DNI589866:DNI589869 DXE589866:DXE589869 EHA589866:EHA589869 EQW589866:EQW589869 FAS589866:FAS589869 FKO589866:FKO589869 FUK589866:FUK589869 GEG589866:GEG589869 GOC589866:GOC589869 GXY589866:GXY589869 HHU589866:HHU589869 HRQ589866:HRQ589869 IBM589866:IBM589869 ILI589866:ILI589869 IVE589866:IVE589869 JFA589866:JFA589869 JOW589866:JOW589869 JYS589866:JYS589869 KIO589866:KIO589869 KSK589866:KSK589869 LCG589866:LCG589869 LMC589866:LMC589869 LVY589866:LVY589869 MFU589866:MFU589869 MPQ589866:MPQ589869 MZM589866:MZM589869 NJI589866:NJI589869 NTE589866:NTE589869 ODA589866:ODA589869 OMW589866:OMW589869 OWS589866:OWS589869 PGO589866:PGO589869 PQK589866:PQK589869 QAG589866:QAG589869 QKC589866:QKC589869 QTY589866:QTY589869 RDU589866:RDU589869 RNQ589866:RNQ589869 RXM589866:RXM589869 SHI589866:SHI589869 SRE589866:SRE589869 TBA589866:TBA589869 TKW589866:TKW589869 TUS589866:TUS589869 UEO589866:UEO589869 UOK589866:UOK589869 UYG589866:UYG589869 VIC589866:VIC589869 VRY589866:VRY589869 WBU589866:WBU589869 WLQ589866:WLQ589869 WVM589866:WVM589869 E655402:E655405 JA655402:JA655405 SW655402:SW655405 ACS655402:ACS655405 AMO655402:AMO655405 AWK655402:AWK655405 BGG655402:BGG655405 BQC655402:BQC655405 BZY655402:BZY655405 CJU655402:CJU655405 CTQ655402:CTQ655405 DDM655402:DDM655405 DNI655402:DNI655405 DXE655402:DXE655405 EHA655402:EHA655405 EQW655402:EQW655405 FAS655402:FAS655405 FKO655402:FKO655405 FUK655402:FUK655405 GEG655402:GEG655405 GOC655402:GOC655405 GXY655402:GXY655405 HHU655402:HHU655405 HRQ655402:HRQ655405 IBM655402:IBM655405 ILI655402:ILI655405 IVE655402:IVE655405 JFA655402:JFA655405 JOW655402:JOW655405 JYS655402:JYS655405 KIO655402:KIO655405 KSK655402:KSK655405 LCG655402:LCG655405 LMC655402:LMC655405 LVY655402:LVY655405 MFU655402:MFU655405 MPQ655402:MPQ655405 MZM655402:MZM655405 NJI655402:NJI655405 NTE655402:NTE655405 ODA655402:ODA655405 OMW655402:OMW655405 OWS655402:OWS655405 PGO655402:PGO655405 PQK655402:PQK655405 QAG655402:QAG655405 QKC655402:QKC655405 QTY655402:QTY655405 RDU655402:RDU655405 RNQ655402:RNQ655405 RXM655402:RXM655405 SHI655402:SHI655405 SRE655402:SRE655405 TBA655402:TBA655405 TKW655402:TKW655405 TUS655402:TUS655405 UEO655402:UEO655405 UOK655402:UOK655405 UYG655402:UYG655405 VIC655402:VIC655405 VRY655402:VRY655405 WBU655402:WBU655405 WLQ655402:WLQ655405 WVM655402:WVM655405 E720938:E720941 JA720938:JA720941 SW720938:SW720941 ACS720938:ACS720941 AMO720938:AMO720941 AWK720938:AWK720941 BGG720938:BGG720941 BQC720938:BQC720941 BZY720938:BZY720941 CJU720938:CJU720941 CTQ720938:CTQ720941 DDM720938:DDM720941 DNI720938:DNI720941 DXE720938:DXE720941 EHA720938:EHA720941 EQW720938:EQW720941 FAS720938:FAS720941 FKO720938:FKO720941 FUK720938:FUK720941 GEG720938:GEG720941 GOC720938:GOC720941 GXY720938:GXY720941 HHU720938:HHU720941 HRQ720938:HRQ720941 IBM720938:IBM720941 ILI720938:ILI720941 IVE720938:IVE720941 JFA720938:JFA720941 JOW720938:JOW720941 JYS720938:JYS720941 KIO720938:KIO720941 KSK720938:KSK720941 LCG720938:LCG720941 LMC720938:LMC720941 LVY720938:LVY720941 MFU720938:MFU720941 MPQ720938:MPQ720941 MZM720938:MZM720941 NJI720938:NJI720941 NTE720938:NTE720941 ODA720938:ODA720941 OMW720938:OMW720941 OWS720938:OWS720941 PGO720938:PGO720941 PQK720938:PQK720941 QAG720938:QAG720941 QKC720938:QKC720941 QTY720938:QTY720941 RDU720938:RDU720941 RNQ720938:RNQ720941 RXM720938:RXM720941 SHI720938:SHI720941 SRE720938:SRE720941 TBA720938:TBA720941 TKW720938:TKW720941 TUS720938:TUS720941 UEO720938:UEO720941 UOK720938:UOK720941 UYG720938:UYG720941 VIC720938:VIC720941 VRY720938:VRY720941 WBU720938:WBU720941 WLQ720938:WLQ720941 WVM720938:WVM720941 E786474:E786477 JA786474:JA786477 SW786474:SW786477 ACS786474:ACS786477 AMO786474:AMO786477 AWK786474:AWK786477 BGG786474:BGG786477 BQC786474:BQC786477 BZY786474:BZY786477 CJU786474:CJU786477 CTQ786474:CTQ786477 DDM786474:DDM786477 DNI786474:DNI786477 DXE786474:DXE786477 EHA786474:EHA786477 EQW786474:EQW786477 FAS786474:FAS786477 FKO786474:FKO786477 FUK786474:FUK786477 GEG786474:GEG786477 GOC786474:GOC786477 GXY786474:GXY786477 HHU786474:HHU786477 HRQ786474:HRQ786477 IBM786474:IBM786477 ILI786474:ILI786477 IVE786474:IVE786477 JFA786474:JFA786477 JOW786474:JOW786477 JYS786474:JYS786477 KIO786474:KIO786477 KSK786474:KSK786477 LCG786474:LCG786477 LMC786474:LMC786477 LVY786474:LVY786477 MFU786474:MFU786477 MPQ786474:MPQ786477 MZM786474:MZM786477 NJI786474:NJI786477 NTE786474:NTE786477 ODA786474:ODA786477 OMW786474:OMW786477 OWS786474:OWS786477 PGO786474:PGO786477 PQK786474:PQK786477 QAG786474:QAG786477 QKC786474:QKC786477 QTY786474:QTY786477 RDU786474:RDU786477 RNQ786474:RNQ786477 RXM786474:RXM786477 SHI786474:SHI786477 SRE786474:SRE786477 TBA786474:TBA786477 TKW786474:TKW786477 TUS786474:TUS786477 UEO786474:UEO786477 UOK786474:UOK786477 UYG786474:UYG786477 VIC786474:VIC786477 VRY786474:VRY786477 WBU786474:WBU786477 WLQ786474:WLQ786477 WVM786474:WVM786477 E852010:E852013 JA852010:JA852013 SW852010:SW852013 ACS852010:ACS852013 AMO852010:AMO852013 AWK852010:AWK852013 BGG852010:BGG852013 BQC852010:BQC852013 BZY852010:BZY852013 CJU852010:CJU852013 CTQ852010:CTQ852013 DDM852010:DDM852013 DNI852010:DNI852013 DXE852010:DXE852013 EHA852010:EHA852013 EQW852010:EQW852013 FAS852010:FAS852013 FKO852010:FKO852013 FUK852010:FUK852013 GEG852010:GEG852013 GOC852010:GOC852013 GXY852010:GXY852013 HHU852010:HHU852013 HRQ852010:HRQ852013 IBM852010:IBM852013 ILI852010:ILI852013 IVE852010:IVE852013 JFA852010:JFA852013 JOW852010:JOW852013 JYS852010:JYS852013 KIO852010:KIO852013 KSK852010:KSK852013 LCG852010:LCG852013 LMC852010:LMC852013 LVY852010:LVY852013 MFU852010:MFU852013 MPQ852010:MPQ852013 MZM852010:MZM852013 NJI852010:NJI852013 NTE852010:NTE852013 ODA852010:ODA852013 OMW852010:OMW852013 OWS852010:OWS852013 PGO852010:PGO852013 PQK852010:PQK852013 QAG852010:QAG852013 QKC852010:QKC852013 QTY852010:QTY852013 RDU852010:RDU852013 RNQ852010:RNQ852013 RXM852010:RXM852013 SHI852010:SHI852013 SRE852010:SRE852013 TBA852010:TBA852013 TKW852010:TKW852013 TUS852010:TUS852013 UEO852010:UEO852013 UOK852010:UOK852013 UYG852010:UYG852013 VIC852010:VIC852013 VRY852010:VRY852013 WBU852010:WBU852013 WLQ852010:WLQ852013 WVM852010:WVM852013 E917546:E917549 JA917546:JA917549 SW917546:SW917549 ACS917546:ACS917549 AMO917546:AMO917549 AWK917546:AWK917549 BGG917546:BGG917549 BQC917546:BQC917549 BZY917546:BZY917549 CJU917546:CJU917549 CTQ917546:CTQ917549 DDM917546:DDM917549 DNI917546:DNI917549 DXE917546:DXE917549 EHA917546:EHA917549 EQW917546:EQW917549 FAS917546:FAS917549 FKO917546:FKO917549 FUK917546:FUK917549 GEG917546:GEG917549 GOC917546:GOC917549 GXY917546:GXY917549 HHU917546:HHU917549 HRQ917546:HRQ917549 IBM917546:IBM917549 ILI917546:ILI917549 IVE917546:IVE917549 JFA917546:JFA917549 JOW917546:JOW917549 JYS917546:JYS917549 KIO917546:KIO917549 KSK917546:KSK917549 LCG917546:LCG917549 LMC917546:LMC917549 LVY917546:LVY917549 MFU917546:MFU917549 MPQ917546:MPQ917549 MZM917546:MZM917549 NJI917546:NJI917549 NTE917546:NTE917549 ODA917546:ODA917549 OMW917546:OMW917549 OWS917546:OWS917549 PGO917546:PGO917549 PQK917546:PQK917549 QAG917546:QAG917549 QKC917546:QKC917549 QTY917546:QTY917549 RDU917546:RDU917549 RNQ917546:RNQ917549 RXM917546:RXM917549 SHI917546:SHI917549 SRE917546:SRE917549 TBA917546:TBA917549 TKW917546:TKW917549 TUS917546:TUS917549 UEO917546:UEO917549 UOK917546:UOK917549 UYG917546:UYG917549 VIC917546:VIC917549 VRY917546:VRY917549 WBU917546:WBU917549 WLQ917546:WLQ917549 WVM917546:WVM917549 E983082:E983085 JA983082:JA983085 SW983082:SW983085 ACS983082:ACS983085 AMO983082:AMO983085 AWK983082:AWK983085 BGG983082:BGG983085 BQC983082:BQC983085 BZY983082:BZY983085 CJU983082:CJU983085 CTQ983082:CTQ983085 DDM983082:DDM983085 DNI983082:DNI983085 DXE983082:DXE983085 EHA983082:EHA983085 EQW983082:EQW983085 FAS983082:FAS983085 FKO983082:FKO983085 FUK983082:FUK983085 GEG983082:GEG983085 GOC983082:GOC983085 GXY983082:GXY983085 HHU983082:HHU983085 HRQ983082:HRQ983085 IBM983082:IBM983085 ILI983082:ILI983085 IVE983082:IVE983085 JFA983082:JFA983085 JOW983082:JOW983085 JYS983082:JYS983085 KIO983082:KIO983085 KSK983082:KSK983085 LCG983082:LCG983085 LMC983082:LMC983085 LVY983082:LVY983085 MFU983082:MFU983085 MPQ983082:MPQ983085 MZM983082:MZM983085 NJI983082:NJI983085 NTE983082:NTE983085 ODA983082:ODA983085 OMW983082:OMW983085 OWS983082:OWS983085 PGO983082:PGO983085 PQK983082:PQK983085 QAG983082:QAG983085 QKC983082:QKC983085 QTY983082:QTY983085 RDU983082:RDU983085 RNQ983082:RNQ983085 RXM983082:RXM983085 SHI983082:SHI983085 SRE983082:SRE983085 TBA983082:TBA983085 TKW983082:TKW983085 TUS983082:TUS983085 UEO983082:UEO983085 UOK983082:UOK983085 UYG983082:UYG983085 VIC983082:VIC983085 VRY983082:VRY983085 WBU983082:WBU983085 WLQ983082:WLQ983085 WVM983082:WVM983085" xr:uid="{00000000-0002-0000-0100-000001000000}">
      <formula1>"Available, Not available"</formula1>
    </dataValidation>
    <dataValidation type="list" showInputMessage="1" showErrorMessage="1" sqref="I14:I29 JB32:JB38 SX32:SX38 ACT32:ACT38 AMP32:AMP38 AWL32:AWL38 BGH32:BGH38 BQD32:BQD38 BZZ32:BZZ38 CJV32:CJV38 CTR32:CTR38 DDN32:DDN38 DNJ32:DNJ38 DXF32:DXF38 EHB32:EHB38 EQX32:EQX38 FAT32:FAT38 FKP32:FKP38 FUL32:FUL38 GEH32:GEH38 GOD32:GOD38 GXZ32:GXZ38 HHV32:HHV38 HRR32:HRR38 IBN32:IBN38 ILJ32:ILJ38 IVF32:IVF38 JFB32:JFB38 JOX32:JOX38 JYT32:JYT38 KIP32:KIP38 KSL32:KSL38 LCH32:LCH38 LMD32:LMD38 LVZ32:LVZ38 MFV32:MFV38 MPR32:MPR38 MZN32:MZN38 NJJ32:NJJ38 NTF32:NTF38 ODB32:ODB38 OMX32:OMX38 OWT32:OWT38 PGP32:PGP38 PQL32:PQL38 QAH32:QAH38 QKD32:QKD38 QTZ32:QTZ38 RDV32:RDV38 RNR32:RNR38 RXN32:RXN38 SHJ32:SHJ38 SRF32:SRF38 TBB32:TBB38 TKX32:TKX38 TUT32:TUT38 UEP32:UEP38 UOL32:UOL38 UYH32:UYH38 VID32:VID38 VRZ32:VRZ38 WBV32:WBV38 WLR32:WLR38 WVN32:WVN38 F65568:F65574 JB65568:JB65574 SX65568:SX65574 ACT65568:ACT65574 AMP65568:AMP65574 AWL65568:AWL65574 BGH65568:BGH65574 BQD65568:BQD65574 BZZ65568:BZZ65574 CJV65568:CJV65574 CTR65568:CTR65574 DDN65568:DDN65574 DNJ65568:DNJ65574 DXF65568:DXF65574 EHB65568:EHB65574 EQX65568:EQX65574 FAT65568:FAT65574 FKP65568:FKP65574 FUL65568:FUL65574 GEH65568:GEH65574 GOD65568:GOD65574 GXZ65568:GXZ65574 HHV65568:HHV65574 HRR65568:HRR65574 IBN65568:IBN65574 ILJ65568:ILJ65574 IVF65568:IVF65574 JFB65568:JFB65574 JOX65568:JOX65574 JYT65568:JYT65574 KIP65568:KIP65574 KSL65568:KSL65574 LCH65568:LCH65574 LMD65568:LMD65574 LVZ65568:LVZ65574 MFV65568:MFV65574 MPR65568:MPR65574 MZN65568:MZN65574 NJJ65568:NJJ65574 NTF65568:NTF65574 ODB65568:ODB65574 OMX65568:OMX65574 OWT65568:OWT65574 PGP65568:PGP65574 PQL65568:PQL65574 QAH65568:QAH65574 QKD65568:QKD65574 QTZ65568:QTZ65574 RDV65568:RDV65574 RNR65568:RNR65574 RXN65568:RXN65574 SHJ65568:SHJ65574 SRF65568:SRF65574 TBB65568:TBB65574 TKX65568:TKX65574 TUT65568:TUT65574 UEP65568:UEP65574 UOL65568:UOL65574 UYH65568:UYH65574 VID65568:VID65574 VRZ65568:VRZ65574 WBV65568:WBV65574 WLR65568:WLR65574 WVN65568:WVN65574 F131104:F131110 JB131104:JB131110 SX131104:SX131110 ACT131104:ACT131110 AMP131104:AMP131110 AWL131104:AWL131110 BGH131104:BGH131110 BQD131104:BQD131110 BZZ131104:BZZ131110 CJV131104:CJV131110 CTR131104:CTR131110 DDN131104:DDN131110 DNJ131104:DNJ131110 DXF131104:DXF131110 EHB131104:EHB131110 EQX131104:EQX131110 FAT131104:FAT131110 FKP131104:FKP131110 FUL131104:FUL131110 GEH131104:GEH131110 GOD131104:GOD131110 GXZ131104:GXZ131110 HHV131104:HHV131110 HRR131104:HRR131110 IBN131104:IBN131110 ILJ131104:ILJ131110 IVF131104:IVF131110 JFB131104:JFB131110 JOX131104:JOX131110 JYT131104:JYT131110 KIP131104:KIP131110 KSL131104:KSL131110 LCH131104:LCH131110 LMD131104:LMD131110 LVZ131104:LVZ131110 MFV131104:MFV131110 MPR131104:MPR131110 MZN131104:MZN131110 NJJ131104:NJJ131110 NTF131104:NTF131110 ODB131104:ODB131110 OMX131104:OMX131110 OWT131104:OWT131110 PGP131104:PGP131110 PQL131104:PQL131110 QAH131104:QAH131110 QKD131104:QKD131110 QTZ131104:QTZ131110 RDV131104:RDV131110 RNR131104:RNR131110 RXN131104:RXN131110 SHJ131104:SHJ131110 SRF131104:SRF131110 TBB131104:TBB131110 TKX131104:TKX131110 TUT131104:TUT131110 UEP131104:UEP131110 UOL131104:UOL131110 UYH131104:UYH131110 VID131104:VID131110 VRZ131104:VRZ131110 WBV131104:WBV131110 WLR131104:WLR131110 WVN131104:WVN131110 F196640:F196646 JB196640:JB196646 SX196640:SX196646 ACT196640:ACT196646 AMP196640:AMP196646 AWL196640:AWL196646 BGH196640:BGH196646 BQD196640:BQD196646 BZZ196640:BZZ196646 CJV196640:CJV196646 CTR196640:CTR196646 DDN196640:DDN196646 DNJ196640:DNJ196646 DXF196640:DXF196646 EHB196640:EHB196646 EQX196640:EQX196646 FAT196640:FAT196646 FKP196640:FKP196646 FUL196640:FUL196646 GEH196640:GEH196646 GOD196640:GOD196646 GXZ196640:GXZ196646 HHV196640:HHV196646 HRR196640:HRR196646 IBN196640:IBN196646 ILJ196640:ILJ196646 IVF196640:IVF196646 JFB196640:JFB196646 JOX196640:JOX196646 JYT196640:JYT196646 KIP196640:KIP196646 KSL196640:KSL196646 LCH196640:LCH196646 LMD196640:LMD196646 LVZ196640:LVZ196646 MFV196640:MFV196646 MPR196640:MPR196646 MZN196640:MZN196646 NJJ196640:NJJ196646 NTF196640:NTF196646 ODB196640:ODB196646 OMX196640:OMX196646 OWT196640:OWT196646 PGP196640:PGP196646 PQL196640:PQL196646 QAH196640:QAH196646 QKD196640:QKD196646 QTZ196640:QTZ196646 RDV196640:RDV196646 RNR196640:RNR196646 RXN196640:RXN196646 SHJ196640:SHJ196646 SRF196640:SRF196646 TBB196640:TBB196646 TKX196640:TKX196646 TUT196640:TUT196646 UEP196640:UEP196646 UOL196640:UOL196646 UYH196640:UYH196646 VID196640:VID196646 VRZ196640:VRZ196646 WBV196640:WBV196646 WLR196640:WLR196646 WVN196640:WVN196646 F262176:F262182 JB262176:JB262182 SX262176:SX262182 ACT262176:ACT262182 AMP262176:AMP262182 AWL262176:AWL262182 BGH262176:BGH262182 BQD262176:BQD262182 BZZ262176:BZZ262182 CJV262176:CJV262182 CTR262176:CTR262182 DDN262176:DDN262182 DNJ262176:DNJ262182 DXF262176:DXF262182 EHB262176:EHB262182 EQX262176:EQX262182 FAT262176:FAT262182 FKP262176:FKP262182 FUL262176:FUL262182 GEH262176:GEH262182 GOD262176:GOD262182 GXZ262176:GXZ262182 HHV262176:HHV262182 HRR262176:HRR262182 IBN262176:IBN262182 ILJ262176:ILJ262182 IVF262176:IVF262182 JFB262176:JFB262182 JOX262176:JOX262182 JYT262176:JYT262182 KIP262176:KIP262182 KSL262176:KSL262182 LCH262176:LCH262182 LMD262176:LMD262182 LVZ262176:LVZ262182 MFV262176:MFV262182 MPR262176:MPR262182 MZN262176:MZN262182 NJJ262176:NJJ262182 NTF262176:NTF262182 ODB262176:ODB262182 OMX262176:OMX262182 OWT262176:OWT262182 PGP262176:PGP262182 PQL262176:PQL262182 QAH262176:QAH262182 QKD262176:QKD262182 QTZ262176:QTZ262182 RDV262176:RDV262182 RNR262176:RNR262182 RXN262176:RXN262182 SHJ262176:SHJ262182 SRF262176:SRF262182 TBB262176:TBB262182 TKX262176:TKX262182 TUT262176:TUT262182 UEP262176:UEP262182 UOL262176:UOL262182 UYH262176:UYH262182 VID262176:VID262182 VRZ262176:VRZ262182 WBV262176:WBV262182 WLR262176:WLR262182 WVN262176:WVN262182 F327712:F327718 JB327712:JB327718 SX327712:SX327718 ACT327712:ACT327718 AMP327712:AMP327718 AWL327712:AWL327718 BGH327712:BGH327718 BQD327712:BQD327718 BZZ327712:BZZ327718 CJV327712:CJV327718 CTR327712:CTR327718 DDN327712:DDN327718 DNJ327712:DNJ327718 DXF327712:DXF327718 EHB327712:EHB327718 EQX327712:EQX327718 FAT327712:FAT327718 FKP327712:FKP327718 FUL327712:FUL327718 GEH327712:GEH327718 GOD327712:GOD327718 GXZ327712:GXZ327718 HHV327712:HHV327718 HRR327712:HRR327718 IBN327712:IBN327718 ILJ327712:ILJ327718 IVF327712:IVF327718 JFB327712:JFB327718 JOX327712:JOX327718 JYT327712:JYT327718 KIP327712:KIP327718 KSL327712:KSL327718 LCH327712:LCH327718 LMD327712:LMD327718 LVZ327712:LVZ327718 MFV327712:MFV327718 MPR327712:MPR327718 MZN327712:MZN327718 NJJ327712:NJJ327718 NTF327712:NTF327718 ODB327712:ODB327718 OMX327712:OMX327718 OWT327712:OWT327718 PGP327712:PGP327718 PQL327712:PQL327718 QAH327712:QAH327718 QKD327712:QKD327718 QTZ327712:QTZ327718 RDV327712:RDV327718 RNR327712:RNR327718 RXN327712:RXN327718 SHJ327712:SHJ327718 SRF327712:SRF327718 TBB327712:TBB327718 TKX327712:TKX327718 TUT327712:TUT327718 UEP327712:UEP327718 UOL327712:UOL327718 UYH327712:UYH327718 VID327712:VID327718 VRZ327712:VRZ327718 WBV327712:WBV327718 WLR327712:WLR327718 WVN327712:WVN327718 F393248:F393254 JB393248:JB393254 SX393248:SX393254 ACT393248:ACT393254 AMP393248:AMP393254 AWL393248:AWL393254 BGH393248:BGH393254 BQD393248:BQD393254 BZZ393248:BZZ393254 CJV393248:CJV393254 CTR393248:CTR393254 DDN393248:DDN393254 DNJ393248:DNJ393254 DXF393248:DXF393254 EHB393248:EHB393254 EQX393248:EQX393254 FAT393248:FAT393254 FKP393248:FKP393254 FUL393248:FUL393254 GEH393248:GEH393254 GOD393248:GOD393254 GXZ393248:GXZ393254 HHV393248:HHV393254 HRR393248:HRR393254 IBN393248:IBN393254 ILJ393248:ILJ393254 IVF393248:IVF393254 JFB393248:JFB393254 JOX393248:JOX393254 JYT393248:JYT393254 KIP393248:KIP393254 KSL393248:KSL393254 LCH393248:LCH393254 LMD393248:LMD393254 LVZ393248:LVZ393254 MFV393248:MFV393254 MPR393248:MPR393254 MZN393248:MZN393254 NJJ393248:NJJ393254 NTF393248:NTF393254 ODB393248:ODB393254 OMX393248:OMX393254 OWT393248:OWT393254 PGP393248:PGP393254 PQL393248:PQL393254 QAH393248:QAH393254 QKD393248:QKD393254 QTZ393248:QTZ393254 RDV393248:RDV393254 RNR393248:RNR393254 RXN393248:RXN393254 SHJ393248:SHJ393254 SRF393248:SRF393254 TBB393248:TBB393254 TKX393248:TKX393254 TUT393248:TUT393254 UEP393248:UEP393254 UOL393248:UOL393254 UYH393248:UYH393254 VID393248:VID393254 VRZ393248:VRZ393254 WBV393248:WBV393254 WLR393248:WLR393254 WVN393248:WVN393254 F458784:F458790 JB458784:JB458790 SX458784:SX458790 ACT458784:ACT458790 AMP458784:AMP458790 AWL458784:AWL458790 BGH458784:BGH458790 BQD458784:BQD458790 BZZ458784:BZZ458790 CJV458784:CJV458790 CTR458784:CTR458790 DDN458784:DDN458790 DNJ458784:DNJ458790 DXF458784:DXF458790 EHB458784:EHB458790 EQX458784:EQX458790 FAT458784:FAT458790 FKP458784:FKP458790 FUL458784:FUL458790 GEH458784:GEH458790 GOD458784:GOD458790 GXZ458784:GXZ458790 HHV458784:HHV458790 HRR458784:HRR458790 IBN458784:IBN458790 ILJ458784:ILJ458790 IVF458784:IVF458790 JFB458784:JFB458790 JOX458784:JOX458790 JYT458784:JYT458790 KIP458784:KIP458790 KSL458784:KSL458790 LCH458784:LCH458790 LMD458784:LMD458790 LVZ458784:LVZ458790 MFV458784:MFV458790 MPR458784:MPR458790 MZN458784:MZN458790 NJJ458784:NJJ458790 NTF458784:NTF458790 ODB458784:ODB458790 OMX458784:OMX458790 OWT458784:OWT458790 PGP458784:PGP458790 PQL458784:PQL458790 QAH458784:QAH458790 QKD458784:QKD458790 QTZ458784:QTZ458790 RDV458784:RDV458790 RNR458784:RNR458790 RXN458784:RXN458790 SHJ458784:SHJ458790 SRF458784:SRF458790 TBB458784:TBB458790 TKX458784:TKX458790 TUT458784:TUT458790 UEP458784:UEP458790 UOL458784:UOL458790 UYH458784:UYH458790 VID458784:VID458790 VRZ458784:VRZ458790 WBV458784:WBV458790 WLR458784:WLR458790 WVN458784:WVN458790 F524320:F524326 JB524320:JB524326 SX524320:SX524326 ACT524320:ACT524326 AMP524320:AMP524326 AWL524320:AWL524326 BGH524320:BGH524326 BQD524320:BQD524326 BZZ524320:BZZ524326 CJV524320:CJV524326 CTR524320:CTR524326 DDN524320:DDN524326 DNJ524320:DNJ524326 DXF524320:DXF524326 EHB524320:EHB524326 EQX524320:EQX524326 FAT524320:FAT524326 FKP524320:FKP524326 FUL524320:FUL524326 GEH524320:GEH524326 GOD524320:GOD524326 GXZ524320:GXZ524326 HHV524320:HHV524326 HRR524320:HRR524326 IBN524320:IBN524326 ILJ524320:ILJ524326 IVF524320:IVF524326 JFB524320:JFB524326 JOX524320:JOX524326 JYT524320:JYT524326 KIP524320:KIP524326 KSL524320:KSL524326 LCH524320:LCH524326 LMD524320:LMD524326 LVZ524320:LVZ524326 MFV524320:MFV524326 MPR524320:MPR524326 MZN524320:MZN524326 NJJ524320:NJJ524326 NTF524320:NTF524326 ODB524320:ODB524326 OMX524320:OMX524326 OWT524320:OWT524326 PGP524320:PGP524326 PQL524320:PQL524326 QAH524320:QAH524326 QKD524320:QKD524326 QTZ524320:QTZ524326 RDV524320:RDV524326 RNR524320:RNR524326 RXN524320:RXN524326 SHJ524320:SHJ524326 SRF524320:SRF524326 TBB524320:TBB524326 TKX524320:TKX524326 TUT524320:TUT524326 UEP524320:UEP524326 UOL524320:UOL524326 UYH524320:UYH524326 VID524320:VID524326 VRZ524320:VRZ524326 WBV524320:WBV524326 WLR524320:WLR524326 WVN524320:WVN524326 F589856:F589862 JB589856:JB589862 SX589856:SX589862 ACT589856:ACT589862 AMP589856:AMP589862 AWL589856:AWL589862 BGH589856:BGH589862 BQD589856:BQD589862 BZZ589856:BZZ589862 CJV589856:CJV589862 CTR589856:CTR589862 DDN589856:DDN589862 DNJ589856:DNJ589862 DXF589856:DXF589862 EHB589856:EHB589862 EQX589856:EQX589862 FAT589856:FAT589862 FKP589856:FKP589862 FUL589856:FUL589862 GEH589856:GEH589862 GOD589856:GOD589862 GXZ589856:GXZ589862 HHV589856:HHV589862 HRR589856:HRR589862 IBN589856:IBN589862 ILJ589856:ILJ589862 IVF589856:IVF589862 JFB589856:JFB589862 JOX589856:JOX589862 JYT589856:JYT589862 KIP589856:KIP589862 KSL589856:KSL589862 LCH589856:LCH589862 LMD589856:LMD589862 LVZ589856:LVZ589862 MFV589856:MFV589862 MPR589856:MPR589862 MZN589856:MZN589862 NJJ589856:NJJ589862 NTF589856:NTF589862 ODB589856:ODB589862 OMX589856:OMX589862 OWT589856:OWT589862 PGP589856:PGP589862 PQL589856:PQL589862 QAH589856:QAH589862 QKD589856:QKD589862 QTZ589856:QTZ589862 RDV589856:RDV589862 RNR589856:RNR589862 RXN589856:RXN589862 SHJ589856:SHJ589862 SRF589856:SRF589862 TBB589856:TBB589862 TKX589856:TKX589862 TUT589856:TUT589862 UEP589856:UEP589862 UOL589856:UOL589862 UYH589856:UYH589862 VID589856:VID589862 VRZ589856:VRZ589862 WBV589856:WBV589862 WLR589856:WLR589862 WVN589856:WVN589862 F655392:F655398 JB655392:JB655398 SX655392:SX655398 ACT655392:ACT655398 AMP655392:AMP655398 AWL655392:AWL655398 BGH655392:BGH655398 BQD655392:BQD655398 BZZ655392:BZZ655398 CJV655392:CJV655398 CTR655392:CTR655398 DDN655392:DDN655398 DNJ655392:DNJ655398 DXF655392:DXF655398 EHB655392:EHB655398 EQX655392:EQX655398 FAT655392:FAT655398 FKP655392:FKP655398 FUL655392:FUL655398 GEH655392:GEH655398 GOD655392:GOD655398 GXZ655392:GXZ655398 HHV655392:HHV655398 HRR655392:HRR655398 IBN655392:IBN655398 ILJ655392:ILJ655398 IVF655392:IVF655398 JFB655392:JFB655398 JOX655392:JOX655398 JYT655392:JYT655398 KIP655392:KIP655398 KSL655392:KSL655398 LCH655392:LCH655398 LMD655392:LMD655398 LVZ655392:LVZ655398 MFV655392:MFV655398 MPR655392:MPR655398 MZN655392:MZN655398 NJJ655392:NJJ655398 NTF655392:NTF655398 ODB655392:ODB655398 OMX655392:OMX655398 OWT655392:OWT655398 PGP655392:PGP655398 PQL655392:PQL655398 QAH655392:QAH655398 QKD655392:QKD655398 QTZ655392:QTZ655398 RDV655392:RDV655398 RNR655392:RNR655398 RXN655392:RXN655398 SHJ655392:SHJ655398 SRF655392:SRF655398 TBB655392:TBB655398 TKX655392:TKX655398 TUT655392:TUT655398 UEP655392:UEP655398 UOL655392:UOL655398 UYH655392:UYH655398 VID655392:VID655398 VRZ655392:VRZ655398 WBV655392:WBV655398 WLR655392:WLR655398 WVN655392:WVN655398 F720928:F720934 JB720928:JB720934 SX720928:SX720934 ACT720928:ACT720934 AMP720928:AMP720934 AWL720928:AWL720934 BGH720928:BGH720934 BQD720928:BQD720934 BZZ720928:BZZ720934 CJV720928:CJV720934 CTR720928:CTR720934 DDN720928:DDN720934 DNJ720928:DNJ720934 DXF720928:DXF720934 EHB720928:EHB720934 EQX720928:EQX720934 FAT720928:FAT720934 FKP720928:FKP720934 FUL720928:FUL720934 GEH720928:GEH720934 GOD720928:GOD720934 GXZ720928:GXZ720934 HHV720928:HHV720934 HRR720928:HRR720934 IBN720928:IBN720934 ILJ720928:ILJ720934 IVF720928:IVF720934 JFB720928:JFB720934 JOX720928:JOX720934 JYT720928:JYT720934 KIP720928:KIP720934 KSL720928:KSL720934 LCH720928:LCH720934 LMD720928:LMD720934 LVZ720928:LVZ720934 MFV720928:MFV720934 MPR720928:MPR720934 MZN720928:MZN720934 NJJ720928:NJJ720934 NTF720928:NTF720934 ODB720928:ODB720934 OMX720928:OMX720934 OWT720928:OWT720934 PGP720928:PGP720934 PQL720928:PQL720934 QAH720928:QAH720934 QKD720928:QKD720934 QTZ720928:QTZ720934 RDV720928:RDV720934 RNR720928:RNR720934 RXN720928:RXN720934 SHJ720928:SHJ720934 SRF720928:SRF720934 TBB720928:TBB720934 TKX720928:TKX720934 TUT720928:TUT720934 UEP720928:UEP720934 UOL720928:UOL720934 UYH720928:UYH720934 VID720928:VID720934 VRZ720928:VRZ720934 WBV720928:WBV720934 WLR720928:WLR720934 WVN720928:WVN720934 F786464:F786470 JB786464:JB786470 SX786464:SX786470 ACT786464:ACT786470 AMP786464:AMP786470 AWL786464:AWL786470 BGH786464:BGH786470 BQD786464:BQD786470 BZZ786464:BZZ786470 CJV786464:CJV786470 CTR786464:CTR786470 DDN786464:DDN786470 DNJ786464:DNJ786470 DXF786464:DXF786470 EHB786464:EHB786470 EQX786464:EQX786470 FAT786464:FAT786470 FKP786464:FKP786470 FUL786464:FUL786470 GEH786464:GEH786470 GOD786464:GOD786470 GXZ786464:GXZ786470 HHV786464:HHV786470 HRR786464:HRR786470 IBN786464:IBN786470 ILJ786464:ILJ786470 IVF786464:IVF786470 JFB786464:JFB786470 JOX786464:JOX786470 JYT786464:JYT786470 KIP786464:KIP786470 KSL786464:KSL786470 LCH786464:LCH786470 LMD786464:LMD786470 LVZ786464:LVZ786470 MFV786464:MFV786470 MPR786464:MPR786470 MZN786464:MZN786470 NJJ786464:NJJ786470 NTF786464:NTF786470 ODB786464:ODB786470 OMX786464:OMX786470 OWT786464:OWT786470 PGP786464:PGP786470 PQL786464:PQL786470 QAH786464:QAH786470 QKD786464:QKD786470 QTZ786464:QTZ786470 RDV786464:RDV786470 RNR786464:RNR786470 RXN786464:RXN786470 SHJ786464:SHJ786470 SRF786464:SRF786470 TBB786464:TBB786470 TKX786464:TKX786470 TUT786464:TUT786470 UEP786464:UEP786470 UOL786464:UOL786470 UYH786464:UYH786470 VID786464:VID786470 VRZ786464:VRZ786470 WBV786464:WBV786470 WLR786464:WLR786470 WVN786464:WVN786470 F852000:F852006 JB852000:JB852006 SX852000:SX852006 ACT852000:ACT852006 AMP852000:AMP852006 AWL852000:AWL852006 BGH852000:BGH852006 BQD852000:BQD852006 BZZ852000:BZZ852006 CJV852000:CJV852006 CTR852000:CTR852006 DDN852000:DDN852006 DNJ852000:DNJ852006 DXF852000:DXF852006 EHB852000:EHB852006 EQX852000:EQX852006 FAT852000:FAT852006 FKP852000:FKP852006 FUL852000:FUL852006 GEH852000:GEH852006 GOD852000:GOD852006 GXZ852000:GXZ852006 HHV852000:HHV852006 HRR852000:HRR852006 IBN852000:IBN852006 ILJ852000:ILJ852006 IVF852000:IVF852006 JFB852000:JFB852006 JOX852000:JOX852006 JYT852000:JYT852006 KIP852000:KIP852006 KSL852000:KSL852006 LCH852000:LCH852006 LMD852000:LMD852006 LVZ852000:LVZ852006 MFV852000:MFV852006 MPR852000:MPR852006 MZN852000:MZN852006 NJJ852000:NJJ852006 NTF852000:NTF852006 ODB852000:ODB852006 OMX852000:OMX852006 OWT852000:OWT852006 PGP852000:PGP852006 PQL852000:PQL852006 QAH852000:QAH852006 QKD852000:QKD852006 QTZ852000:QTZ852006 RDV852000:RDV852006 RNR852000:RNR852006 RXN852000:RXN852006 SHJ852000:SHJ852006 SRF852000:SRF852006 TBB852000:TBB852006 TKX852000:TKX852006 TUT852000:TUT852006 UEP852000:UEP852006 UOL852000:UOL852006 UYH852000:UYH852006 VID852000:VID852006 VRZ852000:VRZ852006 WBV852000:WBV852006 WLR852000:WLR852006 WVN852000:WVN852006 F917536:F917542 JB917536:JB917542 SX917536:SX917542 ACT917536:ACT917542 AMP917536:AMP917542 AWL917536:AWL917542 BGH917536:BGH917542 BQD917536:BQD917542 BZZ917536:BZZ917542 CJV917536:CJV917542 CTR917536:CTR917542 DDN917536:DDN917542 DNJ917536:DNJ917542 DXF917536:DXF917542 EHB917536:EHB917542 EQX917536:EQX917542 FAT917536:FAT917542 FKP917536:FKP917542 FUL917536:FUL917542 GEH917536:GEH917542 GOD917536:GOD917542 GXZ917536:GXZ917542 HHV917536:HHV917542 HRR917536:HRR917542 IBN917536:IBN917542 ILJ917536:ILJ917542 IVF917536:IVF917542 JFB917536:JFB917542 JOX917536:JOX917542 JYT917536:JYT917542 KIP917536:KIP917542 KSL917536:KSL917542 LCH917536:LCH917542 LMD917536:LMD917542 LVZ917536:LVZ917542 MFV917536:MFV917542 MPR917536:MPR917542 MZN917536:MZN917542 NJJ917536:NJJ917542 NTF917536:NTF917542 ODB917536:ODB917542 OMX917536:OMX917542 OWT917536:OWT917542 PGP917536:PGP917542 PQL917536:PQL917542 QAH917536:QAH917542 QKD917536:QKD917542 QTZ917536:QTZ917542 RDV917536:RDV917542 RNR917536:RNR917542 RXN917536:RXN917542 SHJ917536:SHJ917542 SRF917536:SRF917542 TBB917536:TBB917542 TKX917536:TKX917542 TUT917536:TUT917542 UEP917536:UEP917542 UOL917536:UOL917542 UYH917536:UYH917542 VID917536:VID917542 VRZ917536:VRZ917542 WBV917536:WBV917542 WLR917536:WLR917542 WVN917536:WVN917542 F983072:F983078 JB983072:JB983078 SX983072:SX983078 ACT983072:ACT983078 AMP983072:AMP983078 AWL983072:AWL983078 BGH983072:BGH983078 BQD983072:BQD983078 BZZ983072:BZZ983078 CJV983072:CJV983078 CTR983072:CTR983078 DDN983072:DDN983078 DNJ983072:DNJ983078 DXF983072:DXF983078 EHB983072:EHB983078 EQX983072:EQX983078 FAT983072:FAT983078 FKP983072:FKP983078 FUL983072:FUL983078 GEH983072:GEH983078 GOD983072:GOD983078 GXZ983072:GXZ983078 HHV983072:HHV983078 HRR983072:HRR983078 IBN983072:IBN983078 ILJ983072:ILJ983078 IVF983072:IVF983078 JFB983072:JFB983078 JOX983072:JOX983078 JYT983072:JYT983078 KIP983072:KIP983078 KSL983072:KSL983078 LCH983072:LCH983078 LMD983072:LMD983078 LVZ983072:LVZ983078 MFV983072:MFV983078 MPR983072:MPR983078 MZN983072:MZN983078 NJJ983072:NJJ983078 NTF983072:NTF983078 ODB983072:ODB983078 OMX983072:OMX983078 OWT983072:OWT983078 PGP983072:PGP983078 PQL983072:PQL983078 QAH983072:QAH983078 QKD983072:QKD983078 QTZ983072:QTZ983078 RDV983072:RDV983078 RNR983072:RNR983078 RXN983072:RXN983078 SHJ983072:SHJ983078 SRF983072:SRF983078 TBB983072:TBB983078 TKX983072:TKX983078 TUT983072:TUT983078 UEP983072:UEP983078 UOL983072:UOL983078 UYH983072:UYH983078 VID983072:VID983078 VRZ983072:VRZ983078 WBV983072:WBV983078 WLR983072:WLR983078 WVN983072:WVN983078 F32:F38 JE32:JE38 TA32:TA38 ACW32:ACW38 AMS32:AMS38 AWO32:AWO38 BGK32:BGK38 BQG32:BQG38 CAC32:CAC38 CJY32:CJY38 CTU32:CTU38 DDQ32:DDQ38 DNM32:DNM38 DXI32:DXI38 EHE32:EHE38 ERA32:ERA38 FAW32:FAW38 FKS32:FKS38 FUO32:FUO38 GEK32:GEK38 GOG32:GOG38 GYC32:GYC38 HHY32:HHY38 HRU32:HRU38 IBQ32:IBQ38 ILM32:ILM38 IVI32:IVI38 JFE32:JFE38 JPA32:JPA38 JYW32:JYW38 KIS32:KIS38 KSO32:KSO38 LCK32:LCK38 LMG32:LMG38 LWC32:LWC38 MFY32:MFY38 MPU32:MPU38 MZQ32:MZQ38 NJM32:NJM38 NTI32:NTI38 ODE32:ODE38 ONA32:ONA38 OWW32:OWW38 PGS32:PGS38 PQO32:PQO38 QAK32:QAK38 QKG32:QKG38 QUC32:QUC38 RDY32:RDY38 RNU32:RNU38 RXQ32:RXQ38 SHM32:SHM38 SRI32:SRI38 TBE32:TBE38 TLA32:TLA38 TUW32:TUW38 UES32:UES38 UOO32:UOO38 UYK32:UYK38 VIG32:VIG38 VSC32:VSC38 WBY32:WBY38 WLU32:WLU38 WVQ32:WVQ38 I65568:I65574 JE65568:JE65574 TA65568:TA65574 ACW65568:ACW65574 AMS65568:AMS65574 AWO65568:AWO65574 BGK65568:BGK65574 BQG65568:BQG65574 CAC65568:CAC65574 CJY65568:CJY65574 CTU65568:CTU65574 DDQ65568:DDQ65574 DNM65568:DNM65574 DXI65568:DXI65574 EHE65568:EHE65574 ERA65568:ERA65574 FAW65568:FAW65574 FKS65568:FKS65574 FUO65568:FUO65574 GEK65568:GEK65574 GOG65568:GOG65574 GYC65568:GYC65574 HHY65568:HHY65574 HRU65568:HRU65574 IBQ65568:IBQ65574 ILM65568:ILM65574 IVI65568:IVI65574 JFE65568:JFE65574 JPA65568:JPA65574 JYW65568:JYW65574 KIS65568:KIS65574 KSO65568:KSO65574 LCK65568:LCK65574 LMG65568:LMG65574 LWC65568:LWC65574 MFY65568:MFY65574 MPU65568:MPU65574 MZQ65568:MZQ65574 NJM65568:NJM65574 NTI65568:NTI65574 ODE65568:ODE65574 ONA65568:ONA65574 OWW65568:OWW65574 PGS65568:PGS65574 PQO65568:PQO65574 QAK65568:QAK65574 QKG65568:QKG65574 QUC65568:QUC65574 RDY65568:RDY65574 RNU65568:RNU65574 RXQ65568:RXQ65574 SHM65568:SHM65574 SRI65568:SRI65574 TBE65568:TBE65574 TLA65568:TLA65574 TUW65568:TUW65574 UES65568:UES65574 UOO65568:UOO65574 UYK65568:UYK65574 VIG65568:VIG65574 VSC65568:VSC65574 WBY65568:WBY65574 WLU65568:WLU65574 WVQ65568:WVQ65574 I131104:I131110 JE131104:JE131110 TA131104:TA131110 ACW131104:ACW131110 AMS131104:AMS131110 AWO131104:AWO131110 BGK131104:BGK131110 BQG131104:BQG131110 CAC131104:CAC131110 CJY131104:CJY131110 CTU131104:CTU131110 DDQ131104:DDQ131110 DNM131104:DNM131110 DXI131104:DXI131110 EHE131104:EHE131110 ERA131104:ERA131110 FAW131104:FAW131110 FKS131104:FKS131110 FUO131104:FUO131110 GEK131104:GEK131110 GOG131104:GOG131110 GYC131104:GYC131110 HHY131104:HHY131110 HRU131104:HRU131110 IBQ131104:IBQ131110 ILM131104:ILM131110 IVI131104:IVI131110 JFE131104:JFE131110 JPA131104:JPA131110 JYW131104:JYW131110 KIS131104:KIS131110 KSO131104:KSO131110 LCK131104:LCK131110 LMG131104:LMG131110 LWC131104:LWC131110 MFY131104:MFY131110 MPU131104:MPU131110 MZQ131104:MZQ131110 NJM131104:NJM131110 NTI131104:NTI131110 ODE131104:ODE131110 ONA131104:ONA131110 OWW131104:OWW131110 PGS131104:PGS131110 PQO131104:PQO131110 QAK131104:QAK131110 QKG131104:QKG131110 QUC131104:QUC131110 RDY131104:RDY131110 RNU131104:RNU131110 RXQ131104:RXQ131110 SHM131104:SHM131110 SRI131104:SRI131110 TBE131104:TBE131110 TLA131104:TLA131110 TUW131104:TUW131110 UES131104:UES131110 UOO131104:UOO131110 UYK131104:UYK131110 VIG131104:VIG131110 VSC131104:VSC131110 WBY131104:WBY131110 WLU131104:WLU131110 WVQ131104:WVQ131110 I196640:I196646 JE196640:JE196646 TA196640:TA196646 ACW196640:ACW196646 AMS196640:AMS196646 AWO196640:AWO196646 BGK196640:BGK196646 BQG196640:BQG196646 CAC196640:CAC196646 CJY196640:CJY196646 CTU196640:CTU196646 DDQ196640:DDQ196646 DNM196640:DNM196646 DXI196640:DXI196646 EHE196640:EHE196646 ERA196640:ERA196646 FAW196640:FAW196646 FKS196640:FKS196646 FUO196640:FUO196646 GEK196640:GEK196646 GOG196640:GOG196646 GYC196640:GYC196646 HHY196640:HHY196646 HRU196640:HRU196646 IBQ196640:IBQ196646 ILM196640:ILM196646 IVI196640:IVI196646 JFE196640:JFE196646 JPA196640:JPA196646 JYW196640:JYW196646 KIS196640:KIS196646 KSO196640:KSO196646 LCK196640:LCK196646 LMG196640:LMG196646 LWC196640:LWC196646 MFY196640:MFY196646 MPU196640:MPU196646 MZQ196640:MZQ196646 NJM196640:NJM196646 NTI196640:NTI196646 ODE196640:ODE196646 ONA196640:ONA196646 OWW196640:OWW196646 PGS196640:PGS196646 PQO196640:PQO196646 QAK196640:QAK196646 QKG196640:QKG196646 QUC196640:QUC196646 RDY196640:RDY196646 RNU196640:RNU196646 RXQ196640:RXQ196646 SHM196640:SHM196646 SRI196640:SRI196646 TBE196640:TBE196646 TLA196640:TLA196646 TUW196640:TUW196646 UES196640:UES196646 UOO196640:UOO196646 UYK196640:UYK196646 VIG196640:VIG196646 VSC196640:VSC196646 WBY196640:WBY196646 WLU196640:WLU196646 WVQ196640:WVQ196646 I262176:I262182 JE262176:JE262182 TA262176:TA262182 ACW262176:ACW262182 AMS262176:AMS262182 AWO262176:AWO262182 BGK262176:BGK262182 BQG262176:BQG262182 CAC262176:CAC262182 CJY262176:CJY262182 CTU262176:CTU262182 DDQ262176:DDQ262182 DNM262176:DNM262182 DXI262176:DXI262182 EHE262176:EHE262182 ERA262176:ERA262182 FAW262176:FAW262182 FKS262176:FKS262182 FUO262176:FUO262182 GEK262176:GEK262182 GOG262176:GOG262182 GYC262176:GYC262182 HHY262176:HHY262182 HRU262176:HRU262182 IBQ262176:IBQ262182 ILM262176:ILM262182 IVI262176:IVI262182 JFE262176:JFE262182 JPA262176:JPA262182 JYW262176:JYW262182 KIS262176:KIS262182 KSO262176:KSO262182 LCK262176:LCK262182 LMG262176:LMG262182 LWC262176:LWC262182 MFY262176:MFY262182 MPU262176:MPU262182 MZQ262176:MZQ262182 NJM262176:NJM262182 NTI262176:NTI262182 ODE262176:ODE262182 ONA262176:ONA262182 OWW262176:OWW262182 PGS262176:PGS262182 PQO262176:PQO262182 QAK262176:QAK262182 QKG262176:QKG262182 QUC262176:QUC262182 RDY262176:RDY262182 RNU262176:RNU262182 RXQ262176:RXQ262182 SHM262176:SHM262182 SRI262176:SRI262182 TBE262176:TBE262182 TLA262176:TLA262182 TUW262176:TUW262182 UES262176:UES262182 UOO262176:UOO262182 UYK262176:UYK262182 VIG262176:VIG262182 VSC262176:VSC262182 WBY262176:WBY262182 WLU262176:WLU262182 WVQ262176:WVQ262182 I327712:I327718 JE327712:JE327718 TA327712:TA327718 ACW327712:ACW327718 AMS327712:AMS327718 AWO327712:AWO327718 BGK327712:BGK327718 BQG327712:BQG327718 CAC327712:CAC327718 CJY327712:CJY327718 CTU327712:CTU327718 DDQ327712:DDQ327718 DNM327712:DNM327718 DXI327712:DXI327718 EHE327712:EHE327718 ERA327712:ERA327718 FAW327712:FAW327718 FKS327712:FKS327718 FUO327712:FUO327718 GEK327712:GEK327718 GOG327712:GOG327718 GYC327712:GYC327718 HHY327712:HHY327718 HRU327712:HRU327718 IBQ327712:IBQ327718 ILM327712:ILM327718 IVI327712:IVI327718 JFE327712:JFE327718 JPA327712:JPA327718 JYW327712:JYW327718 KIS327712:KIS327718 KSO327712:KSO327718 LCK327712:LCK327718 LMG327712:LMG327718 LWC327712:LWC327718 MFY327712:MFY327718 MPU327712:MPU327718 MZQ327712:MZQ327718 NJM327712:NJM327718 NTI327712:NTI327718 ODE327712:ODE327718 ONA327712:ONA327718 OWW327712:OWW327718 PGS327712:PGS327718 PQO327712:PQO327718 QAK327712:QAK327718 QKG327712:QKG327718 QUC327712:QUC327718 RDY327712:RDY327718 RNU327712:RNU327718 RXQ327712:RXQ327718 SHM327712:SHM327718 SRI327712:SRI327718 TBE327712:TBE327718 TLA327712:TLA327718 TUW327712:TUW327718 UES327712:UES327718 UOO327712:UOO327718 UYK327712:UYK327718 VIG327712:VIG327718 VSC327712:VSC327718 WBY327712:WBY327718 WLU327712:WLU327718 WVQ327712:WVQ327718 I393248:I393254 JE393248:JE393254 TA393248:TA393254 ACW393248:ACW393254 AMS393248:AMS393254 AWO393248:AWO393254 BGK393248:BGK393254 BQG393248:BQG393254 CAC393248:CAC393254 CJY393248:CJY393254 CTU393248:CTU393254 DDQ393248:DDQ393254 DNM393248:DNM393254 DXI393248:DXI393254 EHE393248:EHE393254 ERA393248:ERA393254 FAW393248:FAW393254 FKS393248:FKS393254 FUO393248:FUO393254 GEK393248:GEK393254 GOG393248:GOG393254 GYC393248:GYC393254 HHY393248:HHY393254 HRU393248:HRU393254 IBQ393248:IBQ393254 ILM393248:ILM393254 IVI393248:IVI393254 JFE393248:JFE393254 JPA393248:JPA393254 JYW393248:JYW393254 KIS393248:KIS393254 KSO393248:KSO393254 LCK393248:LCK393254 LMG393248:LMG393254 LWC393248:LWC393254 MFY393248:MFY393254 MPU393248:MPU393254 MZQ393248:MZQ393254 NJM393248:NJM393254 NTI393248:NTI393254 ODE393248:ODE393254 ONA393248:ONA393254 OWW393248:OWW393254 PGS393248:PGS393254 PQO393248:PQO393254 QAK393248:QAK393254 QKG393248:QKG393254 QUC393248:QUC393254 RDY393248:RDY393254 RNU393248:RNU393254 RXQ393248:RXQ393254 SHM393248:SHM393254 SRI393248:SRI393254 TBE393248:TBE393254 TLA393248:TLA393254 TUW393248:TUW393254 UES393248:UES393254 UOO393248:UOO393254 UYK393248:UYK393254 VIG393248:VIG393254 VSC393248:VSC393254 WBY393248:WBY393254 WLU393248:WLU393254 WVQ393248:WVQ393254 I458784:I458790 JE458784:JE458790 TA458784:TA458790 ACW458784:ACW458790 AMS458784:AMS458790 AWO458784:AWO458790 BGK458784:BGK458790 BQG458784:BQG458790 CAC458784:CAC458790 CJY458784:CJY458790 CTU458784:CTU458790 DDQ458784:DDQ458790 DNM458784:DNM458790 DXI458784:DXI458790 EHE458784:EHE458790 ERA458784:ERA458790 FAW458784:FAW458790 FKS458784:FKS458790 FUO458784:FUO458790 GEK458784:GEK458790 GOG458784:GOG458790 GYC458784:GYC458790 HHY458784:HHY458790 HRU458784:HRU458790 IBQ458784:IBQ458790 ILM458784:ILM458790 IVI458784:IVI458790 JFE458784:JFE458790 JPA458784:JPA458790 JYW458784:JYW458790 KIS458784:KIS458790 KSO458784:KSO458790 LCK458784:LCK458790 LMG458784:LMG458790 LWC458784:LWC458790 MFY458784:MFY458790 MPU458784:MPU458790 MZQ458784:MZQ458790 NJM458784:NJM458790 NTI458784:NTI458790 ODE458784:ODE458790 ONA458784:ONA458790 OWW458784:OWW458790 PGS458784:PGS458790 PQO458784:PQO458790 QAK458784:QAK458790 QKG458784:QKG458790 QUC458784:QUC458790 RDY458784:RDY458790 RNU458784:RNU458790 RXQ458784:RXQ458790 SHM458784:SHM458790 SRI458784:SRI458790 TBE458784:TBE458790 TLA458784:TLA458790 TUW458784:TUW458790 UES458784:UES458790 UOO458784:UOO458790 UYK458784:UYK458790 VIG458784:VIG458790 VSC458784:VSC458790 WBY458784:WBY458790 WLU458784:WLU458790 WVQ458784:WVQ458790 I524320:I524326 JE524320:JE524326 TA524320:TA524326 ACW524320:ACW524326 AMS524320:AMS524326 AWO524320:AWO524326 BGK524320:BGK524326 BQG524320:BQG524326 CAC524320:CAC524326 CJY524320:CJY524326 CTU524320:CTU524326 DDQ524320:DDQ524326 DNM524320:DNM524326 DXI524320:DXI524326 EHE524320:EHE524326 ERA524320:ERA524326 FAW524320:FAW524326 FKS524320:FKS524326 FUO524320:FUO524326 GEK524320:GEK524326 GOG524320:GOG524326 GYC524320:GYC524326 HHY524320:HHY524326 HRU524320:HRU524326 IBQ524320:IBQ524326 ILM524320:ILM524326 IVI524320:IVI524326 JFE524320:JFE524326 JPA524320:JPA524326 JYW524320:JYW524326 KIS524320:KIS524326 KSO524320:KSO524326 LCK524320:LCK524326 LMG524320:LMG524326 LWC524320:LWC524326 MFY524320:MFY524326 MPU524320:MPU524326 MZQ524320:MZQ524326 NJM524320:NJM524326 NTI524320:NTI524326 ODE524320:ODE524326 ONA524320:ONA524326 OWW524320:OWW524326 PGS524320:PGS524326 PQO524320:PQO524326 QAK524320:QAK524326 QKG524320:QKG524326 QUC524320:QUC524326 RDY524320:RDY524326 RNU524320:RNU524326 RXQ524320:RXQ524326 SHM524320:SHM524326 SRI524320:SRI524326 TBE524320:TBE524326 TLA524320:TLA524326 TUW524320:TUW524326 UES524320:UES524326 UOO524320:UOO524326 UYK524320:UYK524326 VIG524320:VIG524326 VSC524320:VSC524326 WBY524320:WBY524326 WLU524320:WLU524326 WVQ524320:WVQ524326 I589856:I589862 JE589856:JE589862 TA589856:TA589862 ACW589856:ACW589862 AMS589856:AMS589862 AWO589856:AWO589862 BGK589856:BGK589862 BQG589856:BQG589862 CAC589856:CAC589862 CJY589856:CJY589862 CTU589856:CTU589862 DDQ589856:DDQ589862 DNM589856:DNM589862 DXI589856:DXI589862 EHE589856:EHE589862 ERA589856:ERA589862 FAW589856:FAW589862 FKS589856:FKS589862 FUO589856:FUO589862 GEK589856:GEK589862 GOG589856:GOG589862 GYC589856:GYC589862 HHY589856:HHY589862 HRU589856:HRU589862 IBQ589856:IBQ589862 ILM589856:ILM589862 IVI589856:IVI589862 JFE589856:JFE589862 JPA589856:JPA589862 JYW589856:JYW589862 KIS589856:KIS589862 KSO589856:KSO589862 LCK589856:LCK589862 LMG589856:LMG589862 LWC589856:LWC589862 MFY589856:MFY589862 MPU589856:MPU589862 MZQ589856:MZQ589862 NJM589856:NJM589862 NTI589856:NTI589862 ODE589856:ODE589862 ONA589856:ONA589862 OWW589856:OWW589862 PGS589856:PGS589862 PQO589856:PQO589862 QAK589856:QAK589862 QKG589856:QKG589862 QUC589856:QUC589862 RDY589856:RDY589862 RNU589856:RNU589862 RXQ589856:RXQ589862 SHM589856:SHM589862 SRI589856:SRI589862 TBE589856:TBE589862 TLA589856:TLA589862 TUW589856:TUW589862 UES589856:UES589862 UOO589856:UOO589862 UYK589856:UYK589862 VIG589856:VIG589862 VSC589856:VSC589862 WBY589856:WBY589862 WLU589856:WLU589862 WVQ589856:WVQ589862 I655392:I655398 JE655392:JE655398 TA655392:TA655398 ACW655392:ACW655398 AMS655392:AMS655398 AWO655392:AWO655398 BGK655392:BGK655398 BQG655392:BQG655398 CAC655392:CAC655398 CJY655392:CJY655398 CTU655392:CTU655398 DDQ655392:DDQ655398 DNM655392:DNM655398 DXI655392:DXI655398 EHE655392:EHE655398 ERA655392:ERA655398 FAW655392:FAW655398 FKS655392:FKS655398 FUO655392:FUO655398 GEK655392:GEK655398 GOG655392:GOG655398 GYC655392:GYC655398 HHY655392:HHY655398 HRU655392:HRU655398 IBQ655392:IBQ655398 ILM655392:ILM655398 IVI655392:IVI655398 JFE655392:JFE655398 JPA655392:JPA655398 JYW655392:JYW655398 KIS655392:KIS655398 KSO655392:KSO655398 LCK655392:LCK655398 LMG655392:LMG655398 LWC655392:LWC655398 MFY655392:MFY655398 MPU655392:MPU655398 MZQ655392:MZQ655398 NJM655392:NJM655398 NTI655392:NTI655398 ODE655392:ODE655398 ONA655392:ONA655398 OWW655392:OWW655398 PGS655392:PGS655398 PQO655392:PQO655398 QAK655392:QAK655398 QKG655392:QKG655398 QUC655392:QUC655398 RDY655392:RDY655398 RNU655392:RNU655398 RXQ655392:RXQ655398 SHM655392:SHM655398 SRI655392:SRI655398 TBE655392:TBE655398 TLA655392:TLA655398 TUW655392:TUW655398 UES655392:UES655398 UOO655392:UOO655398 UYK655392:UYK655398 VIG655392:VIG655398 VSC655392:VSC655398 WBY655392:WBY655398 WLU655392:WLU655398 WVQ655392:WVQ655398 I720928:I720934 JE720928:JE720934 TA720928:TA720934 ACW720928:ACW720934 AMS720928:AMS720934 AWO720928:AWO720934 BGK720928:BGK720934 BQG720928:BQG720934 CAC720928:CAC720934 CJY720928:CJY720934 CTU720928:CTU720934 DDQ720928:DDQ720934 DNM720928:DNM720934 DXI720928:DXI720934 EHE720928:EHE720934 ERA720928:ERA720934 FAW720928:FAW720934 FKS720928:FKS720934 FUO720928:FUO720934 GEK720928:GEK720934 GOG720928:GOG720934 GYC720928:GYC720934 HHY720928:HHY720934 HRU720928:HRU720934 IBQ720928:IBQ720934 ILM720928:ILM720934 IVI720928:IVI720934 JFE720928:JFE720934 JPA720928:JPA720934 JYW720928:JYW720934 KIS720928:KIS720934 KSO720928:KSO720934 LCK720928:LCK720934 LMG720928:LMG720934 LWC720928:LWC720934 MFY720928:MFY720934 MPU720928:MPU720934 MZQ720928:MZQ720934 NJM720928:NJM720934 NTI720928:NTI720934 ODE720928:ODE720934 ONA720928:ONA720934 OWW720928:OWW720934 PGS720928:PGS720934 PQO720928:PQO720934 QAK720928:QAK720934 QKG720928:QKG720934 QUC720928:QUC720934 RDY720928:RDY720934 RNU720928:RNU720934 RXQ720928:RXQ720934 SHM720928:SHM720934 SRI720928:SRI720934 TBE720928:TBE720934 TLA720928:TLA720934 TUW720928:TUW720934 UES720928:UES720934 UOO720928:UOO720934 UYK720928:UYK720934 VIG720928:VIG720934 VSC720928:VSC720934 WBY720928:WBY720934 WLU720928:WLU720934 WVQ720928:WVQ720934 I786464:I786470 JE786464:JE786470 TA786464:TA786470 ACW786464:ACW786470 AMS786464:AMS786470 AWO786464:AWO786470 BGK786464:BGK786470 BQG786464:BQG786470 CAC786464:CAC786470 CJY786464:CJY786470 CTU786464:CTU786470 DDQ786464:DDQ786470 DNM786464:DNM786470 DXI786464:DXI786470 EHE786464:EHE786470 ERA786464:ERA786470 FAW786464:FAW786470 FKS786464:FKS786470 FUO786464:FUO786470 GEK786464:GEK786470 GOG786464:GOG786470 GYC786464:GYC786470 HHY786464:HHY786470 HRU786464:HRU786470 IBQ786464:IBQ786470 ILM786464:ILM786470 IVI786464:IVI786470 JFE786464:JFE786470 JPA786464:JPA786470 JYW786464:JYW786470 KIS786464:KIS786470 KSO786464:KSO786470 LCK786464:LCK786470 LMG786464:LMG786470 LWC786464:LWC786470 MFY786464:MFY786470 MPU786464:MPU786470 MZQ786464:MZQ786470 NJM786464:NJM786470 NTI786464:NTI786470 ODE786464:ODE786470 ONA786464:ONA786470 OWW786464:OWW786470 PGS786464:PGS786470 PQO786464:PQO786470 QAK786464:QAK786470 QKG786464:QKG786470 QUC786464:QUC786470 RDY786464:RDY786470 RNU786464:RNU786470 RXQ786464:RXQ786470 SHM786464:SHM786470 SRI786464:SRI786470 TBE786464:TBE786470 TLA786464:TLA786470 TUW786464:TUW786470 UES786464:UES786470 UOO786464:UOO786470 UYK786464:UYK786470 VIG786464:VIG786470 VSC786464:VSC786470 WBY786464:WBY786470 WLU786464:WLU786470 WVQ786464:WVQ786470 I852000:I852006 JE852000:JE852006 TA852000:TA852006 ACW852000:ACW852006 AMS852000:AMS852006 AWO852000:AWO852006 BGK852000:BGK852006 BQG852000:BQG852006 CAC852000:CAC852006 CJY852000:CJY852006 CTU852000:CTU852006 DDQ852000:DDQ852006 DNM852000:DNM852006 DXI852000:DXI852006 EHE852000:EHE852006 ERA852000:ERA852006 FAW852000:FAW852006 FKS852000:FKS852006 FUO852000:FUO852006 GEK852000:GEK852006 GOG852000:GOG852006 GYC852000:GYC852006 HHY852000:HHY852006 HRU852000:HRU852006 IBQ852000:IBQ852006 ILM852000:ILM852006 IVI852000:IVI852006 JFE852000:JFE852006 JPA852000:JPA852006 JYW852000:JYW852006 KIS852000:KIS852006 KSO852000:KSO852006 LCK852000:LCK852006 LMG852000:LMG852006 LWC852000:LWC852006 MFY852000:MFY852006 MPU852000:MPU852006 MZQ852000:MZQ852006 NJM852000:NJM852006 NTI852000:NTI852006 ODE852000:ODE852006 ONA852000:ONA852006 OWW852000:OWW852006 PGS852000:PGS852006 PQO852000:PQO852006 QAK852000:QAK852006 QKG852000:QKG852006 QUC852000:QUC852006 RDY852000:RDY852006 RNU852000:RNU852006 RXQ852000:RXQ852006 SHM852000:SHM852006 SRI852000:SRI852006 TBE852000:TBE852006 TLA852000:TLA852006 TUW852000:TUW852006 UES852000:UES852006 UOO852000:UOO852006 UYK852000:UYK852006 VIG852000:VIG852006 VSC852000:VSC852006 WBY852000:WBY852006 WLU852000:WLU852006 WVQ852000:WVQ852006 I917536:I917542 JE917536:JE917542 TA917536:TA917542 ACW917536:ACW917542 AMS917536:AMS917542 AWO917536:AWO917542 BGK917536:BGK917542 BQG917536:BQG917542 CAC917536:CAC917542 CJY917536:CJY917542 CTU917536:CTU917542 DDQ917536:DDQ917542 DNM917536:DNM917542 DXI917536:DXI917542 EHE917536:EHE917542 ERA917536:ERA917542 FAW917536:FAW917542 FKS917536:FKS917542 FUO917536:FUO917542 GEK917536:GEK917542 GOG917536:GOG917542 GYC917536:GYC917542 HHY917536:HHY917542 HRU917536:HRU917542 IBQ917536:IBQ917542 ILM917536:ILM917542 IVI917536:IVI917542 JFE917536:JFE917542 JPA917536:JPA917542 JYW917536:JYW917542 KIS917536:KIS917542 KSO917536:KSO917542 LCK917536:LCK917542 LMG917536:LMG917542 LWC917536:LWC917542 MFY917536:MFY917542 MPU917536:MPU917542 MZQ917536:MZQ917542 NJM917536:NJM917542 NTI917536:NTI917542 ODE917536:ODE917542 ONA917536:ONA917542 OWW917536:OWW917542 PGS917536:PGS917542 PQO917536:PQO917542 QAK917536:QAK917542 QKG917536:QKG917542 QUC917536:QUC917542 RDY917536:RDY917542 RNU917536:RNU917542 RXQ917536:RXQ917542 SHM917536:SHM917542 SRI917536:SRI917542 TBE917536:TBE917542 TLA917536:TLA917542 TUW917536:TUW917542 UES917536:UES917542 UOO917536:UOO917542 UYK917536:UYK917542 VIG917536:VIG917542 VSC917536:VSC917542 WBY917536:WBY917542 WLU917536:WLU917542 WVQ917536:WVQ917542 I983072:I983078 JE983072:JE983078 TA983072:TA983078 ACW983072:ACW983078 AMS983072:AMS983078 AWO983072:AWO983078 BGK983072:BGK983078 BQG983072:BQG983078 CAC983072:CAC983078 CJY983072:CJY983078 CTU983072:CTU983078 DDQ983072:DDQ983078 DNM983072:DNM983078 DXI983072:DXI983078 EHE983072:EHE983078 ERA983072:ERA983078 FAW983072:FAW983078 FKS983072:FKS983078 FUO983072:FUO983078 GEK983072:GEK983078 GOG983072:GOG983078 GYC983072:GYC983078 HHY983072:HHY983078 HRU983072:HRU983078 IBQ983072:IBQ983078 ILM983072:ILM983078 IVI983072:IVI983078 JFE983072:JFE983078 JPA983072:JPA983078 JYW983072:JYW983078 KIS983072:KIS983078 KSO983072:KSO983078 LCK983072:LCK983078 LMG983072:LMG983078 LWC983072:LWC983078 MFY983072:MFY983078 MPU983072:MPU983078 MZQ983072:MZQ983078 NJM983072:NJM983078 NTI983072:NTI983078 ODE983072:ODE983078 ONA983072:ONA983078 OWW983072:OWW983078 PGS983072:PGS983078 PQO983072:PQO983078 QAK983072:QAK983078 QKG983072:QKG983078 QUC983072:QUC983078 RDY983072:RDY983078 RNU983072:RNU983078 RXQ983072:RXQ983078 SHM983072:SHM983078 SRI983072:SRI983078 TBE983072:TBE983078 TLA983072:TLA983078 TUW983072:TUW983078 UES983072:UES983078 UOO983072:UOO983078 UYK983072:UYK983078 VIG983072:VIG983078 VSC983072:VSC983078 WBY983072:WBY983078 WLU983072:WLU983078 WVQ983072:WVQ983078 WVQ983054:WVQ983069 JB14:JB29 SX14:SX29 ACT14:ACT29 AMP14:AMP29 AWL14:AWL29 BGH14:BGH29 BQD14:BQD29 BZZ14:BZZ29 CJV14:CJV29 CTR14:CTR29 DDN14:DDN29 DNJ14:DNJ29 DXF14:DXF29 EHB14:EHB29 EQX14:EQX29 FAT14:FAT29 FKP14:FKP29 FUL14:FUL29 GEH14:GEH29 GOD14:GOD29 GXZ14:GXZ29 HHV14:HHV29 HRR14:HRR29 IBN14:IBN29 ILJ14:ILJ29 IVF14:IVF29 JFB14:JFB29 JOX14:JOX29 JYT14:JYT29 KIP14:KIP29 KSL14:KSL29 LCH14:LCH29 LMD14:LMD29 LVZ14:LVZ29 MFV14:MFV29 MPR14:MPR29 MZN14:MZN29 NJJ14:NJJ29 NTF14:NTF29 ODB14:ODB29 OMX14:OMX29 OWT14:OWT29 PGP14:PGP29 PQL14:PQL29 QAH14:QAH29 QKD14:QKD29 QTZ14:QTZ29 RDV14:RDV29 RNR14:RNR29 RXN14:RXN29 SHJ14:SHJ29 SRF14:SRF29 TBB14:TBB29 TKX14:TKX29 TUT14:TUT29 UEP14:UEP29 UOL14:UOL29 UYH14:UYH29 VID14:VID29 VRZ14:VRZ29 WBV14:WBV29 WLR14:WLR29 WVN14:WVN29 F65550:F65565 JB65550:JB65565 SX65550:SX65565 ACT65550:ACT65565 AMP65550:AMP65565 AWL65550:AWL65565 BGH65550:BGH65565 BQD65550:BQD65565 BZZ65550:BZZ65565 CJV65550:CJV65565 CTR65550:CTR65565 DDN65550:DDN65565 DNJ65550:DNJ65565 DXF65550:DXF65565 EHB65550:EHB65565 EQX65550:EQX65565 FAT65550:FAT65565 FKP65550:FKP65565 FUL65550:FUL65565 GEH65550:GEH65565 GOD65550:GOD65565 GXZ65550:GXZ65565 HHV65550:HHV65565 HRR65550:HRR65565 IBN65550:IBN65565 ILJ65550:ILJ65565 IVF65550:IVF65565 JFB65550:JFB65565 JOX65550:JOX65565 JYT65550:JYT65565 KIP65550:KIP65565 KSL65550:KSL65565 LCH65550:LCH65565 LMD65550:LMD65565 LVZ65550:LVZ65565 MFV65550:MFV65565 MPR65550:MPR65565 MZN65550:MZN65565 NJJ65550:NJJ65565 NTF65550:NTF65565 ODB65550:ODB65565 OMX65550:OMX65565 OWT65550:OWT65565 PGP65550:PGP65565 PQL65550:PQL65565 QAH65550:QAH65565 QKD65550:QKD65565 QTZ65550:QTZ65565 RDV65550:RDV65565 RNR65550:RNR65565 RXN65550:RXN65565 SHJ65550:SHJ65565 SRF65550:SRF65565 TBB65550:TBB65565 TKX65550:TKX65565 TUT65550:TUT65565 UEP65550:UEP65565 UOL65550:UOL65565 UYH65550:UYH65565 VID65550:VID65565 VRZ65550:VRZ65565 WBV65550:WBV65565 WLR65550:WLR65565 WVN65550:WVN65565 F131086:F131101 JB131086:JB131101 SX131086:SX131101 ACT131086:ACT131101 AMP131086:AMP131101 AWL131086:AWL131101 BGH131086:BGH131101 BQD131086:BQD131101 BZZ131086:BZZ131101 CJV131086:CJV131101 CTR131086:CTR131101 DDN131086:DDN131101 DNJ131086:DNJ131101 DXF131086:DXF131101 EHB131086:EHB131101 EQX131086:EQX131101 FAT131086:FAT131101 FKP131086:FKP131101 FUL131086:FUL131101 GEH131086:GEH131101 GOD131086:GOD131101 GXZ131086:GXZ131101 HHV131086:HHV131101 HRR131086:HRR131101 IBN131086:IBN131101 ILJ131086:ILJ131101 IVF131086:IVF131101 JFB131086:JFB131101 JOX131086:JOX131101 JYT131086:JYT131101 KIP131086:KIP131101 KSL131086:KSL131101 LCH131086:LCH131101 LMD131086:LMD131101 LVZ131086:LVZ131101 MFV131086:MFV131101 MPR131086:MPR131101 MZN131086:MZN131101 NJJ131086:NJJ131101 NTF131086:NTF131101 ODB131086:ODB131101 OMX131086:OMX131101 OWT131086:OWT131101 PGP131086:PGP131101 PQL131086:PQL131101 QAH131086:QAH131101 QKD131086:QKD131101 QTZ131086:QTZ131101 RDV131086:RDV131101 RNR131086:RNR131101 RXN131086:RXN131101 SHJ131086:SHJ131101 SRF131086:SRF131101 TBB131086:TBB131101 TKX131086:TKX131101 TUT131086:TUT131101 UEP131086:UEP131101 UOL131086:UOL131101 UYH131086:UYH131101 VID131086:VID131101 VRZ131086:VRZ131101 WBV131086:WBV131101 WLR131086:WLR131101 WVN131086:WVN131101 F196622:F196637 JB196622:JB196637 SX196622:SX196637 ACT196622:ACT196637 AMP196622:AMP196637 AWL196622:AWL196637 BGH196622:BGH196637 BQD196622:BQD196637 BZZ196622:BZZ196637 CJV196622:CJV196637 CTR196622:CTR196637 DDN196622:DDN196637 DNJ196622:DNJ196637 DXF196622:DXF196637 EHB196622:EHB196637 EQX196622:EQX196637 FAT196622:FAT196637 FKP196622:FKP196637 FUL196622:FUL196637 GEH196622:GEH196637 GOD196622:GOD196637 GXZ196622:GXZ196637 HHV196622:HHV196637 HRR196622:HRR196637 IBN196622:IBN196637 ILJ196622:ILJ196637 IVF196622:IVF196637 JFB196622:JFB196637 JOX196622:JOX196637 JYT196622:JYT196637 KIP196622:KIP196637 KSL196622:KSL196637 LCH196622:LCH196637 LMD196622:LMD196637 LVZ196622:LVZ196637 MFV196622:MFV196637 MPR196622:MPR196637 MZN196622:MZN196637 NJJ196622:NJJ196637 NTF196622:NTF196637 ODB196622:ODB196637 OMX196622:OMX196637 OWT196622:OWT196637 PGP196622:PGP196637 PQL196622:PQL196637 QAH196622:QAH196637 QKD196622:QKD196637 QTZ196622:QTZ196637 RDV196622:RDV196637 RNR196622:RNR196637 RXN196622:RXN196637 SHJ196622:SHJ196637 SRF196622:SRF196637 TBB196622:TBB196637 TKX196622:TKX196637 TUT196622:TUT196637 UEP196622:UEP196637 UOL196622:UOL196637 UYH196622:UYH196637 VID196622:VID196637 VRZ196622:VRZ196637 WBV196622:WBV196637 WLR196622:WLR196637 WVN196622:WVN196637 F262158:F262173 JB262158:JB262173 SX262158:SX262173 ACT262158:ACT262173 AMP262158:AMP262173 AWL262158:AWL262173 BGH262158:BGH262173 BQD262158:BQD262173 BZZ262158:BZZ262173 CJV262158:CJV262173 CTR262158:CTR262173 DDN262158:DDN262173 DNJ262158:DNJ262173 DXF262158:DXF262173 EHB262158:EHB262173 EQX262158:EQX262173 FAT262158:FAT262173 FKP262158:FKP262173 FUL262158:FUL262173 GEH262158:GEH262173 GOD262158:GOD262173 GXZ262158:GXZ262173 HHV262158:HHV262173 HRR262158:HRR262173 IBN262158:IBN262173 ILJ262158:ILJ262173 IVF262158:IVF262173 JFB262158:JFB262173 JOX262158:JOX262173 JYT262158:JYT262173 KIP262158:KIP262173 KSL262158:KSL262173 LCH262158:LCH262173 LMD262158:LMD262173 LVZ262158:LVZ262173 MFV262158:MFV262173 MPR262158:MPR262173 MZN262158:MZN262173 NJJ262158:NJJ262173 NTF262158:NTF262173 ODB262158:ODB262173 OMX262158:OMX262173 OWT262158:OWT262173 PGP262158:PGP262173 PQL262158:PQL262173 QAH262158:QAH262173 QKD262158:QKD262173 QTZ262158:QTZ262173 RDV262158:RDV262173 RNR262158:RNR262173 RXN262158:RXN262173 SHJ262158:SHJ262173 SRF262158:SRF262173 TBB262158:TBB262173 TKX262158:TKX262173 TUT262158:TUT262173 UEP262158:UEP262173 UOL262158:UOL262173 UYH262158:UYH262173 VID262158:VID262173 VRZ262158:VRZ262173 WBV262158:WBV262173 WLR262158:WLR262173 WVN262158:WVN262173 F327694:F327709 JB327694:JB327709 SX327694:SX327709 ACT327694:ACT327709 AMP327694:AMP327709 AWL327694:AWL327709 BGH327694:BGH327709 BQD327694:BQD327709 BZZ327694:BZZ327709 CJV327694:CJV327709 CTR327694:CTR327709 DDN327694:DDN327709 DNJ327694:DNJ327709 DXF327694:DXF327709 EHB327694:EHB327709 EQX327694:EQX327709 FAT327694:FAT327709 FKP327694:FKP327709 FUL327694:FUL327709 GEH327694:GEH327709 GOD327694:GOD327709 GXZ327694:GXZ327709 HHV327694:HHV327709 HRR327694:HRR327709 IBN327694:IBN327709 ILJ327694:ILJ327709 IVF327694:IVF327709 JFB327694:JFB327709 JOX327694:JOX327709 JYT327694:JYT327709 KIP327694:KIP327709 KSL327694:KSL327709 LCH327694:LCH327709 LMD327694:LMD327709 LVZ327694:LVZ327709 MFV327694:MFV327709 MPR327694:MPR327709 MZN327694:MZN327709 NJJ327694:NJJ327709 NTF327694:NTF327709 ODB327694:ODB327709 OMX327694:OMX327709 OWT327694:OWT327709 PGP327694:PGP327709 PQL327694:PQL327709 QAH327694:QAH327709 QKD327694:QKD327709 QTZ327694:QTZ327709 RDV327694:RDV327709 RNR327694:RNR327709 RXN327694:RXN327709 SHJ327694:SHJ327709 SRF327694:SRF327709 TBB327694:TBB327709 TKX327694:TKX327709 TUT327694:TUT327709 UEP327694:UEP327709 UOL327694:UOL327709 UYH327694:UYH327709 VID327694:VID327709 VRZ327694:VRZ327709 WBV327694:WBV327709 WLR327694:WLR327709 WVN327694:WVN327709 F393230:F393245 JB393230:JB393245 SX393230:SX393245 ACT393230:ACT393245 AMP393230:AMP393245 AWL393230:AWL393245 BGH393230:BGH393245 BQD393230:BQD393245 BZZ393230:BZZ393245 CJV393230:CJV393245 CTR393230:CTR393245 DDN393230:DDN393245 DNJ393230:DNJ393245 DXF393230:DXF393245 EHB393230:EHB393245 EQX393230:EQX393245 FAT393230:FAT393245 FKP393230:FKP393245 FUL393230:FUL393245 GEH393230:GEH393245 GOD393230:GOD393245 GXZ393230:GXZ393245 HHV393230:HHV393245 HRR393230:HRR393245 IBN393230:IBN393245 ILJ393230:ILJ393245 IVF393230:IVF393245 JFB393230:JFB393245 JOX393230:JOX393245 JYT393230:JYT393245 KIP393230:KIP393245 KSL393230:KSL393245 LCH393230:LCH393245 LMD393230:LMD393245 LVZ393230:LVZ393245 MFV393230:MFV393245 MPR393230:MPR393245 MZN393230:MZN393245 NJJ393230:NJJ393245 NTF393230:NTF393245 ODB393230:ODB393245 OMX393230:OMX393245 OWT393230:OWT393245 PGP393230:PGP393245 PQL393230:PQL393245 QAH393230:QAH393245 QKD393230:QKD393245 QTZ393230:QTZ393245 RDV393230:RDV393245 RNR393230:RNR393245 RXN393230:RXN393245 SHJ393230:SHJ393245 SRF393230:SRF393245 TBB393230:TBB393245 TKX393230:TKX393245 TUT393230:TUT393245 UEP393230:UEP393245 UOL393230:UOL393245 UYH393230:UYH393245 VID393230:VID393245 VRZ393230:VRZ393245 WBV393230:WBV393245 WLR393230:WLR393245 WVN393230:WVN393245 F458766:F458781 JB458766:JB458781 SX458766:SX458781 ACT458766:ACT458781 AMP458766:AMP458781 AWL458766:AWL458781 BGH458766:BGH458781 BQD458766:BQD458781 BZZ458766:BZZ458781 CJV458766:CJV458781 CTR458766:CTR458781 DDN458766:DDN458781 DNJ458766:DNJ458781 DXF458766:DXF458781 EHB458766:EHB458781 EQX458766:EQX458781 FAT458766:FAT458781 FKP458766:FKP458781 FUL458766:FUL458781 GEH458766:GEH458781 GOD458766:GOD458781 GXZ458766:GXZ458781 HHV458766:HHV458781 HRR458766:HRR458781 IBN458766:IBN458781 ILJ458766:ILJ458781 IVF458766:IVF458781 JFB458766:JFB458781 JOX458766:JOX458781 JYT458766:JYT458781 KIP458766:KIP458781 KSL458766:KSL458781 LCH458766:LCH458781 LMD458766:LMD458781 LVZ458766:LVZ458781 MFV458766:MFV458781 MPR458766:MPR458781 MZN458766:MZN458781 NJJ458766:NJJ458781 NTF458766:NTF458781 ODB458766:ODB458781 OMX458766:OMX458781 OWT458766:OWT458781 PGP458766:PGP458781 PQL458766:PQL458781 QAH458766:QAH458781 QKD458766:QKD458781 QTZ458766:QTZ458781 RDV458766:RDV458781 RNR458766:RNR458781 RXN458766:RXN458781 SHJ458766:SHJ458781 SRF458766:SRF458781 TBB458766:TBB458781 TKX458766:TKX458781 TUT458766:TUT458781 UEP458766:UEP458781 UOL458766:UOL458781 UYH458766:UYH458781 VID458766:VID458781 VRZ458766:VRZ458781 WBV458766:WBV458781 WLR458766:WLR458781 WVN458766:WVN458781 F524302:F524317 JB524302:JB524317 SX524302:SX524317 ACT524302:ACT524317 AMP524302:AMP524317 AWL524302:AWL524317 BGH524302:BGH524317 BQD524302:BQD524317 BZZ524302:BZZ524317 CJV524302:CJV524317 CTR524302:CTR524317 DDN524302:DDN524317 DNJ524302:DNJ524317 DXF524302:DXF524317 EHB524302:EHB524317 EQX524302:EQX524317 FAT524302:FAT524317 FKP524302:FKP524317 FUL524302:FUL524317 GEH524302:GEH524317 GOD524302:GOD524317 GXZ524302:GXZ524317 HHV524302:HHV524317 HRR524302:HRR524317 IBN524302:IBN524317 ILJ524302:ILJ524317 IVF524302:IVF524317 JFB524302:JFB524317 JOX524302:JOX524317 JYT524302:JYT524317 KIP524302:KIP524317 KSL524302:KSL524317 LCH524302:LCH524317 LMD524302:LMD524317 LVZ524302:LVZ524317 MFV524302:MFV524317 MPR524302:MPR524317 MZN524302:MZN524317 NJJ524302:NJJ524317 NTF524302:NTF524317 ODB524302:ODB524317 OMX524302:OMX524317 OWT524302:OWT524317 PGP524302:PGP524317 PQL524302:PQL524317 QAH524302:QAH524317 QKD524302:QKD524317 QTZ524302:QTZ524317 RDV524302:RDV524317 RNR524302:RNR524317 RXN524302:RXN524317 SHJ524302:SHJ524317 SRF524302:SRF524317 TBB524302:TBB524317 TKX524302:TKX524317 TUT524302:TUT524317 UEP524302:UEP524317 UOL524302:UOL524317 UYH524302:UYH524317 VID524302:VID524317 VRZ524302:VRZ524317 WBV524302:WBV524317 WLR524302:WLR524317 WVN524302:WVN524317 F589838:F589853 JB589838:JB589853 SX589838:SX589853 ACT589838:ACT589853 AMP589838:AMP589853 AWL589838:AWL589853 BGH589838:BGH589853 BQD589838:BQD589853 BZZ589838:BZZ589853 CJV589838:CJV589853 CTR589838:CTR589853 DDN589838:DDN589853 DNJ589838:DNJ589853 DXF589838:DXF589853 EHB589838:EHB589853 EQX589838:EQX589853 FAT589838:FAT589853 FKP589838:FKP589853 FUL589838:FUL589853 GEH589838:GEH589853 GOD589838:GOD589853 GXZ589838:GXZ589853 HHV589838:HHV589853 HRR589838:HRR589853 IBN589838:IBN589853 ILJ589838:ILJ589853 IVF589838:IVF589853 JFB589838:JFB589853 JOX589838:JOX589853 JYT589838:JYT589853 KIP589838:KIP589853 KSL589838:KSL589853 LCH589838:LCH589853 LMD589838:LMD589853 LVZ589838:LVZ589853 MFV589838:MFV589853 MPR589838:MPR589853 MZN589838:MZN589853 NJJ589838:NJJ589853 NTF589838:NTF589853 ODB589838:ODB589853 OMX589838:OMX589853 OWT589838:OWT589853 PGP589838:PGP589853 PQL589838:PQL589853 QAH589838:QAH589853 QKD589838:QKD589853 QTZ589838:QTZ589853 RDV589838:RDV589853 RNR589838:RNR589853 RXN589838:RXN589853 SHJ589838:SHJ589853 SRF589838:SRF589853 TBB589838:TBB589853 TKX589838:TKX589853 TUT589838:TUT589853 UEP589838:UEP589853 UOL589838:UOL589853 UYH589838:UYH589853 VID589838:VID589853 VRZ589838:VRZ589853 WBV589838:WBV589853 WLR589838:WLR589853 WVN589838:WVN589853 F655374:F655389 JB655374:JB655389 SX655374:SX655389 ACT655374:ACT655389 AMP655374:AMP655389 AWL655374:AWL655389 BGH655374:BGH655389 BQD655374:BQD655389 BZZ655374:BZZ655389 CJV655374:CJV655389 CTR655374:CTR655389 DDN655374:DDN655389 DNJ655374:DNJ655389 DXF655374:DXF655389 EHB655374:EHB655389 EQX655374:EQX655389 FAT655374:FAT655389 FKP655374:FKP655389 FUL655374:FUL655389 GEH655374:GEH655389 GOD655374:GOD655389 GXZ655374:GXZ655389 HHV655374:HHV655389 HRR655374:HRR655389 IBN655374:IBN655389 ILJ655374:ILJ655389 IVF655374:IVF655389 JFB655374:JFB655389 JOX655374:JOX655389 JYT655374:JYT655389 KIP655374:KIP655389 KSL655374:KSL655389 LCH655374:LCH655389 LMD655374:LMD655389 LVZ655374:LVZ655389 MFV655374:MFV655389 MPR655374:MPR655389 MZN655374:MZN655389 NJJ655374:NJJ655389 NTF655374:NTF655389 ODB655374:ODB655389 OMX655374:OMX655389 OWT655374:OWT655389 PGP655374:PGP655389 PQL655374:PQL655389 QAH655374:QAH655389 QKD655374:QKD655389 QTZ655374:QTZ655389 RDV655374:RDV655389 RNR655374:RNR655389 RXN655374:RXN655389 SHJ655374:SHJ655389 SRF655374:SRF655389 TBB655374:TBB655389 TKX655374:TKX655389 TUT655374:TUT655389 UEP655374:UEP655389 UOL655374:UOL655389 UYH655374:UYH655389 VID655374:VID655389 VRZ655374:VRZ655389 WBV655374:WBV655389 WLR655374:WLR655389 WVN655374:WVN655389 F720910:F720925 JB720910:JB720925 SX720910:SX720925 ACT720910:ACT720925 AMP720910:AMP720925 AWL720910:AWL720925 BGH720910:BGH720925 BQD720910:BQD720925 BZZ720910:BZZ720925 CJV720910:CJV720925 CTR720910:CTR720925 DDN720910:DDN720925 DNJ720910:DNJ720925 DXF720910:DXF720925 EHB720910:EHB720925 EQX720910:EQX720925 FAT720910:FAT720925 FKP720910:FKP720925 FUL720910:FUL720925 GEH720910:GEH720925 GOD720910:GOD720925 GXZ720910:GXZ720925 HHV720910:HHV720925 HRR720910:HRR720925 IBN720910:IBN720925 ILJ720910:ILJ720925 IVF720910:IVF720925 JFB720910:JFB720925 JOX720910:JOX720925 JYT720910:JYT720925 KIP720910:KIP720925 KSL720910:KSL720925 LCH720910:LCH720925 LMD720910:LMD720925 LVZ720910:LVZ720925 MFV720910:MFV720925 MPR720910:MPR720925 MZN720910:MZN720925 NJJ720910:NJJ720925 NTF720910:NTF720925 ODB720910:ODB720925 OMX720910:OMX720925 OWT720910:OWT720925 PGP720910:PGP720925 PQL720910:PQL720925 QAH720910:QAH720925 QKD720910:QKD720925 QTZ720910:QTZ720925 RDV720910:RDV720925 RNR720910:RNR720925 RXN720910:RXN720925 SHJ720910:SHJ720925 SRF720910:SRF720925 TBB720910:TBB720925 TKX720910:TKX720925 TUT720910:TUT720925 UEP720910:UEP720925 UOL720910:UOL720925 UYH720910:UYH720925 VID720910:VID720925 VRZ720910:VRZ720925 WBV720910:WBV720925 WLR720910:WLR720925 WVN720910:WVN720925 F786446:F786461 JB786446:JB786461 SX786446:SX786461 ACT786446:ACT786461 AMP786446:AMP786461 AWL786446:AWL786461 BGH786446:BGH786461 BQD786446:BQD786461 BZZ786446:BZZ786461 CJV786446:CJV786461 CTR786446:CTR786461 DDN786446:DDN786461 DNJ786446:DNJ786461 DXF786446:DXF786461 EHB786446:EHB786461 EQX786446:EQX786461 FAT786446:FAT786461 FKP786446:FKP786461 FUL786446:FUL786461 GEH786446:GEH786461 GOD786446:GOD786461 GXZ786446:GXZ786461 HHV786446:HHV786461 HRR786446:HRR786461 IBN786446:IBN786461 ILJ786446:ILJ786461 IVF786446:IVF786461 JFB786446:JFB786461 JOX786446:JOX786461 JYT786446:JYT786461 KIP786446:KIP786461 KSL786446:KSL786461 LCH786446:LCH786461 LMD786446:LMD786461 LVZ786446:LVZ786461 MFV786446:MFV786461 MPR786446:MPR786461 MZN786446:MZN786461 NJJ786446:NJJ786461 NTF786446:NTF786461 ODB786446:ODB786461 OMX786446:OMX786461 OWT786446:OWT786461 PGP786446:PGP786461 PQL786446:PQL786461 QAH786446:QAH786461 QKD786446:QKD786461 QTZ786446:QTZ786461 RDV786446:RDV786461 RNR786446:RNR786461 RXN786446:RXN786461 SHJ786446:SHJ786461 SRF786446:SRF786461 TBB786446:TBB786461 TKX786446:TKX786461 TUT786446:TUT786461 UEP786446:UEP786461 UOL786446:UOL786461 UYH786446:UYH786461 VID786446:VID786461 VRZ786446:VRZ786461 WBV786446:WBV786461 WLR786446:WLR786461 WVN786446:WVN786461 F851982:F851997 JB851982:JB851997 SX851982:SX851997 ACT851982:ACT851997 AMP851982:AMP851997 AWL851982:AWL851997 BGH851982:BGH851997 BQD851982:BQD851997 BZZ851982:BZZ851997 CJV851982:CJV851997 CTR851982:CTR851997 DDN851982:DDN851997 DNJ851982:DNJ851997 DXF851982:DXF851997 EHB851982:EHB851997 EQX851982:EQX851997 FAT851982:FAT851997 FKP851982:FKP851997 FUL851982:FUL851997 GEH851982:GEH851997 GOD851982:GOD851997 GXZ851982:GXZ851997 HHV851982:HHV851997 HRR851982:HRR851997 IBN851982:IBN851997 ILJ851982:ILJ851997 IVF851982:IVF851997 JFB851982:JFB851997 JOX851982:JOX851997 JYT851982:JYT851997 KIP851982:KIP851997 KSL851982:KSL851997 LCH851982:LCH851997 LMD851982:LMD851997 LVZ851982:LVZ851997 MFV851982:MFV851997 MPR851982:MPR851997 MZN851982:MZN851997 NJJ851982:NJJ851997 NTF851982:NTF851997 ODB851982:ODB851997 OMX851982:OMX851997 OWT851982:OWT851997 PGP851982:PGP851997 PQL851982:PQL851997 QAH851982:QAH851997 QKD851982:QKD851997 QTZ851982:QTZ851997 RDV851982:RDV851997 RNR851982:RNR851997 RXN851982:RXN851997 SHJ851982:SHJ851997 SRF851982:SRF851997 TBB851982:TBB851997 TKX851982:TKX851997 TUT851982:TUT851997 UEP851982:UEP851997 UOL851982:UOL851997 UYH851982:UYH851997 VID851982:VID851997 VRZ851982:VRZ851997 WBV851982:WBV851997 WLR851982:WLR851997 WVN851982:WVN851997 F917518:F917533 JB917518:JB917533 SX917518:SX917533 ACT917518:ACT917533 AMP917518:AMP917533 AWL917518:AWL917533 BGH917518:BGH917533 BQD917518:BQD917533 BZZ917518:BZZ917533 CJV917518:CJV917533 CTR917518:CTR917533 DDN917518:DDN917533 DNJ917518:DNJ917533 DXF917518:DXF917533 EHB917518:EHB917533 EQX917518:EQX917533 FAT917518:FAT917533 FKP917518:FKP917533 FUL917518:FUL917533 GEH917518:GEH917533 GOD917518:GOD917533 GXZ917518:GXZ917533 HHV917518:HHV917533 HRR917518:HRR917533 IBN917518:IBN917533 ILJ917518:ILJ917533 IVF917518:IVF917533 JFB917518:JFB917533 JOX917518:JOX917533 JYT917518:JYT917533 KIP917518:KIP917533 KSL917518:KSL917533 LCH917518:LCH917533 LMD917518:LMD917533 LVZ917518:LVZ917533 MFV917518:MFV917533 MPR917518:MPR917533 MZN917518:MZN917533 NJJ917518:NJJ917533 NTF917518:NTF917533 ODB917518:ODB917533 OMX917518:OMX917533 OWT917518:OWT917533 PGP917518:PGP917533 PQL917518:PQL917533 QAH917518:QAH917533 QKD917518:QKD917533 QTZ917518:QTZ917533 RDV917518:RDV917533 RNR917518:RNR917533 RXN917518:RXN917533 SHJ917518:SHJ917533 SRF917518:SRF917533 TBB917518:TBB917533 TKX917518:TKX917533 TUT917518:TUT917533 UEP917518:UEP917533 UOL917518:UOL917533 UYH917518:UYH917533 VID917518:VID917533 VRZ917518:VRZ917533 WBV917518:WBV917533 WLR917518:WLR917533 WVN917518:WVN917533 F983054:F983069 JB983054:JB983069 SX983054:SX983069 ACT983054:ACT983069 AMP983054:AMP983069 AWL983054:AWL983069 BGH983054:BGH983069 BQD983054:BQD983069 BZZ983054:BZZ983069 CJV983054:CJV983069 CTR983054:CTR983069 DDN983054:DDN983069 DNJ983054:DNJ983069 DXF983054:DXF983069 EHB983054:EHB983069 EQX983054:EQX983069 FAT983054:FAT983069 FKP983054:FKP983069 FUL983054:FUL983069 GEH983054:GEH983069 GOD983054:GOD983069 GXZ983054:GXZ983069 HHV983054:HHV983069 HRR983054:HRR983069 IBN983054:IBN983069 ILJ983054:ILJ983069 IVF983054:IVF983069 JFB983054:JFB983069 JOX983054:JOX983069 JYT983054:JYT983069 KIP983054:KIP983069 KSL983054:KSL983069 LCH983054:LCH983069 LMD983054:LMD983069 LVZ983054:LVZ983069 MFV983054:MFV983069 MPR983054:MPR983069 MZN983054:MZN983069 NJJ983054:NJJ983069 NTF983054:NTF983069 ODB983054:ODB983069 OMX983054:OMX983069 OWT983054:OWT983069 PGP983054:PGP983069 PQL983054:PQL983069 QAH983054:QAH983069 QKD983054:QKD983069 QTZ983054:QTZ983069 RDV983054:RDV983069 RNR983054:RNR983069 RXN983054:RXN983069 SHJ983054:SHJ983069 SRF983054:SRF983069 TBB983054:TBB983069 TKX983054:TKX983069 TUT983054:TUT983069 UEP983054:UEP983069 UOL983054:UOL983069 UYH983054:UYH983069 VID983054:VID983069 VRZ983054:VRZ983069 WBV983054:WBV983069 WLR983054:WLR983069 WVN983054:WVN983069 F14:F29 JE14:JE29 TA14:TA29 ACW14:ACW29 AMS14:AMS29 AWO14:AWO29 BGK14:BGK29 BQG14:BQG29 CAC14:CAC29 CJY14:CJY29 CTU14:CTU29 DDQ14:DDQ29 DNM14:DNM29 DXI14:DXI29 EHE14:EHE29 ERA14:ERA29 FAW14:FAW29 FKS14:FKS29 FUO14:FUO29 GEK14:GEK29 GOG14:GOG29 GYC14:GYC29 HHY14:HHY29 HRU14:HRU29 IBQ14:IBQ29 ILM14:ILM29 IVI14:IVI29 JFE14:JFE29 JPA14:JPA29 JYW14:JYW29 KIS14:KIS29 KSO14:KSO29 LCK14:LCK29 LMG14:LMG29 LWC14:LWC29 MFY14:MFY29 MPU14:MPU29 MZQ14:MZQ29 NJM14:NJM29 NTI14:NTI29 ODE14:ODE29 ONA14:ONA29 OWW14:OWW29 PGS14:PGS29 PQO14:PQO29 QAK14:QAK29 QKG14:QKG29 QUC14:QUC29 RDY14:RDY29 RNU14:RNU29 RXQ14:RXQ29 SHM14:SHM29 SRI14:SRI29 TBE14:TBE29 TLA14:TLA29 TUW14:TUW29 UES14:UES29 UOO14:UOO29 UYK14:UYK29 VIG14:VIG29 VSC14:VSC29 WBY14:WBY29 WLU14:WLU29 WVQ14:WVQ29 I65550:I65565 JE65550:JE65565 TA65550:TA65565 ACW65550:ACW65565 AMS65550:AMS65565 AWO65550:AWO65565 BGK65550:BGK65565 BQG65550:BQG65565 CAC65550:CAC65565 CJY65550:CJY65565 CTU65550:CTU65565 DDQ65550:DDQ65565 DNM65550:DNM65565 DXI65550:DXI65565 EHE65550:EHE65565 ERA65550:ERA65565 FAW65550:FAW65565 FKS65550:FKS65565 FUO65550:FUO65565 GEK65550:GEK65565 GOG65550:GOG65565 GYC65550:GYC65565 HHY65550:HHY65565 HRU65550:HRU65565 IBQ65550:IBQ65565 ILM65550:ILM65565 IVI65550:IVI65565 JFE65550:JFE65565 JPA65550:JPA65565 JYW65550:JYW65565 KIS65550:KIS65565 KSO65550:KSO65565 LCK65550:LCK65565 LMG65550:LMG65565 LWC65550:LWC65565 MFY65550:MFY65565 MPU65550:MPU65565 MZQ65550:MZQ65565 NJM65550:NJM65565 NTI65550:NTI65565 ODE65550:ODE65565 ONA65550:ONA65565 OWW65550:OWW65565 PGS65550:PGS65565 PQO65550:PQO65565 QAK65550:QAK65565 QKG65550:QKG65565 QUC65550:QUC65565 RDY65550:RDY65565 RNU65550:RNU65565 RXQ65550:RXQ65565 SHM65550:SHM65565 SRI65550:SRI65565 TBE65550:TBE65565 TLA65550:TLA65565 TUW65550:TUW65565 UES65550:UES65565 UOO65550:UOO65565 UYK65550:UYK65565 VIG65550:VIG65565 VSC65550:VSC65565 WBY65550:WBY65565 WLU65550:WLU65565 WVQ65550:WVQ65565 I131086:I131101 JE131086:JE131101 TA131086:TA131101 ACW131086:ACW131101 AMS131086:AMS131101 AWO131086:AWO131101 BGK131086:BGK131101 BQG131086:BQG131101 CAC131086:CAC131101 CJY131086:CJY131101 CTU131086:CTU131101 DDQ131086:DDQ131101 DNM131086:DNM131101 DXI131086:DXI131101 EHE131086:EHE131101 ERA131086:ERA131101 FAW131086:FAW131101 FKS131086:FKS131101 FUO131086:FUO131101 GEK131086:GEK131101 GOG131086:GOG131101 GYC131086:GYC131101 HHY131086:HHY131101 HRU131086:HRU131101 IBQ131086:IBQ131101 ILM131086:ILM131101 IVI131086:IVI131101 JFE131086:JFE131101 JPA131086:JPA131101 JYW131086:JYW131101 KIS131086:KIS131101 KSO131086:KSO131101 LCK131086:LCK131101 LMG131086:LMG131101 LWC131086:LWC131101 MFY131086:MFY131101 MPU131086:MPU131101 MZQ131086:MZQ131101 NJM131086:NJM131101 NTI131086:NTI131101 ODE131086:ODE131101 ONA131086:ONA131101 OWW131086:OWW131101 PGS131086:PGS131101 PQO131086:PQO131101 QAK131086:QAK131101 QKG131086:QKG131101 QUC131086:QUC131101 RDY131086:RDY131101 RNU131086:RNU131101 RXQ131086:RXQ131101 SHM131086:SHM131101 SRI131086:SRI131101 TBE131086:TBE131101 TLA131086:TLA131101 TUW131086:TUW131101 UES131086:UES131101 UOO131086:UOO131101 UYK131086:UYK131101 VIG131086:VIG131101 VSC131086:VSC131101 WBY131086:WBY131101 WLU131086:WLU131101 WVQ131086:WVQ131101 I196622:I196637 JE196622:JE196637 TA196622:TA196637 ACW196622:ACW196637 AMS196622:AMS196637 AWO196622:AWO196637 BGK196622:BGK196637 BQG196622:BQG196637 CAC196622:CAC196637 CJY196622:CJY196637 CTU196622:CTU196637 DDQ196622:DDQ196637 DNM196622:DNM196637 DXI196622:DXI196637 EHE196622:EHE196637 ERA196622:ERA196637 FAW196622:FAW196637 FKS196622:FKS196637 FUO196622:FUO196637 GEK196622:GEK196637 GOG196622:GOG196637 GYC196622:GYC196637 HHY196622:HHY196637 HRU196622:HRU196637 IBQ196622:IBQ196637 ILM196622:ILM196637 IVI196622:IVI196637 JFE196622:JFE196637 JPA196622:JPA196637 JYW196622:JYW196637 KIS196622:KIS196637 KSO196622:KSO196637 LCK196622:LCK196637 LMG196622:LMG196637 LWC196622:LWC196637 MFY196622:MFY196637 MPU196622:MPU196637 MZQ196622:MZQ196637 NJM196622:NJM196637 NTI196622:NTI196637 ODE196622:ODE196637 ONA196622:ONA196637 OWW196622:OWW196637 PGS196622:PGS196637 PQO196622:PQO196637 QAK196622:QAK196637 QKG196622:QKG196637 QUC196622:QUC196637 RDY196622:RDY196637 RNU196622:RNU196637 RXQ196622:RXQ196637 SHM196622:SHM196637 SRI196622:SRI196637 TBE196622:TBE196637 TLA196622:TLA196637 TUW196622:TUW196637 UES196622:UES196637 UOO196622:UOO196637 UYK196622:UYK196637 VIG196622:VIG196637 VSC196622:VSC196637 WBY196622:WBY196637 WLU196622:WLU196637 WVQ196622:WVQ196637 I262158:I262173 JE262158:JE262173 TA262158:TA262173 ACW262158:ACW262173 AMS262158:AMS262173 AWO262158:AWO262173 BGK262158:BGK262173 BQG262158:BQG262173 CAC262158:CAC262173 CJY262158:CJY262173 CTU262158:CTU262173 DDQ262158:DDQ262173 DNM262158:DNM262173 DXI262158:DXI262173 EHE262158:EHE262173 ERA262158:ERA262173 FAW262158:FAW262173 FKS262158:FKS262173 FUO262158:FUO262173 GEK262158:GEK262173 GOG262158:GOG262173 GYC262158:GYC262173 HHY262158:HHY262173 HRU262158:HRU262173 IBQ262158:IBQ262173 ILM262158:ILM262173 IVI262158:IVI262173 JFE262158:JFE262173 JPA262158:JPA262173 JYW262158:JYW262173 KIS262158:KIS262173 KSO262158:KSO262173 LCK262158:LCK262173 LMG262158:LMG262173 LWC262158:LWC262173 MFY262158:MFY262173 MPU262158:MPU262173 MZQ262158:MZQ262173 NJM262158:NJM262173 NTI262158:NTI262173 ODE262158:ODE262173 ONA262158:ONA262173 OWW262158:OWW262173 PGS262158:PGS262173 PQO262158:PQO262173 QAK262158:QAK262173 QKG262158:QKG262173 QUC262158:QUC262173 RDY262158:RDY262173 RNU262158:RNU262173 RXQ262158:RXQ262173 SHM262158:SHM262173 SRI262158:SRI262173 TBE262158:TBE262173 TLA262158:TLA262173 TUW262158:TUW262173 UES262158:UES262173 UOO262158:UOO262173 UYK262158:UYK262173 VIG262158:VIG262173 VSC262158:VSC262173 WBY262158:WBY262173 WLU262158:WLU262173 WVQ262158:WVQ262173 I327694:I327709 JE327694:JE327709 TA327694:TA327709 ACW327694:ACW327709 AMS327694:AMS327709 AWO327694:AWO327709 BGK327694:BGK327709 BQG327694:BQG327709 CAC327694:CAC327709 CJY327694:CJY327709 CTU327694:CTU327709 DDQ327694:DDQ327709 DNM327694:DNM327709 DXI327694:DXI327709 EHE327694:EHE327709 ERA327694:ERA327709 FAW327694:FAW327709 FKS327694:FKS327709 FUO327694:FUO327709 GEK327694:GEK327709 GOG327694:GOG327709 GYC327694:GYC327709 HHY327694:HHY327709 HRU327694:HRU327709 IBQ327694:IBQ327709 ILM327694:ILM327709 IVI327694:IVI327709 JFE327694:JFE327709 JPA327694:JPA327709 JYW327694:JYW327709 KIS327694:KIS327709 KSO327694:KSO327709 LCK327694:LCK327709 LMG327694:LMG327709 LWC327694:LWC327709 MFY327694:MFY327709 MPU327694:MPU327709 MZQ327694:MZQ327709 NJM327694:NJM327709 NTI327694:NTI327709 ODE327694:ODE327709 ONA327694:ONA327709 OWW327694:OWW327709 PGS327694:PGS327709 PQO327694:PQO327709 QAK327694:QAK327709 QKG327694:QKG327709 QUC327694:QUC327709 RDY327694:RDY327709 RNU327694:RNU327709 RXQ327694:RXQ327709 SHM327694:SHM327709 SRI327694:SRI327709 TBE327694:TBE327709 TLA327694:TLA327709 TUW327694:TUW327709 UES327694:UES327709 UOO327694:UOO327709 UYK327694:UYK327709 VIG327694:VIG327709 VSC327694:VSC327709 WBY327694:WBY327709 WLU327694:WLU327709 WVQ327694:WVQ327709 I393230:I393245 JE393230:JE393245 TA393230:TA393245 ACW393230:ACW393245 AMS393230:AMS393245 AWO393230:AWO393245 BGK393230:BGK393245 BQG393230:BQG393245 CAC393230:CAC393245 CJY393230:CJY393245 CTU393230:CTU393245 DDQ393230:DDQ393245 DNM393230:DNM393245 DXI393230:DXI393245 EHE393230:EHE393245 ERA393230:ERA393245 FAW393230:FAW393245 FKS393230:FKS393245 FUO393230:FUO393245 GEK393230:GEK393245 GOG393230:GOG393245 GYC393230:GYC393245 HHY393230:HHY393245 HRU393230:HRU393245 IBQ393230:IBQ393245 ILM393230:ILM393245 IVI393230:IVI393245 JFE393230:JFE393245 JPA393230:JPA393245 JYW393230:JYW393245 KIS393230:KIS393245 KSO393230:KSO393245 LCK393230:LCK393245 LMG393230:LMG393245 LWC393230:LWC393245 MFY393230:MFY393245 MPU393230:MPU393245 MZQ393230:MZQ393245 NJM393230:NJM393245 NTI393230:NTI393245 ODE393230:ODE393245 ONA393230:ONA393245 OWW393230:OWW393245 PGS393230:PGS393245 PQO393230:PQO393245 QAK393230:QAK393245 QKG393230:QKG393245 QUC393230:QUC393245 RDY393230:RDY393245 RNU393230:RNU393245 RXQ393230:RXQ393245 SHM393230:SHM393245 SRI393230:SRI393245 TBE393230:TBE393245 TLA393230:TLA393245 TUW393230:TUW393245 UES393230:UES393245 UOO393230:UOO393245 UYK393230:UYK393245 VIG393230:VIG393245 VSC393230:VSC393245 WBY393230:WBY393245 WLU393230:WLU393245 WVQ393230:WVQ393245 I458766:I458781 JE458766:JE458781 TA458766:TA458781 ACW458766:ACW458781 AMS458766:AMS458781 AWO458766:AWO458781 BGK458766:BGK458781 BQG458766:BQG458781 CAC458766:CAC458781 CJY458766:CJY458781 CTU458766:CTU458781 DDQ458766:DDQ458781 DNM458766:DNM458781 DXI458766:DXI458781 EHE458766:EHE458781 ERA458766:ERA458781 FAW458766:FAW458781 FKS458766:FKS458781 FUO458766:FUO458781 GEK458766:GEK458781 GOG458766:GOG458781 GYC458766:GYC458781 HHY458766:HHY458781 HRU458766:HRU458781 IBQ458766:IBQ458781 ILM458766:ILM458781 IVI458766:IVI458781 JFE458766:JFE458781 JPA458766:JPA458781 JYW458766:JYW458781 KIS458766:KIS458781 KSO458766:KSO458781 LCK458766:LCK458781 LMG458766:LMG458781 LWC458766:LWC458781 MFY458766:MFY458781 MPU458766:MPU458781 MZQ458766:MZQ458781 NJM458766:NJM458781 NTI458766:NTI458781 ODE458766:ODE458781 ONA458766:ONA458781 OWW458766:OWW458781 PGS458766:PGS458781 PQO458766:PQO458781 QAK458766:QAK458781 QKG458766:QKG458781 QUC458766:QUC458781 RDY458766:RDY458781 RNU458766:RNU458781 RXQ458766:RXQ458781 SHM458766:SHM458781 SRI458766:SRI458781 TBE458766:TBE458781 TLA458766:TLA458781 TUW458766:TUW458781 UES458766:UES458781 UOO458766:UOO458781 UYK458766:UYK458781 VIG458766:VIG458781 VSC458766:VSC458781 WBY458766:WBY458781 WLU458766:WLU458781 WVQ458766:WVQ458781 I524302:I524317 JE524302:JE524317 TA524302:TA524317 ACW524302:ACW524317 AMS524302:AMS524317 AWO524302:AWO524317 BGK524302:BGK524317 BQG524302:BQG524317 CAC524302:CAC524317 CJY524302:CJY524317 CTU524302:CTU524317 DDQ524302:DDQ524317 DNM524302:DNM524317 DXI524302:DXI524317 EHE524302:EHE524317 ERA524302:ERA524317 FAW524302:FAW524317 FKS524302:FKS524317 FUO524302:FUO524317 GEK524302:GEK524317 GOG524302:GOG524317 GYC524302:GYC524317 HHY524302:HHY524317 HRU524302:HRU524317 IBQ524302:IBQ524317 ILM524302:ILM524317 IVI524302:IVI524317 JFE524302:JFE524317 JPA524302:JPA524317 JYW524302:JYW524317 KIS524302:KIS524317 KSO524302:KSO524317 LCK524302:LCK524317 LMG524302:LMG524317 LWC524302:LWC524317 MFY524302:MFY524317 MPU524302:MPU524317 MZQ524302:MZQ524317 NJM524302:NJM524317 NTI524302:NTI524317 ODE524302:ODE524317 ONA524302:ONA524317 OWW524302:OWW524317 PGS524302:PGS524317 PQO524302:PQO524317 QAK524302:QAK524317 QKG524302:QKG524317 QUC524302:QUC524317 RDY524302:RDY524317 RNU524302:RNU524317 RXQ524302:RXQ524317 SHM524302:SHM524317 SRI524302:SRI524317 TBE524302:TBE524317 TLA524302:TLA524317 TUW524302:TUW524317 UES524302:UES524317 UOO524302:UOO524317 UYK524302:UYK524317 VIG524302:VIG524317 VSC524302:VSC524317 WBY524302:WBY524317 WLU524302:WLU524317 WVQ524302:WVQ524317 I589838:I589853 JE589838:JE589853 TA589838:TA589853 ACW589838:ACW589853 AMS589838:AMS589853 AWO589838:AWO589853 BGK589838:BGK589853 BQG589838:BQG589853 CAC589838:CAC589853 CJY589838:CJY589853 CTU589838:CTU589853 DDQ589838:DDQ589853 DNM589838:DNM589853 DXI589838:DXI589853 EHE589838:EHE589853 ERA589838:ERA589853 FAW589838:FAW589853 FKS589838:FKS589853 FUO589838:FUO589853 GEK589838:GEK589853 GOG589838:GOG589853 GYC589838:GYC589853 HHY589838:HHY589853 HRU589838:HRU589853 IBQ589838:IBQ589853 ILM589838:ILM589853 IVI589838:IVI589853 JFE589838:JFE589853 JPA589838:JPA589853 JYW589838:JYW589853 KIS589838:KIS589853 KSO589838:KSO589853 LCK589838:LCK589853 LMG589838:LMG589853 LWC589838:LWC589853 MFY589838:MFY589853 MPU589838:MPU589853 MZQ589838:MZQ589853 NJM589838:NJM589853 NTI589838:NTI589853 ODE589838:ODE589853 ONA589838:ONA589853 OWW589838:OWW589853 PGS589838:PGS589853 PQO589838:PQO589853 QAK589838:QAK589853 QKG589838:QKG589853 QUC589838:QUC589853 RDY589838:RDY589853 RNU589838:RNU589853 RXQ589838:RXQ589853 SHM589838:SHM589853 SRI589838:SRI589853 TBE589838:TBE589853 TLA589838:TLA589853 TUW589838:TUW589853 UES589838:UES589853 UOO589838:UOO589853 UYK589838:UYK589853 VIG589838:VIG589853 VSC589838:VSC589853 WBY589838:WBY589853 WLU589838:WLU589853 WVQ589838:WVQ589853 I655374:I655389 JE655374:JE655389 TA655374:TA655389 ACW655374:ACW655389 AMS655374:AMS655389 AWO655374:AWO655389 BGK655374:BGK655389 BQG655374:BQG655389 CAC655374:CAC655389 CJY655374:CJY655389 CTU655374:CTU655389 DDQ655374:DDQ655389 DNM655374:DNM655389 DXI655374:DXI655389 EHE655374:EHE655389 ERA655374:ERA655389 FAW655374:FAW655389 FKS655374:FKS655389 FUO655374:FUO655389 GEK655374:GEK655389 GOG655374:GOG655389 GYC655374:GYC655389 HHY655374:HHY655389 HRU655374:HRU655389 IBQ655374:IBQ655389 ILM655374:ILM655389 IVI655374:IVI655389 JFE655374:JFE655389 JPA655374:JPA655389 JYW655374:JYW655389 KIS655374:KIS655389 KSO655374:KSO655389 LCK655374:LCK655389 LMG655374:LMG655389 LWC655374:LWC655389 MFY655374:MFY655389 MPU655374:MPU655389 MZQ655374:MZQ655389 NJM655374:NJM655389 NTI655374:NTI655389 ODE655374:ODE655389 ONA655374:ONA655389 OWW655374:OWW655389 PGS655374:PGS655389 PQO655374:PQO655389 QAK655374:QAK655389 QKG655374:QKG655389 QUC655374:QUC655389 RDY655374:RDY655389 RNU655374:RNU655389 RXQ655374:RXQ655389 SHM655374:SHM655389 SRI655374:SRI655389 TBE655374:TBE655389 TLA655374:TLA655389 TUW655374:TUW655389 UES655374:UES655389 UOO655374:UOO655389 UYK655374:UYK655389 VIG655374:VIG655389 VSC655374:VSC655389 WBY655374:WBY655389 WLU655374:WLU655389 WVQ655374:WVQ655389 I720910:I720925 JE720910:JE720925 TA720910:TA720925 ACW720910:ACW720925 AMS720910:AMS720925 AWO720910:AWO720925 BGK720910:BGK720925 BQG720910:BQG720925 CAC720910:CAC720925 CJY720910:CJY720925 CTU720910:CTU720925 DDQ720910:DDQ720925 DNM720910:DNM720925 DXI720910:DXI720925 EHE720910:EHE720925 ERA720910:ERA720925 FAW720910:FAW720925 FKS720910:FKS720925 FUO720910:FUO720925 GEK720910:GEK720925 GOG720910:GOG720925 GYC720910:GYC720925 HHY720910:HHY720925 HRU720910:HRU720925 IBQ720910:IBQ720925 ILM720910:ILM720925 IVI720910:IVI720925 JFE720910:JFE720925 JPA720910:JPA720925 JYW720910:JYW720925 KIS720910:KIS720925 KSO720910:KSO720925 LCK720910:LCK720925 LMG720910:LMG720925 LWC720910:LWC720925 MFY720910:MFY720925 MPU720910:MPU720925 MZQ720910:MZQ720925 NJM720910:NJM720925 NTI720910:NTI720925 ODE720910:ODE720925 ONA720910:ONA720925 OWW720910:OWW720925 PGS720910:PGS720925 PQO720910:PQO720925 QAK720910:QAK720925 QKG720910:QKG720925 QUC720910:QUC720925 RDY720910:RDY720925 RNU720910:RNU720925 RXQ720910:RXQ720925 SHM720910:SHM720925 SRI720910:SRI720925 TBE720910:TBE720925 TLA720910:TLA720925 TUW720910:TUW720925 UES720910:UES720925 UOO720910:UOO720925 UYK720910:UYK720925 VIG720910:VIG720925 VSC720910:VSC720925 WBY720910:WBY720925 WLU720910:WLU720925 WVQ720910:WVQ720925 I786446:I786461 JE786446:JE786461 TA786446:TA786461 ACW786446:ACW786461 AMS786446:AMS786461 AWO786446:AWO786461 BGK786446:BGK786461 BQG786446:BQG786461 CAC786446:CAC786461 CJY786446:CJY786461 CTU786446:CTU786461 DDQ786446:DDQ786461 DNM786446:DNM786461 DXI786446:DXI786461 EHE786446:EHE786461 ERA786446:ERA786461 FAW786446:FAW786461 FKS786446:FKS786461 FUO786446:FUO786461 GEK786446:GEK786461 GOG786446:GOG786461 GYC786446:GYC786461 HHY786446:HHY786461 HRU786446:HRU786461 IBQ786446:IBQ786461 ILM786446:ILM786461 IVI786446:IVI786461 JFE786446:JFE786461 JPA786446:JPA786461 JYW786446:JYW786461 KIS786446:KIS786461 KSO786446:KSO786461 LCK786446:LCK786461 LMG786446:LMG786461 LWC786446:LWC786461 MFY786446:MFY786461 MPU786446:MPU786461 MZQ786446:MZQ786461 NJM786446:NJM786461 NTI786446:NTI786461 ODE786446:ODE786461 ONA786446:ONA786461 OWW786446:OWW786461 PGS786446:PGS786461 PQO786446:PQO786461 QAK786446:QAK786461 QKG786446:QKG786461 QUC786446:QUC786461 RDY786446:RDY786461 RNU786446:RNU786461 RXQ786446:RXQ786461 SHM786446:SHM786461 SRI786446:SRI786461 TBE786446:TBE786461 TLA786446:TLA786461 TUW786446:TUW786461 UES786446:UES786461 UOO786446:UOO786461 UYK786446:UYK786461 VIG786446:VIG786461 VSC786446:VSC786461 WBY786446:WBY786461 WLU786446:WLU786461 WVQ786446:WVQ786461 I851982:I851997 JE851982:JE851997 TA851982:TA851997 ACW851982:ACW851997 AMS851982:AMS851997 AWO851982:AWO851997 BGK851982:BGK851997 BQG851982:BQG851997 CAC851982:CAC851997 CJY851982:CJY851997 CTU851982:CTU851997 DDQ851982:DDQ851997 DNM851982:DNM851997 DXI851982:DXI851997 EHE851982:EHE851997 ERA851982:ERA851997 FAW851982:FAW851997 FKS851982:FKS851997 FUO851982:FUO851997 GEK851982:GEK851997 GOG851982:GOG851997 GYC851982:GYC851997 HHY851982:HHY851997 HRU851982:HRU851997 IBQ851982:IBQ851997 ILM851982:ILM851997 IVI851982:IVI851997 JFE851982:JFE851997 JPA851982:JPA851997 JYW851982:JYW851997 KIS851982:KIS851997 KSO851982:KSO851997 LCK851982:LCK851997 LMG851982:LMG851997 LWC851982:LWC851997 MFY851982:MFY851997 MPU851982:MPU851997 MZQ851982:MZQ851997 NJM851982:NJM851997 NTI851982:NTI851997 ODE851982:ODE851997 ONA851982:ONA851997 OWW851982:OWW851997 PGS851982:PGS851997 PQO851982:PQO851997 QAK851982:QAK851997 QKG851982:QKG851997 QUC851982:QUC851997 RDY851982:RDY851997 RNU851982:RNU851997 RXQ851982:RXQ851997 SHM851982:SHM851997 SRI851982:SRI851997 TBE851982:TBE851997 TLA851982:TLA851997 TUW851982:TUW851997 UES851982:UES851997 UOO851982:UOO851997 UYK851982:UYK851997 VIG851982:VIG851997 VSC851982:VSC851997 WBY851982:WBY851997 WLU851982:WLU851997 WVQ851982:WVQ851997 I917518:I917533 JE917518:JE917533 TA917518:TA917533 ACW917518:ACW917533 AMS917518:AMS917533 AWO917518:AWO917533 BGK917518:BGK917533 BQG917518:BQG917533 CAC917518:CAC917533 CJY917518:CJY917533 CTU917518:CTU917533 DDQ917518:DDQ917533 DNM917518:DNM917533 DXI917518:DXI917533 EHE917518:EHE917533 ERA917518:ERA917533 FAW917518:FAW917533 FKS917518:FKS917533 FUO917518:FUO917533 GEK917518:GEK917533 GOG917518:GOG917533 GYC917518:GYC917533 HHY917518:HHY917533 HRU917518:HRU917533 IBQ917518:IBQ917533 ILM917518:ILM917533 IVI917518:IVI917533 JFE917518:JFE917533 JPA917518:JPA917533 JYW917518:JYW917533 KIS917518:KIS917533 KSO917518:KSO917533 LCK917518:LCK917533 LMG917518:LMG917533 LWC917518:LWC917533 MFY917518:MFY917533 MPU917518:MPU917533 MZQ917518:MZQ917533 NJM917518:NJM917533 NTI917518:NTI917533 ODE917518:ODE917533 ONA917518:ONA917533 OWW917518:OWW917533 PGS917518:PGS917533 PQO917518:PQO917533 QAK917518:QAK917533 QKG917518:QKG917533 QUC917518:QUC917533 RDY917518:RDY917533 RNU917518:RNU917533 RXQ917518:RXQ917533 SHM917518:SHM917533 SRI917518:SRI917533 TBE917518:TBE917533 TLA917518:TLA917533 TUW917518:TUW917533 UES917518:UES917533 UOO917518:UOO917533 UYK917518:UYK917533 VIG917518:VIG917533 VSC917518:VSC917533 WBY917518:WBY917533 WLU917518:WLU917533 WVQ917518:WVQ917533 I983054:I983069 JE983054:JE983069 TA983054:TA983069 ACW983054:ACW983069 AMS983054:AMS983069 AWO983054:AWO983069 BGK983054:BGK983069 BQG983054:BQG983069 CAC983054:CAC983069 CJY983054:CJY983069 CTU983054:CTU983069 DDQ983054:DDQ983069 DNM983054:DNM983069 DXI983054:DXI983069 EHE983054:EHE983069 ERA983054:ERA983069 FAW983054:FAW983069 FKS983054:FKS983069 FUO983054:FUO983069 GEK983054:GEK983069 GOG983054:GOG983069 GYC983054:GYC983069 HHY983054:HHY983069 HRU983054:HRU983069 IBQ983054:IBQ983069 ILM983054:ILM983069 IVI983054:IVI983069 JFE983054:JFE983069 JPA983054:JPA983069 JYW983054:JYW983069 KIS983054:KIS983069 KSO983054:KSO983069 LCK983054:LCK983069 LMG983054:LMG983069 LWC983054:LWC983069 MFY983054:MFY983069 MPU983054:MPU983069 MZQ983054:MZQ983069 NJM983054:NJM983069 NTI983054:NTI983069 ODE983054:ODE983069 ONA983054:ONA983069 OWW983054:OWW983069 PGS983054:PGS983069 PQO983054:PQO983069 QAK983054:QAK983069 QKG983054:QKG983069 QUC983054:QUC983069 RDY983054:RDY983069 RNU983054:RNU983069 RXQ983054:RXQ983069 SHM983054:SHM983069 SRI983054:SRI983069 TBE983054:TBE983069 TLA983054:TLA983069 TUW983054:TUW983069 UES983054:UES983069 UOO983054:UOO983069 UYK983054:UYK983069 VIG983054:VIG983069 VSC983054:VSC983069 WBY983054:WBY983069 WLU983054:WLU983069 I32:I38" xr:uid="{00000000-0002-0000-0100-000002000000}">
      <formula1>"Accepted, Not accepted, N/A"</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L70"/>
  <sheetViews>
    <sheetView zoomScale="85" zoomScaleNormal="85" workbookViewId="0">
      <selection activeCell="A3" sqref="A3"/>
    </sheetView>
  </sheetViews>
  <sheetFormatPr defaultColWidth="8.88671875" defaultRowHeight="12.75"/>
  <cols>
    <col min="1" max="1" width="5.109375" style="70" customWidth="1"/>
    <col min="2" max="2" width="18.6640625" style="70" bestFit="1" customWidth="1"/>
    <col min="3" max="3" width="9.33203125" style="70" customWidth="1"/>
    <col min="4" max="4" width="38.33203125" style="70" customWidth="1"/>
    <col min="5" max="5" width="37.6640625" style="70" customWidth="1"/>
    <col min="6" max="6" width="24.6640625" style="70" customWidth="1"/>
    <col min="7" max="7" width="45.33203125" style="70" customWidth="1"/>
    <col min="8" max="8" width="38.21875" style="70" customWidth="1"/>
    <col min="9" max="9" width="25.21875" style="70" customWidth="1"/>
    <col min="10" max="16384" width="8.88671875" style="70"/>
  </cols>
  <sheetData>
    <row r="1" spans="1:9" ht="42">
      <c r="A1" s="57" t="s">
        <v>360</v>
      </c>
      <c r="B1" s="67" t="s">
        <v>241</v>
      </c>
      <c r="C1" s="68" t="s">
        <v>242</v>
      </c>
      <c r="D1" s="69" t="s">
        <v>243</v>
      </c>
      <c r="E1" s="69" t="s">
        <v>244</v>
      </c>
      <c r="F1" s="69" t="s">
        <v>245</v>
      </c>
      <c r="G1" s="69" t="s">
        <v>246</v>
      </c>
      <c r="H1" s="69" t="s">
        <v>247</v>
      </c>
      <c r="I1" s="69" t="s">
        <v>248</v>
      </c>
    </row>
    <row r="2" spans="1:9" ht="16.5" hidden="1">
      <c r="A2" s="71" t="s">
        <v>249</v>
      </c>
      <c r="B2" s="71" t="s">
        <v>250</v>
      </c>
      <c r="C2" s="72" t="s">
        <v>251</v>
      </c>
      <c r="D2" s="73" t="s">
        <v>252</v>
      </c>
      <c r="E2" s="73" t="s">
        <v>253</v>
      </c>
      <c r="F2" s="73" t="s">
        <v>254</v>
      </c>
      <c r="G2" s="73" t="s">
        <v>255</v>
      </c>
      <c r="H2" s="73" t="s">
        <v>256</v>
      </c>
      <c r="I2" s="73" t="s">
        <v>257</v>
      </c>
    </row>
    <row r="3" spans="1:9" ht="16.5">
      <c r="A3" s="71" t="s">
        <v>33</v>
      </c>
      <c r="B3" s="71" t="s">
        <v>34</v>
      </c>
      <c r="C3" s="72" t="s">
        <v>35</v>
      </c>
      <c r="D3" s="14" t="s">
        <v>328</v>
      </c>
      <c r="E3" s="73">
        <v>0</v>
      </c>
      <c r="F3" s="73"/>
      <c r="G3" s="74" t="s">
        <v>258</v>
      </c>
      <c r="H3" s="74" t="s">
        <v>258</v>
      </c>
      <c r="I3" s="74" t="s">
        <v>258</v>
      </c>
    </row>
    <row r="4" spans="1:9" ht="16.5">
      <c r="A4" s="71" t="s">
        <v>33</v>
      </c>
      <c r="B4" s="71" t="s">
        <v>34</v>
      </c>
      <c r="C4" s="72" t="s">
        <v>36</v>
      </c>
      <c r="D4" s="14" t="s">
        <v>329</v>
      </c>
      <c r="E4" s="73">
        <v>0</v>
      </c>
      <c r="F4" s="73"/>
      <c r="G4" s="74" t="s">
        <v>258</v>
      </c>
      <c r="H4" s="74" t="s">
        <v>258</v>
      </c>
      <c r="I4" s="74" t="s">
        <v>258</v>
      </c>
    </row>
    <row r="5" spans="1:9" ht="16.5">
      <c r="A5" s="71" t="s">
        <v>33</v>
      </c>
      <c r="B5" s="71" t="s">
        <v>34</v>
      </c>
      <c r="C5" s="72" t="s">
        <v>37</v>
      </c>
      <c r="D5" s="31" t="s">
        <v>237</v>
      </c>
      <c r="E5" s="73">
        <v>0</v>
      </c>
      <c r="F5" s="73"/>
      <c r="G5" s="74" t="s">
        <v>258</v>
      </c>
      <c r="H5" s="74" t="s">
        <v>258</v>
      </c>
      <c r="I5" s="74" t="s">
        <v>258</v>
      </c>
    </row>
    <row r="6" spans="1:9" ht="16.5">
      <c r="A6" s="71" t="s">
        <v>33</v>
      </c>
      <c r="B6" s="71" t="s">
        <v>38</v>
      </c>
      <c r="C6" s="72" t="s">
        <v>39</v>
      </c>
      <c r="D6" s="31" t="s">
        <v>237</v>
      </c>
      <c r="E6" s="73">
        <v>0</v>
      </c>
      <c r="F6" s="73"/>
      <c r="G6" s="74" t="s">
        <v>258</v>
      </c>
      <c r="H6" s="74" t="s">
        <v>258</v>
      </c>
      <c r="I6" s="74" t="s">
        <v>258</v>
      </c>
    </row>
    <row r="7" spans="1:9" ht="33">
      <c r="A7" s="71" t="s">
        <v>236</v>
      </c>
      <c r="B7" s="71" t="s">
        <v>34</v>
      </c>
      <c r="C7" s="72" t="s">
        <v>40</v>
      </c>
      <c r="D7" s="31" t="s">
        <v>259</v>
      </c>
      <c r="E7" s="73"/>
      <c r="F7" s="73"/>
      <c r="G7" s="74" t="s">
        <v>65</v>
      </c>
      <c r="H7" s="74"/>
      <c r="I7" s="74"/>
    </row>
    <row r="8" spans="1:9" ht="49.5">
      <c r="A8" s="71" t="s">
        <v>236</v>
      </c>
      <c r="B8" s="71" t="s">
        <v>34</v>
      </c>
      <c r="C8" s="72" t="s">
        <v>66</v>
      </c>
      <c r="D8" s="31" t="s">
        <v>354</v>
      </c>
      <c r="E8" s="73"/>
      <c r="F8" s="73"/>
      <c r="G8" s="75" t="s">
        <v>355</v>
      </c>
      <c r="H8" s="74"/>
      <c r="I8" s="74"/>
    </row>
    <row r="9" spans="1:9" ht="33">
      <c r="A9" s="71" t="s">
        <v>236</v>
      </c>
      <c r="B9" s="71" t="s">
        <v>34</v>
      </c>
      <c r="C9" s="72" t="s">
        <v>67</v>
      </c>
      <c r="D9" s="31" t="s">
        <v>260</v>
      </c>
      <c r="E9" s="73"/>
      <c r="F9" s="73"/>
      <c r="G9" s="74" t="s">
        <v>68</v>
      </c>
      <c r="H9" s="74"/>
      <c r="I9" s="74"/>
    </row>
    <row r="10" spans="1:9" ht="33">
      <c r="A10" s="71" t="s">
        <v>236</v>
      </c>
      <c r="B10" s="71" t="s">
        <v>34</v>
      </c>
      <c r="C10" s="72" t="s">
        <v>69</v>
      </c>
      <c r="D10" s="31" t="s">
        <v>336</v>
      </c>
      <c r="E10" s="73"/>
      <c r="F10" s="73"/>
      <c r="G10" s="75" t="s">
        <v>337</v>
      </c>
      <c r="H10" s="74"/>
      <c r="I10" s="74"/>
    </row>
    <row r="11" spans="1:9" ht="66">
      <c r="A11" s="71" t="s">
        <v>236</v>
      </c>
      <c r="B11" s="71" t="s">
        <v>34</v>
      </c>
      <c r="C11" s="72" t="s">
        <v>70</v>
      </c>
      <c r="D11" s="31" t="s">
        <v>261</v>
      </c>
      <c r="E11" s="73"/>
      <c r="F11" s="73"/>
      <c r="G11" s="74" t="s">
        <v>262</v>
      </c>
      <c r="H11" s="74"/>
      <c r="I11" s="74"/>
    </row>
    <row r="12" spans="1:9" ht="33">
      <c r="A12" s="71" t="s">
        <v>236</v>
      </c>
      <c r="B12" s="71" t="s">
        <v>34</v>
      </c>
      <c r="C12" s="72" t="s">
        <v>71</v>
      </c>
      <c r="D12" s="31" t="s">
        <v>263</v>
      </c>
      <c r="E12" s="73"/>
      <c r="F12" s="73"/>
      <c r="G12" s="75" t="s">
        <v>211</v>
      </c>
      <c r="H12" s="74"/>
      <c r="I12" s="74"/>
    </row>
    <row r="13" spans="1:9" ht="51">
      <c r="A13" s="71" t="s">
        <v>236</v>
      </c>
      <c r="B13" s="71" t="s">
        <v>34</v>
      </c>
      <c r="C13" s="72" t="s">
        <v>72</v>
      </c>
      <c r="D13" s="31" t="s">
        <v>264</v>
      </c>
      <c r="E13" s="73"/>
      <c r="F13" s="73"/>
      <c r="G13" s="74" t="s">
        <v>73</v>
      </c>
      <c r="H13" s="74"/>
      <c r="I13" s="74"/>
    </row>
    <row r="14" spans="1:9" ht="51">
      <c r="A14" s="71" t="s">
        <v>236</v>
      </c>
      <c r="B14" s="71" t="s">
        <v>34</v>
      </c>
      <c r="C14" s="72" t="s">
        <v>74</v>
      </c>
      <c r="D14" s="31" t="s">
        <v>265</v>
      </c>
      <c r="E14" s="73"/>
      <c r="F14" s="73"/>
      <c r="G14" s="75" t="s">
        <v>212</v>
      </c>
      <c r="H14" s="74"/>
      <c r="I14" s="74"/>
    </row>
    <row r="15" spans="1:9" ht="51">
      <c r="A15" s="71" t="s">
        <v>236</v>
      </c>
      <c r="B15" s="71" t="s">
        <v>34</v>
      </c>
      <c r="C15" s="72" t="s">
        <v>75</v>
      </c>
      <c r="D15" s="31" t="s">
        <v>266</v>
      </c>
      <c r="E15" s="73"/>
      <c r="F15" s="73"/>
      <c r="G15" s="75" t="s">
        <v>210</v>
      </c>
      <c r="H15" s="74"/>
      <c r="I15" s="74"/>
    </row>
    <row r="16" spans="1:9" ht="227.25">
      <c r="A16" s="71" t="s">
        <v>236</v>
      </c>
      <c r="B16" s="71" t="s">
        <v>34</v>
      </c>
      <c r="C16" s="72" t="s">
        <v>76</v>
      </c>
      <c r="D16" s="31" t="s">
        <v>331</v>
      </c>
      <c r="E16" s="73"/>
      <c r="F16" s="73"/>
      <c r="G16" s="74" t="s">
        <v>338</v>
      </c>
      <c r="H16" s="74"/>
      <c r="I16" s="74"/>
    </row>
    <row r="17" spans="1:9" ht="82.5">
      <c r="A17" s="71" t="s">
        <v>236</v>
      </c>
      <c r="B17" s="71" t="s">
        <v>34</v>
      </c>
      <c r="C17" s="72" t="s">
        <v>77</v>
      </c>
      <c r="D17" s="31" t="s">
        <v>267</v>
      </c>
      <c r="E17" s="73"/>
      <c r="F17" s="73"/>
      <c r="G17" s="74" t="s">
        <v>220</v>
      </c>
      <c r="H17" s="74"/>
      <c r="I17" s="74"/>
    </row>
    <row r="18" spans="1:9" ht="115.5">
      <c r="A18" s="71" t="s">
        <v>236</v>
      </c>
      <c r="B18" s="71" t="s">
        <v>34</v>
      </c>
      <c r="C18" s="72" t="s">
        <v>78</v>
      </c>
      <c r="D18" s="31" t="s">
        <v>356</v>
      </c>
      <c r="E18" s="73"/>
      <c r="F18" s="73"/>
      <c r="G18" s="74" t="s">
        <v>332</v>
      </c>
      <c r="H18" s="74"/>
      <c r="I18" s="74"/>
    </row>
    <row r="19" spans="1:9" ht="33">
      <c r="A19" s="71" t="s">
        <v>236</v>
      </c>
      <c r="B19" s="71" t="s">
        <v>34</v>
      </c>
      <c r="C19" s="72" t="s">
        <v>109</v>
      </c>
      <c r="D19" s="31" t="s">
        <v>268</v>
      </c>
      <c r="E19" s="73"/>
      <c r="F19" s="73"/>
      <c r="G19" s="74" t="s">
        <v>110</v>
      </c>
      <c r="H19" s="74"/>
      <c r="I19" s="74"/>
    </row>
    <row r="20" spans="1:9" ht="33">
      <c r="A20" s="71" t="s">
        <v>236</v>
      </c>
      <c r="B20" s="71" t="s">
        <v>34</v>
      </c>
      <c r="C20" s="72" t="s">
        <v>79</v>
      </c>
      <c r="D20" s="31" t="s">
        <v>269</v>
      </c>
      <c r="E20" s="73"/>
      <c r="F20" s="73"/>
      <c r="G20" s="74" t="s">
        <v>80</v>
      </c>
      <c r="H20" s="74"/>
      <c r="I20" s="74"/>
    </row>
    <row r="21" spans="1:9" ht="33">
      <c r="A21" s="71" t="s">
        <v>236</v>
      </c>
      <c r="B21" s="71" t="s">
        <v>34</v>
      </c>
      <c r="C21" s="72" t="s">
        <v>81</v>
      </c>
      <c r="D21" s="31" t="s">
        <v>270</v>
      </c>
      <c r="E21" s="73"/>
      <c r="F21" s="73"/>
      <c r="G21" s="74" t="s">
        <v>82</v>
      </c>
      <c r="H21" s="74"/>
      <c r="I21" s="74"/>
    </row>
    <row r="22" spans="1:9" ht="16.5">
      <c r="A22" s="71" t="s">
        <v>236</v>
      </c>
      <c r="B22" s="71" t="s">
        <v>34</v>
      </c>
      <c r="C22" s="72" t="s">
        <v>83</v>
      </c>
      <c r="D22" s="31" t="s">
        <v>271</v>
      </c>
      <c r="E22" s="73"/>
      <c r="F22" s="73"/>
      <c r="G22" s="74" t="s">
        <v>103</v>
      </c>
      <c r="H22" s="74"/>
      <c r="I22" s="74"/>
    </row>
    <row r="23" spans="1:9" ht="33">
      <c r="A23" s="76" t="s">
        <v>236</v>
      </c>
      <c r="B23" s="76" t="s">
        <v>34</v>
      </c>
      <c r="C23" s="77" t="s">
        <v>116</v>
      </c>
      <c r="D23" s="31" t="s">
        <v>272</v>
      </c>
      <c r="E23" s="75"/>
      <c r="F23" s="75"/>
      <c r="G23" s="75" t="s">
        <v>111</v>
      </c>
      <c r="H23" s="75"/>
      <c r="I23" s="75"/>
    </row>
    <row r="24" spans="1:9" ht="33">
      <c r="A24" s="76" t="s">
        <v>236</v>
      </c>
      <c r="B24" s="76" t="s">
        <v>34</v>
      </c>
      <c r="C24" s="77" t="s">
        <v>117</v>
      </c>
      <c r="D24" s="31" t="s">
        <v>273</v>
      </c>
      <c r="E24" s="75"/>
      <c r="F24" s="75"/>
      <c r="G24" s="75" t="s">
        <v>112</v>
      </c>
      <c r="H24" s="75"/>
      <c r="I24" s="75"/>
    </row>
    <row r="25" spans="1:9" ht="33">
      <c r="A25" s="76" t="s">
        <v>236</v>
      </c>
      <c r="B25" s="76" t="s">
        <v>34</v>
      </c>
      <c r="C25" s="77" t="s">
        <v>118</v>
      </c>
      <c r="D25" s="31" t="s">
        <v>274</v>
      </c>
      <c r="E25" s="75"/>
      <c r="F25" s="75"/>
      <c r="G25" s="75" t="s">
        <v>113</v>
      </c>
      <c r="H25" s="75"/>
      <c r="I25" s="75"/>
    </row>
    <row r="26" spans="1:9" ht="16.5">
      <c r="A26" s="76" t="s">
        <v>236</v>
      </c>
      <c r="B26" s="76" t="s">
        <v>34</v>
      </c>
      <c r="C26" s="77" t="s">
        <v>119</v>
      </c>
      <c r="D26" s="31" t="s">
        <v>275</v>
      </c>
      <c r="E26" s="75"/>
      <c r="F26" s="75"/>
      <c r="G26" s="75" t="s">
        <v>114</v>
      </c>
      <c r="H26" s="75"/>
      <c r="I26" s="75"/>
    </row>
    <row r="27" spans="1:9" ht="33">
      <c r="A27" s="76" t="s">
        <v>236</v>
      </c>
      <c r="B27" s="76" t="s">
        <v>34</v>
      </c>
      <c r="C27" s="77" t="s">
        <v>120</v>
      </c>
      <c r="D27" s="31" t="s">
        <v>276</v>
      </c>
      <c r="E27" s="75"/>
      <c r="F27" s="75"/>
      <c r="G27" s="75" t="s">
        <v>115</v>
      </c>
      <c r="H27" s="75"/>
      <c r="I27" s="75"/>
    </row>
    <row r="28" spans="1:9" ht="99">
      <c r="A28" s="76" t="s">
        <v>236</v>
      </c>
      <c r="B28" s="76" t="s">
        <v>34</v>
      </c>
      <c r="C28" s="77" t="s">
        <v>121</v>
      </c>
      <c r="D28" s="31" t="s">
        <v>277</v>
      </c>
      <c r="E28" s="75"/>
      <c r="F28" s="75"/>
      <c r="G28" s="75" t="s">
        <v>221</v>
      </c>
      <c r="H28" s="75"/>
      <c r="I28" s="75"/>
    </row>
    <row r="29" spans="1:9" ht="99">
      <c r="A29" s="76" t="s">
        <v>236</v>
      </c>
      <c r="B29" s="76" t="s">
        <v>34</v>
      </c>
      <c r="C29" s="77" t="s">
        <v>122</v>
      </c>
      <c r="D29" s="31" t="s">
        <v>278</v>
      </c>
      <c r="E29" s="75"/>
      <c r="F29" s="75"/>
      <c r="G29" s="75" t="s">
        <v>217</v>
      </c>
      <c r="H29" s="75"/>
      <c r="I29" s="75"/>
    </row>
    <row r="30" spans="1:9" ht="82.5">
      <c r="A30" s="76" t="s">
        <v>236</v>
      </c>
      <c r="B30" s="76" t="s">
        <v>34</v>
      </c>
      <c r="C30" s="77" t="s">
        <v>123</v>
      </c>
      <c r="D30" s="31" t="s">
        <v>279</v>
      </c>
      <c r="E30" s="75"/>
      <c r="F30" s="75"/>
      <c r="G30" s="75" t="s">
        <v>218</v>
      </c>
      <c r="H30" s="75"/>
      <c r="I30" s="75"/>
    </row>
    <row r="31" spans="1:9" ht="115.5">
      <c r="A31" s="76" t="s">
        <v>236</v>
      </c>
      <c r="B31" s="76" t="s">
        <v>34</v>
      </c>
      <c r="C31" s="77" t="s">
        <v>124</v>
      </c>
      <c r="D31" s="31" t="s">
        <v>280</v>
      </c>
      <c r="E31" s="75"/>
      <c r="F31" s="75"/>
      <c r="G31" s="75" t="s">
        <v>219</v>
      </c>
      <c r="H31" s="75"/>
      <c r="I31" s="75"/>
    </row>
    <row r="32" spans="1:9" ht="78.75">
      <c r="A32" s="76" t="s">
        <v>236</v>
      </c>
      <c r="B32" s="76" t="s">
        <v>34</v>
      </c>
      <c r="C32" s="78" t="s">
        <v>214</v>
      </c>
      <c r="D32" s="31" t="s">
        <v>281</v>
      </c>
      <c r="E32" s="79"/>
      <c r="F32" s="79"/>
      <c r="G32" s="75" t="s">
        <v>84</v>
      </c>
      <c r="H32" s="75"/>
      <c r="I32" s="75"/>
    </row>
    <row r="33" spans="1:9" ht="66">
      <c r="A33" s="76" t="s">
        <v>236</v>
      </c>
      <c r="B33" s="76" t="s">
        <v>34</v>
      </c>
      <c r="C33" s="77" t="s">
        <v>213</v>
      </c>
      <c r="D33" s="31" t="s">
        <v>282</v>
      </c>
      <c r="E33" s="75"/>
      <c r="F33" s="75"/>
      <c r="G33" s="75" t="s">
        <v>125</v>
      </c>
      <c r="H33" s="75"/>
      <c r="I33" s="75"/>
    </row>
    <row r="34" spans="1:9" ht="38.25">
      <c r="A34" s="76" t="s">
        <v>236</v>
      </c>
      <c r="B34" s="76" t="s">
        <v>34</v>
      </c>
      <c r="C34" s="78" t="s">
        <v>128</v>
      </c>
      <c r="D34" s="31" t="s">
        <v>283</v>
      </c>
      <c r="E34" s="79"/>
      <c r="F34" s="64"/>
      <c r="G34" s="75" t="s">
        <v>130</v>
      </c>
      <c r="H34" s="75"/>
      <c r="I34" s="75"/>
    </row>
    <row r="35" spans="1:9" ht="16.5">
      <c r="A35" s="71" t="s">
        <v>236</v>
      </c>
      <c r="B35" s="71" t="s">
        <v>34</v>
      </c>
      <c r="C35" s="72" t="s">
        <v>100</v>
      </c>
      <c r="D35" s="31" t="s">
        <v>284</v>
      </c>
      <c r="E35" s="73"/>
      <c r="F35" s="73"/>
      <c r="G35" s="74" t="s">
        <v>85</v>
      </c>
      <c r="H35" s="74"/>
      <c r="I35" s="74"/>
    </row>
    <row r="36" spans="1:9" ht="33">
      <c r="A36" s="71" t="s">
        <v>236</v>
      </c>
      <c r="B36" s="71" t="s">
        <v>34</v>
      </c>
      <c r="C36" s="72" t="s">
        <v>91</v>
      </c>
      <c r="D36" s="31" t="s">
        <v>285</v>
      </c>
      <c r="E36" s="73"/>
      <c r="F36" s="73"/>
      <c r="G36" s="74" t="s">
        <v>86</v>
      </c>
      <c r="H36" s="74"/>
      <c r="I36" s="74"/>
    </row>
    <row r="37" spans="1:9" ht="16.5">
      <c r="A37" s="71" t="s">
        <v>236</v>
      </c>
      <c r="B37" s="71" t="s">
        <v>34</v>
      </c>
      <c r="C37" s="72" t="s">
        <v>92</v>
      </c>
      <c r="D37" s="31" t="s">
        <v>286</v>
      </c>
      <c r="E37" s="73"/>
      <c r="F37" s="73"/>
      <c r="G37" s="74" t="s">
        <v>87</v>
      </c>
      <c r="H37" s="74"/>
      <c r="I37" s="74"/>
    </row>
    <row r="38" spans="1:9" ht="109.5">
      <c r="A38" s="71" t="s">
        <v>236</v>
      </c>
      <c r="B38" s="71" t="s">
        <v>34</v>
      </c>
      <c r="C38" s="72" t="s">
        <v>99</v>
      </c>
      <c r="D38" s="31" t="s">
        <v>333</v>
      </c>
      <c r="E38" s="31"/>
      <c r="F38" s="73"/>
      <c r="G38" s="75" t="s">
        <v>287</v>
      </c>
      <c r="H38" s="74"/>
      <c r="I38" s="74"/>
    </row>
    <row r="39" spans="1:9" ht="148.5">
      <c r="A39" s="71" t="s">
        <v>236</v>
      </c>
      <c r="B39" s="71" t="s">
        <v>34</v>
      </c>
      <c r="C39" s="72" t="s">
        <v>101</v>
      </c>
      <c r="D39" s="31" t="s">
        <v>288</v>
      </c>
      <c r="E39" s="31"/>
      <c r="F39" s="73"/>
      <c r="G39" s="74" t="s">
        <v>289</v>
      </c>
      <c r="H39" s="74"/>
      <c r="I39" s="74"/>
    </row>
    <row r="40" spans="1:9" ht="99">
      <c r="A40" s="71" t="s">
        <v>236</v>
      </c>
      <c r="B40" s="71" t="s">
        <v>34</v>
      </c>
      <c r="C40" s="72" t="s">
        <v>88</v>
      </c>
      <c r="D40" s="31" t="s">
        <v>334</v>
      </c>
      <c r="E40" s="31"/>
      <c r="F40" s="73"/>
      <c r="G40" s="74" t="s">
        <v>290</v>
      </c>
      <c r="H40" s="74"/>
      <c r="I40" s="74"/>
    </row>
    <row r="41" spans="1:9" ht="66">
      <c r="A41" s="71" t="s">
        <v>236</v>
      </c>
      <c r="B41" s="71" t="s">
        <v>34</v>
      </c>
      <c r="C41" s="72" t="s">
        <v>89</v>
      </c>
      <c r="D41" s="31" t="s">
        <v>291</v>
      </c>
      <c r="E41" s="31"/>
      <c r="F41" s="73"/>
      <c r="G41" s="74" t="s">
        <v>93</v>
      </c>
      <c r="H41" s="74"/>
      <c r="I41" s="74"/>
    </row>
    <row r="42" spans="1:9" ht="66">
      <c r="A42" s="71" t="s">
        <v>236</v>
      </c>
      <c r="B42" s="71" t="s">
        <v>34</v>
      </c>
      <c r="C42" s="72" t="s">
        <v>102</v>
      </c>
      <c r="D42" s="31" t="s">
        <v>292</v>
      </c>
      <c r="E42" s="31"/>
      <c r="F42" s="73"/>
      <c r="G42" s="74" t="s">
        <v>94</v>
      </c>
      <c r="H42" s="74"/>
      <c r="I42" s="74"/>
    </row>
    <row r="43" spans="1:9" ht="231">
      <c r="A43" s="71" t="s">
        <v>236</v>
      </c>
      <c r="B43" s="71" t="s">
        <v>34</v>
      </c>
      <c r="C43" s="72" t="s">
        <v>90</v>
      </c>
      <c r="D43" s="31" t="s">
        <v>335</v>
      </c>
      <c r="E43" s="31"/>
      <c r="F43" s="73"/>
      <c r="G43" s="74" t="s">
        <v>293</v>
      </c>
      <c r="H43" s="74"/>
      <c r="I43" s="74"/>
    </row>
    <row r="44" spans="1:9" ht="99">
      <c r="A44" s="71" t="s">
        <v>236</v>
      </c>
      <c r="B44" s="71" t="s">
        <v>34</v>
      </c>
      <c r="C44" s="72" t="s">
        <v>95</v>
      </c>
      <c r="D44" s="31" t="s">
        <v>294</v>
      </c>
      <c r="E44" s="31"/>
      <c r="F44" s="73"/>
      <c r="G44" s="74" t="s">
        <v>96</v>
      </c>
      <c r="H44" s="74"/>
      <c r="I44" s="74"/>
    </row>
    <row r="45" spans="1:9" ht="99">
      <c r="A45" s="71" t="s">
        <v>236</v>
      </c>
      <c r="B45" s="71" t="s">
        <v>34</v>
      </c>
      <c r="C45" s="72" t="s">
        <v>98</v>
      </c>
      <c r="D45" s="31" t="s">
        <v>295</v>
      </c>
      <c r="E45" s="31"/>
      <c r="F45" s="73"/>
      <c r="G45" s="74" t="s">
        <v>97</v>
      </c>
      <c r="H45" s="74"/>
      <c r="I45" s="74"/>
    </row>
    <row r="46" spans="1:9" ht="25.5">
      <c r="A46" s="71" t="s">
        <v>236</v>
      </c>
      <c r="B46" s="71" t="s">
        <v>34</v>
      </c>
      <c r="C46" s="72" t="s">
        <v>104</v>
      </c>
      <c r="D46" s="31" t="s">
        <v>296</v>
      </c>
      <c r="E46" s="73"/>
      <c r="F46" s="73"/>
      <c r="G46" s="74" t="s">
        <v>105</v>
      </c>
      <c r="H46" s="74"/>
      <c r="I46" s="74"/>
    </row>
    <row r="47" spans="1:9" ht="33">
      <c r="A47" s="71" t="s">
        <v>236</v>
      </c>
      <c r="B47" s="71" t="s">
        <v>34</v>
      </c>
      <c r="C47" s="72" t="s">
        <v>107</v>
      </c>
      <c r="D47" s="31" t="s">
        <v>297</v>
      </c>
      <c r="E47" s="73"/>
      <c r="F47" s="73"/>
      <c r="G47" s="74" t="s">
        <v>106</v>
      </c>
      <c r="H47" s="74"/>
      <c r="I47" s="74"/>
    </row>
    <row r="48" spans="1:9" ht="51">
      <c r="A48" s="71" t="s">
        <v>236</v>
      </c>
      <c r="B48" s="71" t="s">
        <v>38</v>
      </c>
      <c r="C48" s="72" t="s">
        <v>232</v>
      </c>
      <c r="D48" s="31" t="s">
        <v>298</v>
      </c>
      <c r="E48" s="73"/>
      <c r="F48" s="73"/>
      <c r="G48" s="74" t="s">
        <v>224</v>
      </c>
      <c r="H48" s="74"/>
      <c r="I48" s="74"/>
    </row>
    <row r="49" spans="1:12" ht="66">
      <c r="A49" s="71" t="s">
        <v>236</v>
      </c>
      <c r="B49" s="71" t="s">
        <v>38</v>
      </c>
      <c r="C49" s="72" t="s">
        <v>223</v>
      </c>
      <c r="D49" s="31" t="s">
        <v>299</v>
      </c>
      <c r="E49" s="73"/>
      <c r="F49" s="73"/>
      <c r="G49" s="74" t="s">
        <v>222</v>
      </c>
      <c r="H49" s="74"/>
      <c r="I49" s="74"/>
    </row>
    <row r="50" spans="1:12" ht="57">
      <c r="A50" s="76">
        <v>1</v>
      </c>
      <c r="B50" s="71" t="s">
        <v>34</v>
      </c>
      <c r="C50" s="72" t="s">
        <v>40</v>
      </c>
      <c r="D50" s="73" t="s">
        <v>300</v>
      </c>
      <c r="E50" s="73" t="s">
        <v>301</v>
      </c>
      <c r="F50" s="65" t="s">
        <v>357</v>
      </c>
      <c r="G50" s="73" t="s">
        <v>48</v>
      </c>
      <c r="H50" s="73" t="s">
        <v>49</v>
      </c>
      <c r="I50" s="66" t="s">
        <v>239</v>
      </c>
    </row>
    <row r="51" spans="1:12" ht="33">
      <c r="A51" s="76">
        <v>2</v>
      </c>
      <c r="B51" s="71" t="s">
        <v>34</v>
      </c>
      <c r="C51" s="72" t="s">
        <v>40</v>
      </c>
      <c r="D51" s="73" t="s">
        <v>302</v>
      </c>
      <c r="E51" s="73" t="s">
        <v>303</v>
      </c>
      <c r="F51" s="73"/>
      <c r="G51" s="73" t="s">
        <v>50</v>
      </c>
      <c r="H51" s="73" t="s">
        <v>51</v>
      </c>
      <c r="I51" s="73"/>
    </row>
    <row r="52" spans="1:12" ht="37.5" customHeight="1">
      <c r="A52" s="76">
        <v>3</v>
      </c>
      <c r="B52" s="71" t="s">
        <v>34</v>
      </c>
      <c r="C52" s="72" t="s">
        <v>41</v>
      </c>
      <c r="D52" s="73" t="s">
        <v>304</v>
      </c>
      <c r="E52" s="73" t="s">
        <v>305</v>
      </c>
      <c r="F52" s="65" t="s">
        <v>358</v>
      </c>
      <c r="G52" s="73" t="s">
        <v>52</v>
      </c>
      <c r="H52" s="73" t="s">
        <v>53</v>
      </c>
      <c r="I52" s="66" t="s">
        <v>238</v>
      </c>
    </row>
    <row r="53" spans="1:12" ht="49.5">
      <c r="A53" s="76">
        <v>4</v>
      </c>
      <c r="B53" s="71" t="s">
        <v>34</v>
      </c>
      <c r="C53" s="72" t="s">
        <v>42</v>
      </c>
      <c r="D53" s="73" t="s">
        <v>306</v>
      </c>
      <c r="E53" s="73" t="s">
        <v>307</v>
      </c>
      <c r="F53" s="73"/>
      <c r="G53" s="73" t="s">
        <v>54</v>
      </c>
      <c r="H53" s="73" t="s">
        <v>216</v>
      </c>
      <c r="I53" s="73"/>
    </row>
    <row r="54" spans="1:12" ht="57">
      <c r="A54" s="76">
        <v>5</v>
      </c>
      <c r="B54" s="71" t="s">
        <v>34</v>
      </c>
      <c r="C54" s="72" t="s">
        <v>43</v>
      </c>
      <c r="D54" s="73" t="s">
        <v>308</v>
      </c>
      <c r="E54" s="73" t="s">
        <v>309</v>
      </c>
      <c r="F54" s="65" t="s">
        <v>359</v>
      </c>
      <c r="G54" s="73" t="s">
        <v>55</v>
      </c>
      <c r="H54" s="73" t="s">
        <v>56</v>
      </c>
      <c r="I54" s="66" t="s">
        <v>240</v>
      </c>
    </row>
    <row r="55" spans="1:12" ht="37.5" customHeight="1">
      <c r="A55" s="76">
        <v>6</v>
      </c>
      <c r="B55" s="71" t="s">
        <v>34</v>
      </c>
      <c r="C55" s="72" t="s">
        <v>44</v>
      </c>
      <c r="D55" s="73" t="s">
        <v>310</v>
      </c>
      <c r="E55" s="73" t="s">
        <v>311</v>
      </c>
      <c r="F55" s="73"/>
      <c r="G55" s="73" t="s">
        <v>57</v>
      </c>
      <c r="H55" s="73" t="s">
        <v>58</v>
      </c>
      <c r="I55" s="73"/>
    </row>
    <row r="56" spans="1:12" ht="66">
      <c r="A56" s="76">
        <v>7</v>
      </c>
      <c r="B56" s="71" t="s">
        <v>34</v>
      </c>
      <c r="C56" s="78" t="s">
        <v>215</v>
      </c>
      <c r="D56" s="73" t="s">
        <v>312</v>
      </c>
      <c r="E56" s="73" t="s">
        <v>313</v>
      </c>
      <c r="F56" s="73"/>
      <c r="G56" s="73" t="s">
        <v>59</v>
      </c>
      <c r="H56" s="73" t="s">
        <v>60</v>
      </c>
      <c r="I56" s="73"/>
    </row>
    <row r="57" spans="1:12" ht="33">
      <c r="A57" s="76">
        <v>8</v>
      </c>
      <c r="B57" s="71" t="s">
        <v>34</v>
      </c>
      <c r="C57" s="72" t="s">
        <v>45</v>
      </c>
      <c r="D57" s="73" t="s">
        <v>314</v>
      </c>
      <c r="E57" s="73" t="s">
        <v>315</v>
      </c>
      <c r="F57" s="73"/>
      <c r="G57" s="73" t="s">
        <v>61</v>
      </c>
      <c r="H57" s="73" t="s">
        <v>62</v>
      </c>
      <c r="I57" s="73"/>
    </row>
    <row r="58" spans="1:12" ht="51">
      <c r="A58" s="76">
        <v>9</v>
      </c>
      <c r="B58" s="71" t="s">
        <v>46</v>
      </c>
      <c r="C58" s="72" t="s">
        <v>47</v>
      </c>
      <c r="D58" s="73" t="s">
        <v>316</v>
      </c>
      <c r="E58" s="73" t="s">
        <v>317</v>
      </c>
      <c r="F58" s="80" t="s">
        <v>361</v>
      </c>
      <c r="G58" s="73" t="s">
        <v>63</v>
      </c>
      <c r="H58" s="73" t="s">
        <v>64</v>
      </c>
      <c r="I58" s="80" t="s">
        <v>362</v>
      </c>
    </row>
    <row r="59" spans="1:12" ht="82.5">
      <c r="A59" s="76">
        <v>10</v>
      </c>
      <c r="B59" s="76" t="s">
        <v>46</v>
      </c>
      <c r="C59" s="78" t="s">
        <v>129</v>
      </c>
      <c r="D59" s="79" t="s">
        <v>318</v>
      </c>
      <c r="E59" s="79" t="s">
        <v>319</v>
      </c>
      <c r="F59" s="73"/>
      <c r="G59" s="79" t="s">
        <v>131</v>
      </c>
      <c r="H59" s="79" t="s">
        <v>132</v>
      </c>
      <c r="I59" s="73"/>
    </row>
    <row r="60" spans="1:12" ht="67.5">
      <c r="A60" s="76">
        <v>11</v>
      </c>
      <c r="B60" s="76" t="s">
        <v>126</v>
      </c>
      <c r="C60" s="78" t="s">
        <v>128</v>
      </c>
      <c r="D60" s="79" t="s">
        <v>320</v>
      </c>
      <c r="E60" s="79" t="s">
        <v>321</v>
      </c>
      <c r="F60" s="73"/>
      <c r="G60" s="79" t="s">
        <v>127</v>
      </c>
      <c r="H60" s="79" t="s">
        <v>322</v>
      </c>
      <c r="I60" s="81"/>
    </row>
    <row r="61" spans="1:12" ht="33">
      <c r="A61" s="76">
        <v>12</v>
      </c>
      <c r="B61" s="71" t="s">
        <v>38</v>
      </c>
      <c r="C61" s="78" t="s">
        <v>227</v>
      </c>
      <c r="D61" s="79" t="s">
        <v>226</v>
      </c>
      <c r="E61" s="79" t="s">
        <v>225</v>
      </c>
      <c r="F61" s="80" t="s">
        <v>363</v>
      </c>
      <c r="G61" s="79" t="s">
        <v>225</v>
      </c>
      <c r="H61" s="79" t="s">
        <v>225</v>
      </c>
      <c r="I61" s="80" t="s">
        <v>364</v>
      </c>
      <c r="K61" s="44"/>
      <c r="L61" s="44"/>
    </row>
    <row r="62" spans="1:12" ht="33">
      <c r="A62" s="76">
        <v>13</v>
      </c>
      <c r="B62" s="71" t="s">
        <v>38</v>
      </c>
      <c r="C62" s="78" t="s">
        <v>228</v>
      </c>
      <c r="D62" s="79" t="s">
        <v>226</v>
      </c>
      <c r="E62" s="79" t="s">
        <v>225</v>
      </c>
      <c r="F62" s="80" t="s">
        <v>363</v>
      </c>
      <c r="G62" s="79" t="s">
        <v>225</v>
      </c>
      <c r="H62" s="79" t="s">
        <v>225</v>
      </c>
      <c r="I62" s="80" t="s">
        <v>364</v>
      </c>
      <c r="K62" s="44"/>
      <c r="L62" s="44"/>
    </row>
    <row r="63" spans="1:12" ht="33">
      <c r="A63" s="76">
        <v>14</v>
      </c>
      <c r="B63" s="71" t="s">
        <v>38</v>
      </c>
      <c r="C63" s="78" t="s">
        <v>229</v>
      </c>
      <c r="D63" s="79" t="s">
        <v>226</v>
      </c>
      <c r="E63" s="79" t="s">
        <v>225</v>
      </c>
      <c r="F63" s="82" t="s">
        <v>365</v>
      </c>
      <c r="G63" s="79" t="s">
        <v>225</v>
      </c>
      <c r="H63" s="79" t="s">
        <v>225</v>
      </c>
      <c r="I63" s="83" t="s">
        <v>366</v>
      </c>
      <c r="K63" s="44"/>
      <c r="L63" s="44"/>
    </row>
    <row r="64" spans="1:12" ht="33">
      <c r="A64" s="76">
        <v>15</v>
      </c>
      <c r="B64" s="71" t="s">
        <v>38</v>
      </c>
      <c r="C64" s="78" t="s">
        <v>230</v>
      </c>
      <c r="D64" s="79" t="s">
        <v>226</v>
      </c>
      <c r="E64" s="79" t="s">
        <v>225</v>
      </c>
      <c r="F64" s="80" t="s">
        <v>367</v>
      </c>
      <c r="G64" s="79" t="s">
        <v>225</v>
      </c>
      <c r="H64" s="79" t="s">
        <v>225</v>
      </c>
      <c r="I64" s="80" t="s">
        <v>368</v>
      </c>
      <c r="K64" s="44"/>
      <c r="L64" s="44"/>
    </row>
    <row r="65" spans="1:12" ht="33">
      <c r="A65" s="76">
        <v>16</v>
      </c>
      <c r="B65" s="71" t="s">
        <v>38</v>
      </c>
      <c r="C65" s="78" t="s">
        <v>235</v>
      </c>
      <c r="D65" s="79" t="s">
        <v>226</v>
      </c>
      <c r="E65" s="79" t="s">
        <v>225</v>
      </c>
      <c r="F65" s="80" t="s">
        <v>369</v>
      </c>
      <c r="G65" s="79" t="s">
        <v>225</v>
      </c>
      <c r="H65" s="79" t="s">
        <v>225</v>
      </c>
      <c r="I65" s="80" t="s">
        <v>370</v>
      </c>
      <c r="K65" s="44"/>
      <c r="L65" s="44"/>
    </row>
    <row r="66" spans="1:12" ht="48" customHeight="1">
      <c r="A66" s="76">
        <v>17</v>
      </c>
      <c r="B66" s="71" t="s">
        <v>38</v>
      </c>
      <c r="C66" s="78" t="s">
        <v>234</v>
      </c>
      <c r="D66" s="79" t="s">
        <v>226</v>
      </c>
      <c r="E66" s="79" t="s">
        <v>225</v>
      </c>
      <c r="F66" s="80" t="s">
        <v>371</v>
      </c>
      <c r="G66" s="79" t="s">
        <v>225</v>
      </c>
      <c r="H66" s="79" t="s">
        <v>225</v>
      </c>
      <c r="I66" s="80" t="s">
        <v>372</v>
      </c>
      <c r="K66" s="44"/>
      <c r="L66" s="44"/>
    </row>
    <row r="67" spans="1:12" ht="42.75">
      <c r="A67" s="76">
        <v>18</v>
      </c>
      <c r="B67" s="71" t="s">
        <v>38</v>
      </c>
      <c r="C67" s="78" t="s">
        <v>233</v>
      </c>
      <c r="D67" s="79" t="s">
        <v>226</v>
      </c>
      <c r="E67" s="79" t="s">
        <v>225</v>
      </c>
      <c r="F67" s="80" t="s">
        <v>373</v>
      </c>
      <c r="G67" s="79" t="s">
        <v>225</v>
      </c>
      <c r="H67" s="79" t="s">
        <v>225</v>
      </c>
      <c r="I67" s="80" t="s">
        <v>374</v>
      </c>
      <c r="K67" s="44"/>
      <c r="L67" s="44"/>
    </row>
    <row r="68" spans="1:12" ht="33">
      <c r="A68" s="76">
        <v>19</v>
      </c>
      <c r="B68" s="71" t="s">
        <v>38</v>
      </c>
      <c r="C68" s="78" t="s">
        <v>231</v>
      </c>
      <c r="D68" s="79" t="s">
        <v>226</v>
      </c>
      <c r="E68" s="79" t="s">
        <v>225</v>
      </c>
      <c r="F68" s="80" t="s">
        <v>375</v>
      </c>
      <c r="G68" s="79" t="s">
        <v>225</v>
      </c>
      <c r="H68" s="79" t="s">
        <v>225</v>
      </c>
      <c r="I68" s="80" t="s">
        <v>376</v>
      </c>
      <c r="K68" s="44"/>
      <c r="L68" s="44"/>
    </row>
    <row r="69" spans="1:12" ht="16.5">
      <c r="A69" s="71"/>
      <c r="B69" s="71" t="s">
        <v>323</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4" r:id="rId4" xr:uid="{00000000-0004-0000-0200-000004000000}"/>
    <hyperlink ref="I50" r:id="rId5" xr:uid="{00000000-0004-0000-0200-000005000000}"/>
    <hyperlink ref="I54" r:id="rId6" xr:uid="{00000000-0004-0000-0200-000006000000}"/>
    <hyperlink ref="F50" r:id="rId7" display="標準開発手順管理表" xr:uid="{00000000-0004-0000-0200-000007000000}"/>
    <hyperlink ref="F54" r:id="rId8" display="標準開発手順管理表" xr:uid="{00000000-0004-0000-0200-000008000000}"/>
    <hyperlink ref="F52" r:id="rId9" display="プロジェクト計画書" xr:uid="{00000000-0004-0000-0200-000009000000}"/>
    <hyperlink ref="I52" r:id="rId10" xr:uid="{00000000-0004-0000-0200-00000A000000}"/>
    <hyperlink ref="F65" r:id="rId11" xr:uid="{00000000-0004-0000-0200-00000B000000}"/>
    <hyperlink ref="F66" r:id="rId12" xr:uid="{00000000-0004-0000-0200-00000C000000}"/>
    <hyperlink ref="F67" r:id="rId13" xr:uid="{00000000-0004-0000-0200-00000D000000}"/>
    <hyperlink ref="F68" r:id="rId14" xr:uid="{00000000-0004-0000-0200-00000E000000}"/>
    <hyperlink ref="I61" r:id="rId15" xr:uid="{00000000-0004-0000-0200-00000F000000}"/>
    <hyperlink ref="I64" r:id="rId16" xr:uid="{00000000-0004-0000-0200-000010000000}"/>
    <hyperlink ref="I65" r:id="rId17" xr:uid="{00000000-0004-0000-0200-000011000000}"/>
    <hyperlink ref="I66" r:id="rId18" xr:uid="{00000000-0004-0000-0200-000012000000}"/>
    <hyperlink ref="I67" r:id="rId19" xr:uid="{00000000-0004-0000-0200-000013000000}"/>
    <hyperlink ref="I68" r:id="rId20" xr:uid="{00000000-0004-0000-0200-000014000000}"/>
    <hyperlink ref="F62" r:id="rId21" xr:uid="{00000000-0004-0000-0200-000015000000}"/>
    <hyperlink ref="I62" r:id="rId22" xr:uid="{00000000-0004-0000-0200-000016000000}"/>
    <hyperlink ref="F63" r:id="rId23" xr:uid="{00000000-0004-0000-0200-000017000000}"/>
    <hyperlink ref="I63"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109375" style="52" customWidth="1"/>
    <col min="2" max="2" width="20.6640625" style="52" customWidth="1"/>
    <col min="3" max="3" width="100.6640625" style="52" customWidth="1"/>
    <col min="4" max="4" width="11.21875" style="52" customWidth="1"/>
    <col min="5" max="5" width="14.33203125" style="52" customWidth="1"/>
    <col min="6" max="16384" width="8.33203125" style="52"/>
  </cols>
  <sheetData>
    <row r="1" spans="1:5" s="45" customFormat="1" ht="3" customHeight="1"/>
    <row r="2" spans="1:5" s="45" customFormat="1" ht="14.1" customHeight="1">
      <c r="B2" s="46" t="s">
        <v>3</v>
      </c>
      <c r="D2" s="51" t="s">
        <v>378</v>
      </c>
      <c r="E2" s="51" t="s">
        <v>379</v>
      </c>
    </row>
    <row r="3" spans="1:5" s="45" customFormat="1" ht="24.95" customHeight="1">
      <c r="B3" s="47" t="s">
        <v>340</v>
      </c>
      <c r="C3" s="48" t="s">
        <v>203</v>
      </c>
      <c r="D3" s="85" t="s">
        <v>380</v>
      </c>
      <c r="E3" s="85" t="s">
        <v>381</v>
      </c>
    </row>
    <row r="4" spans="1:5" s="45" customFormat="1" ht="14.1" customHeight="1">
      <c r="B4" s="49" t="s">
        <v>208</v>
      </c>
      <c r="C4" s="46" t="s">
        <v>4</v>
      </c>
    </row>
    <row r="5" spans="1:5" ht="27.95" customHeight="1">
      <c r="A5" s="52" t="s">
        <v>407</v>
      </c>
      <c r="B5" s="50" t="s">
        <v>5</v>
      </c>
      <c r="C5" s="51" t="s">
        <v>6</v>
      </c>
      <c r="D5" s="51" t="s">
        <v>7</v>
      </c>
      <c r="E5" s="51" t="s">
        <v>8</v>
      </c>
    </row>
    <row r="6" spans="1:5" ht="20.100000000000001" customHeight="1">
      <c r="B6" s="402" t="s">
        <v>9</v>
      </c>
      <c r="C6" s="53" t="s">
        <v>204</v>
      </c>
      <c r="D6" s="404" t="s">
        <v>10</v>
      </c>
      <c r="E6" s="404" t="s">
        <v>11</v>
      </c>
    </row>
    <row r="7" spans="1:5" ht="20.100000000000001" customHeight="1">
      <c r="B7" s="403"/>
      <c r="C7" s="54" t="s">
        <v>12</v>
      </c>
      <c r="D7" s="405"/>
      <c r="E7" s="405"/>
    </row>
    <row r="8" spans="1:5" ht="297">
      <c r="B8" s="402" t="s">
        <v>13</v>
      </c>
      <c r="C8" s="54" t="s">
        <v>209</v>
      </c>
      <c r="D8" s="406" t="s">
        <v>14</v>
      </c>
      <c r="E8" s="406" t="s">
        <v>15</v>
      </c>
    </row>
    <row r="9" spans="1:5" ht="229.5">
      <c r="B9" s="403"/>
      <c r="C9" s="54" t="s">
        <v>16</v>
      </c>
      <c r="D9" s="403"/>
      <c r="E9" s="403"/>
    </row>
    <row r="10" spans="1:5" ht="30" customHeight="1">
      <c r="B10" s="402" t="s">
        <v>20</v>
      </c>
      <c r="C10" s="54" t="s">
        <v>205</v>
      </c>
      <c r="D10" s="406" t="s">
        <v>18</v>
      </c>
      <c r="E10" s="406" t="s">
        <v>19</v>
      </c>
    </row>
    <row r="11" spans="1:5" ht="30" customHeight="1">
      <c r="B11" s="403"/>
      <c r="C11" s="54" t="s">
        <v>17</v>
      </c>
      <c r="D11" s="403"/>
      <c r="E11" s="403"/>
    </row>
    <row r="12" spans="1:5" ht="16.5">
      <c r="B12" s="402" t="s">
        <v>23</v>
      </c>
      <c r="C12" s="54" t="s">
        <v>206</v>
      </c>
      <c r="D12" s="406" t="s">
        <v>24</v>
      </c>
      <c r="E12" s="406" t="s">
        <v>22</v>
      </c>
    </row>
    <row r="13" spans="1:5" ht="14.25">
      <c r="B13" s="403"/>
      <c r="C13" s="54" t="s">
        <v>21</v>
      </c>
      <c r="D13" s="403"/>
      <c r="E13" s="403"/>
    </row>
    <row r="14" spans="1:5" ht="16.5">
      <c r="B14" s="402" t="s">
        <v>25</v>
      </c>
      <c r="C14" s="54" t="s">
        <v>207</v>
      </c>
      <c r="D14" s="406" t="s">
        <v>28</v>
      </c>
      <c r="E14" s="406" t="s">
        <v>27</v>
      </c>
    </row>
    <row r="15" spans="1:5" ht="14.25">
      <c r="B15" s="403"/>
      <c r="C15" s="54" t="s">
        <v>26</v>
      </c>
      <c r="D15" s="403"/>
      <c r="E15" s="403"/>
    </row>
    <row r="16" spans="1:5" ht="16.5">
      <c r="B16" s="402" t="s">
        <v>31</v>
      </c>
      <c r="C16" s="54" t="s">
        <v>351</v>
      </c>
      <c r="D16" s="406" t="s">
        <v>29</v>
      </c>
      <c r="E16" s="406" t="s">
        <v>32</v>
      </c>
    </row>
    <row r="17" spans="2:5" ht="14.25">
      <c r="B17" s="403"/>
      <c r="C17" s="54" t="s">
        <v>30</v>
      </c>
      <c r="D17" s="403"/>
      <c r="E17" s="403"/>
    </row>
    <row r="18" spans="2:5" ht="60">
      <c r="B18" s="402" t="s">
        <v>324</v>
      </c>
      <c r="C18" s="58" t="s">
        <v>352</v>
      </c>
      <c r="D18" s="406" t="s">
        <v>325</v>
      </c>
      <c r="E18" s="406" t="s">
        <v>326</v>
      </c>
    </row>
    <row r="19" spans="2:5" ht="51">
      <c r="B19" s="403"/>
      <c r="C19" s="54" t="s">
        <v>327</v>
      </c>
      <c r="D19" s="403"/>
      <c r="E19" s="403"/>
    </row>
    <row r="20" spans="2:5" ht="66">
      <c r="B20" s="402" t="s">
        <v>340</v>
      </c>
      <c r="C20" s="63" t="s">
        <v>353</v>
      </c>
      <c r="D20" s="406" t="s">
        <v>349</v>
      </c>
      <c r="E20" s="406" t="s">
        <v>350</v>
      </c>
    </row>
    <row r="21" spans="2:5" ht="51">
      <c r="B21" s="403"/>
      <c r="C21" s="54" t="s">
        <v>347</v>
      </c>
      <c r="D21" s="403"/>
      <c r="E21" s="403"/>
    </row>
    <row r="22" spans="2:5" ht="14.25" customHeight="1">
      <c r="B22" s="406" t="s">
        <v>387</v>
      </c>
      <c r="C22" s="63" t="s">
        <v>382</v>
      </c>
      <c r="D22" s="406" t="s">
        <v>384</v>
      </c>
      <c r="E22" s="406" t="s">
        <v>385</v>
      </c>
    </row>
    <row r="23" spans="2:5" ht="14.25">
      <c r="B23" s="403"/>
      <c r="C23" s="54" t="s">
        <v>383</v>
      </c>
      <c r="D23" s="403"/>
      <c r="E23" s="403"/>
    </row>
    <row r="24" spans="2:5" ht="14.25">
      <c r="B24" s="402"/>
      <c r="C24" s="54"/>
      <c r="D24" s="402"/>
      <c r="E24" s="402"/>
    </row>
    <row r="25" spans="2:5" ht="14.25">
      <c r="B25" s="403"/>
      <c r="C25" s="54"/>
      <c r="D25" s="403"/>
      <c r="E25" s="403"/>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Test Report Checklist</vt:lpstr>
      <vt:lpstr>REL-SEPG-PRM20190801</vt:lpstr>
      <vt:lpstr>Template Revision history</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2021-11-23T12:55:09Z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5d1ae0a4-63be-4f50-b872-87a26a9b5e64</vt:lpwstr>
  </property>
</Properties>
</file>